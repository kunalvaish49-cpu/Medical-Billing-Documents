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medicalmanagementgroup-my.sharepoint.com/personal/kvaish_joriehp_com/Documents/Cartage/Final Reports_Carthage/Carthage_AR_Documents/"/>
    </mc:Choice>
  </mc:AlternateContent>
  <xr:revisionPtr revIDLastSave="8299" documentId="8_{1DFD4138-EE76-4A7F-B7F6-66D0D9B3378B}" xr6:coauthVersionLast="47" xr6:coauthVersionMax="47" xr10:uidLastSave="{E94E981C-0527-4DC9-BFB7-3D5AA273E83C}"/>
  <bookViews>
    <workbookView xWindow="28680" yWindow="-120" windowWidth="29040" windowHeight="15720" firstSheet="2" activeTab="14" xr2:uid="{62E57A39-F50E-48BB-BBA5-282EB6F3EE4A}"/>
  </bookViews>
  <sheets>
    <sheet name="Sheet1" sheetId="1" state="hidden" r:id="rId1"/>
    <sheet name="Sheet2" sheetId="5" state="hidden" r:id="rId2"/>
    <sheet name="Calculate" sheetId="6" r:id="rId3"/>
    <sheet name="Correct RARC" sheetId="15" r:id="rId4"/>
    <sheet name="Slide Bar Link" sheetId="18" r:id="rId5"/>
    <sheet name="Image Link" sheetId="19" r:id="rId6"/>
    <sheet name="Raw" sheetId="17" r:id="rId7"/>
    <sheet name="Correct CARC" sheetId="16" r:id="rId8"/>
    <sheet name="CARC" sheetId="14" state="hidden" r:id="rId9"/>
    <sheet name="Sheet7" sheetId="13" state="hidden" r:id="rId10"/>
    <sheet name="NSHACarc Code" sheetId="7" state="hidden" r:id="rId11"/>
    <sheet name="New Rarc Code" sheetId="8" state="hidden" r:id="rId12"/>
    <sheet name="Sheet4" sheetId="4" state="hidden" r:id="rId13"/>
    <sheet name="Rarc" sheetId="3" state="hidden" r:id="rId14"/>
    <sheet name="Assistance" sheetId="10" r:id="rId15"/>
    <sheet name="Exception" sheetId="11" r:id="rId16"/>
    <sheet name="Jorie Resolved" sheetId="12" r:id="rId17"/>
  </sheets>
  <externalReferences>
    <externalReference r:id="rId18"/>
  </externalReferences>
  <definedNames>
    <definedName name="_xlnm._FilterDatabase" localSheetId="8" hidden="1">CARC!$A$1:$C$254</definedName>
    <definedName name="_xlnm._FilterDatabase" localSheetId="11" hidden="1">'New Rarc Code'!#REF!</definedName>
    <definedName name="_xlnm._FilterDatabase" localSheetId="10" hidden="1">'NSHACarc Code'!#REF!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12" l="1"/>
  <c r="H6" i="13"/>
  <c r="H5" i="13"/>
  <c r="H4" i="13"/>
  <c r="H3" i="13"/>
  <c r="H2" i="13" l="1"/>
  <c r="I43" i="12"/>
  <c r="I42" i="12" l="1"/>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I3" i="12"/>
  <c r="I2" i="12"/>
  <c r="I18" i="11"/>
  <c r="I17" i="11"/>
  <c r="I16" i="11"/>
  <c r="I15" i="11"/>
  <c r="I14" i="11"/>
  <c r="I13" i="11"/>
  <c r="I12" i="11"/>
  <c r="I11" i="11"/>
  <c r="I10" i="11"/>
  <c r="I9" i="11"/>
  <c r="I8" i="11"/>
  <c r="I7" i="11"/>
  <c r="I6" i="11"/>
  <c r="I5" i="11"/>
  <c r="I4" i="11"/>
  <c r="I3" i="11"/>
  <c r="I2" i="11"/>
  <c r="I43" i="10"/>
  <c r="I42" i="10"/>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I12" i="10"/>
  <c r="I11" i="10"/>
  <c r="I10" i="10"/>
  <c r="I9" i="10"/>
  <c r="I8" i="10"/>
  <c r="I7" i="10"/>
  <c r="I6" i="10"/>
  <c r="I5" i="10"/>
  <c r="I4" i="10"/>
  <c r="I3" i="10"/>
  <c r="I2" i="10"/>
  <c r="I6" i="7"/>
  <c r="I5" i="7"/>
  <c r="I29" i="7"/>
  <c r="I34" i="7"/>
  <c r="I9" i="7"/>
  <c r="I15" i="7"/>
  <c r="I14" i="7"/>
  <c r="I19" i="7"/>
  <c r="I4" i="7"/>
  <c r="I3" i="7"/>
  <c r="I38" i="7"/>
  <c r="I27" i="7"/>
  <c r="I26" i="7"/>
  <c r="I16" i="7"/>
  <c r="I99" i="7"/>
  <c r="I98" i="7"/>
  <c r="I97" i="7"/>
  <c r="I96" i="7"/>
  <c r="I49" i="7"/>
  <c r="I95" i="7"/>
  <c r="I94" i="7"/>
  <c r="I48" i="7"/>
  <c r="I93" i="7"/>
  <c r="I92" i="7"/>
  <c r="I91" i="7"/>
  <c r="I90" i="7"/>
  <c r="I89" i="7"/>
  <c r="I47" i="7"/>
  <c r="I88" i="7"/>
  <c r="I87" i="7"/>
  <c r="I86" i="7"/>
  <c r="I85" i="7"/>
  <c r="I84" i="7"/>
  <c r="I46" i="7"/>
  <c r="I83" i="7"/>
  <c r="I82" i="7"/>
  <c r="I81" i="7"/>
  <c r="I80" i="7"/>
  <c r="I79" i="7"/>
  <c r="I78" i="7"/>
  <c r="I77" i="7"/>
  <c r="I45" i="7"/>
  <c r="I76" i="7"/>
  <c r="I75" i="7"/>
  <c r="I74" i="7"/>
  <c r="I73" i="7"/>
  <c r="I72" i="7"/>
  <c r="I44" i="7"/>
  <c r="I71" i="7"/>
  <c r="I70" i="7"/>
  <c r="I69" i="7"/>
  <c r="I68" i="7"/>
  <c r="I67" i="7"/>
  <c r="I66" i="7"/>
  <c r="I65" i="7"/>
  <c r="I64" i="7"/>
  <c r="I63" i="7"/>
  <c r="I43" i="7"/>
  <c r="I277" i="7"/>
  <c r="I276" i="7"/>
  <c r="I275" i="7"/>
  <c r="I274" i="7"/>
  <c r="I273" i="7"/>
  <c r="I62"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8" i="7"/>
  <c r="I242" i="7"/>
  <c r="I241" i="7"/>
  <c r="I240" i="7"/>
  <c r="I239" i="7"/>
  <c r="I238" i="7"/>
  <c r="I237" i="7"/>
  <c r="I236" i="7"/>
  <c r="I61" i="7"/>
  <c r="I235" i="7"/>
  <c r="I234" i="7"/>
  <c r="I233" i="7"/>
  <c r="I232" i="7"/>
  <c r="I231" i="7"/>
  <c r="I230" i="7"/>
  <c r="I229" i="7"/>
  <c r="I228" i="7"/>
  <c r="I227" i="7"/>
  <c r="I226" i="7"/>
  <c r="I60" i="7"/>
  <c r="I225" i="7"/>
  <c r="I224" i="7"/>
  <c r="I223" i="7"/>
  <c r="I222" i="7"/>
  <c r="I221" i="7"/>
  <c r="I220" i="7"/>
  <c r="I219" i="7"/>
  <c r="I59" i="7"/>
  <c r="I218" i="7"/>
  <c r="I217" i="7"/>
  <c r="I216" i="7"/>
  <c r="I215" i="7"/>
  <c r="I214" i="7"/>
  <c r="I213" i="7"/>
  <c r="I212" i="7"/>
  <c r="I211" i="7"/>
  <c r="I210" i="7"/>
  <c r="I36" i="7"/>
  <c r="I209" i="7"/>
  <c r="I208" i="7"/>
  <c r="I207" i="7"/>
  <c r="I206" i="7"/>
  <c r="I205" i="7"/>
  <c r="I204" i="7"/>
  <c r="I203" i="7"/>
  <c r="I202" i="7"/>
  <c r="I201" i="7"/>
  <c r="I58" i="7"/>
  <c r="I200" i="7"/>
  <c r="I199" i="7"/>
  <c r="I198" i="7"/>
  <c r="I197" i="7"/>
  <c r="I196" i="7"/>
  <c r="I195" i="7"/>
  <c r="I194" i="7"/>
  <c r="I193" i="7"/>
  <c r="I192" i="7"/>
  <c r="I191" i="7"/>
  <c r="I57" i="7"/>
  <c r="I42" i="7"/>
  <c r="I190" i="7"/>
  <c r="I189" i="7"/>
  <c r="I188" i="7"/>
  <c r="I187" i="7"/>
  <c r="I186" i="7"/>
  <c r="I185" i="7"/>
  <c r="I184" i="7"/>
  <c r="I183" i="7"/>
  <c r="I182" i="7"/>
  <c r="I181" i="7"/>
  <c r="I180" i="7"/>
  <c r="I179" i="7"/>
  <c r="I178" i="7"/>
  <c r="I177" i="7"/>
  <c r="I176" i="7"/>
  <c r="I175" i="7"/>
  <c r="I174" i="7"/>
  <c r="I173" i="7"/>
  <c r="I172" i="7"/>
  <c r="I2" i="7"/>
  <c r="I171" i="7"/>
  <c r="I170" i="7"/>
  <c r="I169" i="7"/>
  <c r="I168" i="7"/>
  <c r="I167" i="7"/>
  <c r="I166" i="7"/>
  <c r="I165" i="7"/>
  <c r="I164" i="7"/>
  <c r="I163" i="7"/>
  <c r="I162" i="7"/>
  <c r="I56" i="7"/>
  <c r="I161" i="7"/>
  <c r="I160" i="7"/>
  <c r="I159" i="7"/>
  <c r="I158" i="7"/>
  <c r="I157" i="7"/>
  <c r="I156" i="7"/>
  <c r="I155" i="7"/>
  <c r="I154" i="7"/>
  <c r="I153" i="7"/>
  <c r="I152" i="7"/>
  <c r="I151" i="7"/>
  <c r="I150" i="7"/>
  <c r="I149" i="7"/>
  <c r="I148" i="7"/>
  <c r="I147" i="7"/>
  <c r="I146" i="7"/>
  <c r="I145" i="7"/>
  <c r="I144" i="7"/>
  <c r="I55" i="7"/>
  <c r="I143" i="7"/>
  <c r="I142" i="7"/>
  <c r="I141" i="7"/>
  <c r="I140" i="7"/>
  <c r="I139" i="7"/>
  <c r="I138" i="7"/>
  <c r="I137" i="7"/>
  <c r="I136" i="7"/>
  <c r="I135" i="7"/>
  <c r="I54" i="7"/>
  <c r="I134" i="7"/>
  <c r="I133" i="7"/>
  <c r="I132" i="7"/>
  <c r="I131" i="7"/>
  <c r="I130" i="7"/>
  <c r="I129" i="7"/>
  <c r="I128" i="7"/>
  <c r="I127" i="7"/>
  <c r="I126" i="7"/>
  <c r="I125" i="7"/>
  <c r="I53" i="7"/>
  <c r="I124" i="7"/>
  <c r="I123" i="7"/>
  <c r="I122" i="7"/>
  <c r="I121" i="7"/>
  <c r="I120" i="7"/>
  <c r="I119" i="7"/>
  <c r="I118" i="7"/>
  <c r="I52" i="7"/>
  <c r="I117" i="7"/>
  <c r="I116" i="7"/>
  <c r="I115" i="7"/>
  <c r="I114" i="7"/>
  <c r="I113" i="7"/>
  <c r="I112" i="7"/>
  <c r="I111" i="7"/>
  <c r="I110" i="7"/>
  <c r="I109" i="7"/>
  <c r="I51" i="7"/>
  <c r="I108" i="7"/>
  <c r="I107" i="7"/>
  <c r="I106" i="7"/>
  <c r="I105" i="7"/>
  <c r="I104" i="7"/>
  <c r="I103" i="7"/>
  <c r="I102" i="7"/>
  <c r="I101" i="7"/>
  <c r="I100" i="7"/>
  <c r="I50" i="7"/>
  <c r="I41" i="7"/>
  <c r="I39" i="7"/>
  <c r="I37" i="7"/>
  <c r="I40" i="7"/>
  <c r="I35" i="7"/>
  <c r="I33" i="7"/>
  <c r="I31" i="7"/>
  <c r="I30" i="7"/>
  <c r="I24" i="7"/>
  <c r="I23" i="7"/>
  <c r="I28" i="7"/>
  <c r="I25" i="7"/>
  <c r="I20" i="7"/>
  <c r="I22" i="7"/>
  <c r="I21" i="7"/>
  <c r="I18" i="7"/>
  <c r="I17" i="7"/>
  <c r="I13" i="7"/>
  <c r="I11" i="7"/>
  <c r="I10" i="7"/>
  <c r="I7" i="7"/>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H3" i="5" l="1"/>
  <c r="H5" i="5"/>
  <c r="H4" i="5"/>
  <c r="H2" i="5"/>
  <c r="I26" i="4"/>
  <c r="I37" i="4"/>
  <c r="I2" i="4"/>
  <c r="I3" i="4"/>
  <c r="I4" i="4"/>
  <c r="I5" i="4"/>
  <c r="I6" i="4"/>
  <c r="I7" i="4"/>
  <c r="I8" i="4"/>
  <c r="I9" i="4"/>
  <c r="I10" i="4"/>
  <c r="I11" i="4"/>
  <c r="I12" i="4"/>
  <c r="I13" i="4"/>
  <c r="I14" i="4"/>
  <c r="I15" i="4"/>
  <c r="I16" i="4"/>
  <c r="I17" i="4"/>
  <c r="I18" i="4"/>
  <c r="I19" i="4"/>
  <c r="I20" i="4"/>
  <c r="I21" i="4"/>
  <c r="I22" i="4"/>
  <c r="I23" i="4"/>
  <c r="I24" i="4"/>
  <c r="I25" i="4"/>
  <c r="I27" i="4"/>
  <c r="I28" i="4"/>
  <c r="I29" i="4"/>
  <c r="I30" i="4"/>
  <c r="I31" i="4"/>
  <c r="I32" i="4"/>
  <c r="I33" i="4"/>
  <c r="I34" i="4"/>
  <c r="I35" i="4"/>
  <c r="I36" i="4"/>
</calcChain>
</file>

<file path=xl/sharedStrings.xml><?xml version="1.0" encoding="utf-8"?>
<sst xmlns="http://schemas.openxmlformats.org/spreadsheetml/2006/main" count="20652" uniqueCount="8848">
  <si>
    <t>📘 Most Common RAR Codes for Non-Covered Denials (Deep Explanation)</t>
  </si>
  <si>
    <t>1️⃣ N115 — Service Not Covered Unless Medical Criteria Met</t>
  </si>
  <si>
    <t>Meaning</t>
  </si>
  <si>
    <r>
      <t xml:space="preserve">Service may be covered </t>
    </r>
    <r>
      <rPr>
        <b/>
        <sz val="11"/>
        <color theme="1"/>
        <rFont val="Aptos Narrow"/>
        <family val="2"/>
        <scheme val="minor"/>
      </rPr>
      <t>only if medical necessity guidelines are met</t>
    </r>
    <r>
      <rPr>
        <sz val="11"/>
        <color theme="1"/>
        <rFont val="Aptos Narrow"/>
        <family val="2"/>
        <scheme val="minor"/>
      </rPr>
      <t>, but payer determined criteria were not satisfied.</t>
    </r>
  </si>
  <si>
    <t>Real Scenarios</t>
  </si>
  <si>
    <t>MRI without conservative therapy documentation</t>
  </si>
  <si>
    <t>Lab test without supporting diagnosis</t>
  </si>
  <si>
    <t>Sleep study without symptoms</t>
  </si>
  <si>
    <t>Therapy beyond allowed visits without justification</t>
  </si>
  <si>
    <t>Root Cause</t>
  </si>
  <si>
    <t>Diagnosis not supporting CPT</t>
  </si>
  <si>
    <t>Missing documentation</t>
  </si>
  <si>
    <t>Provider notes insufficient</t>
  </si>
  <si>
    <t>Medical policy not followed</t>
  </si>
  <si>
    <t>Resolution</t>
  </si>
  <si>
    <t>✅ Review medical records</t>
  </si>
  <si>
    <t>✅ Compare payer policy (LCD/NCD)</t>
  </si>
  <si>
    <t>✅ Correct diagnosis if appropriate</t>
  </si>
  <si>
    <t>✅ Appeal with documentation</t>
  </si>
  <si>
    <t>Prevention</t>
  </si>
  <si>
    <t>Medical necessity edits in EMR</t>
  </si>
  <si>
    <t>Provider education</t>
  </si>
  <si>
    <t>Coding audits</t>
  </si>
  <si>
    <t>2️⃣ N130 — Consult Plan Benefit Documents / Coverage Exclusion</t>
  </si>
  <si>
    <r>
      <t xml:space="preserve">Service is </t>
    </r>
    <r>
      <rPr>
        <b/>
        <sz val="11"/>
        <color theme="1"/>
        <rFont val="Aptos Narrow"/>
        <family val="2"/>
        <scheme val="minor"/>
      </rPr>
      <t>excluded from patient’s benefit plan</t>
    </r>
    <r>
      <rPr>
        <sz val="11"/>
        <color theme="1"/>
        <rFont val="Aptos Narrow"/>
        <family val="2"/>
        <scheme val="minor"/>
      </rPr>
      <t>.</t>
    </r>
  </si>
  <si>
    <t>Cosmetic procedures</t>
  </si>
  <si>
    <t>Fertility treatments</t>
  </si>
  <si>
    <t>Experimental therapy</t>
  </si>
  <si>
    <t>Routine dental under medical plan</t>
  </si>
  <si>
    <t>Non-covered DME</t>
  </si>
  <si>
    <t>Benefit exclusion</t>
  </si>
  <si>
    <t>Plan limitation</t>
  </si>
  <si>
    <t>Wrong assumption coverage exists</t>
  </si>
  <si>
    <t>✔ Verify benefits</t>
  </si>
  <si>
    <t>✔ Bill patient if consent obtained</t>
  </si>
  <si>
    <t>✔ Write-off if contractual</t>
  </si>
  <si>
    <t>Appeal rarely successful unless payer error.</t>
  </si>
  <si>
    <t>Pre-service benefit verification</t>
  </si>
  <si>
    <t>Cost estimation tools</t>
  </si>
  <si>
    <t>Patient financial counseling</t>
  </si>
  <si>
    <t>3️⃣ N386 — Service Not Covered When Performed in This Setting</t>
  </si>
  <si>
    <r>
      <t xml:space="preserve">Procedure is covered </t>
    </r>
    <r>
      <rPr>
        <b/>
        <sz val="11"/>
        <color theme="1"/>
        <rFont val="Aptos Narrow"/>
        <family val="2"/>
        <scheme val="minor"/>
      </rPr>
      <t>only in specific POS (Place of Service)</t>
    </r>
    <r>
      <rPr>
        <sz val="11"/>
        <color theme="1"/>
        <rFont val="Aptos Narrow"/>
        <family val="2"/>
        <scheme val="minor"/>
      </rPr>
      <t>.</t>
    </r>
  </si>
  <si>
    <t>Procedure done outpatient but covered inpatient only</t>
  </si>
  <si>
    <t>Office procedure billed facility</t>
  </si>
  <si>
    <t>ASC vs hospital mismatch</t>
  </si>
  <si>
    <t>Diagnostic tests in wrong setting</t>
  </si>
  <si>
    <t>POS error</t>
  </si>
  <si>
    <t>Facility mismatch</t>
  </si>
  <si>
    <t>Authorization tied to different setting</t>
  </si>
  <si>
    <t>Billing mistake</t>
  </si>
  <si>
    <t>✅ Correct POS</t>
  </si>
  <si>
    <t>✅ Rebill claim</t>
  </si>
  <si>
    <t>✅ Appeal with medical justification if setting required</t>
  </si>
  <si>
    <t>POS validation during charge entry</t>
  </si>
  <si>
    <t>Authorization linked to location</t>
  </si>
  <si>
    <t>4️⃣ N20 — Service Not Covered by Payer</t>
  </si>
  <si>
    <t>Payer does not cover the service at all.</t>
  </si>
  <si>
    <t>Alternative medicine</t>
  </si>
  <si>
    <t>Certain screenings</t>
  </si>
  <si>
    <t>Non-covered vaccines</t>
  </si>
  <si>
    <t>Experimental procedures</t>
  </si>
  <si>
    <t>Policy exclusion</t>
  </si>
  <si>
    <t>Contract limitation</t>
  </si>
  <si>
    <t>Wrong payer billed</t>
  </si>
  <si>
    <t>✔ Verify if secondary payer exists</t>
  </si>
  <si>
    <t>✔ Bill patient</t>
  </si>
  <si>
    <t>✔ Write-off if necessary</t>
  </si>
  <si>
    <t>Coverage verification before service</t>
  </si>
  <si>
    <t>Insurance discovery tools</t>
  </si>
  <si>
    <t>5️⃣ N290 — Missing / Invalid Authorization</t>
  </si>
  <si>
    <t>(Usually paired with non-covered)</t>
  </si>
  <si>
    <t>Authorization required but not obtained or invalid.</t>
  </si>
  <si>
    <t>Surgery without prior auth</t>
  </si>
  <si>
    <t>Imaging without authorization</t>
  </si>
  <si>
    <t>Therapy visits exceeded approved units</t>
  </si>
  <si>
    <t>Auth not requested</t>
  </si>
  <si>
    <t>Wrong CPT authorized</t>
  </si>
  <si>
    <t>Units mismatch</t>
  </si>
  <si>
    <t>Expired authorization</t>
  </si>
  <si>
    <t>✅ Obtain retro authorization</t>
  </si>
  <si>
    <t>✅ Appeal with clinical documentation</t>
  </si>
  <si>
    <t>✅ Correct claim with auth number</t>
  </si>
  <si>
    <t>Authorization tracking systems</t>
  </si>
  <si>
    <t>Real-time eligibility tools</t>
  </si>
  <si>
    <t>6️⃣ M144 — Pre/Post Care Included in Global</t>
  </si>
  <si>
    <t>Service included in global surgical package, not separately covered.</t>
  </si>
  <si>
    <t>Post-op visits billed separately</t>
  </si>
  <si>
    <t>Dressing change after surgery</t>
  </si>
  <si>
    <t>Routine follow-up</t>
  </si>
  <si>
    <t>Global period rules misunderstood</t>
  </si>
  <si>
    <t>Coding error</t>
  </si>
  <si>
    <t>Modifier missing</t>
  </si>
  <si>
    <t>✔ Add modifier if appropriate (24, 25, 57)</t>
  </si>
  <si>
    <t>✔ Otherwise contractual adjustment</t>
  </si>
  <si>
    <t>Global period coding education</t>
  </si>
  <si>
    <t>Automated edits</t>
  </si>
  <si>
    <t>7️⃣ N432 — Frequency Limits Exceeded</t>
  </si>
  <si>
    <t>Service exceeds payer frequency limitation.</t>
  </si>
  <si>
    <t>Screening tests repeated too soon</t>
  </si>
  <si>
    <t>Therapy sessions beyond limit</t>
  </si>
  <si>
    <t>DME replacement early</t>
  </si>
  <si>
    <t>Frequency rules not checked</t>
  </si>
  <si>
    <t>Medical necessity documentation missing</t>
  </si>
  <si>
    <t>✅ Appeal with justification</t>
  </si>
  <si>
    <t>✅ Medical records submission</t>
  </si>
  <si>
    <t>✅ Patient responsibility if valid</t>
  </si>
  <si>
    <t>Frequency tracking tools</t>
  </si>
  <si>
    <t>Eligibility verification</t>
  </si>
  <si>
    <t>8️⃣ N362 — Not Covered When Provider Not Eligible</t>
  </si>
  <si>
    <t>Provider type not eligible to perform service under policy.</t>
  </si>
  <si>
    <t>NP billing physician-only service</t>
  </si>
  <si>
    <t>Assistant surgeon not covered</t>
  </si>
  <si>
    <t>Out-of-network provider</t>
  </si>
  <si>
    <t>Credentialing issue</t>
  </si>
  <si>
    <t>Provider taxonomy mismatch</t>
  </si>
  <si>
    <t>Contract limitations</t>
  </si>
  <si>
    <t>✔ Correct billing provider</t>
  </si>
  <si>
    <t>✔ Appeal with credential proof</t>
  </si>
  <si>
    <t>✔ Write-off if contract exclusion</t>
  </si>
  <si>
    <t>Credentialing validation</t>
  </si>
  <si>
    <t>NPI taxonomy audits</t>
  </si>
  <si>
    <t>9️⃣ N425 — Authorization Denied / Not Approved</t>
  </si>
  <si>
    <t>Authorization requested but payer denied medical necessity.</t>
  </si>
  <si>
    <t>Surgery denied pre-cert</t>
  </si>
  <si>
    <t>Imaging not approved</t>
  </si>
  <si>
    <t>Inpatient admission denied</t>
  </si>
  <si>
    <t>Clinical criteria not met</t>
  </si>
  <si>
    <t>Documentation insufficient</t>
  </si>
  <si>
    <t>Payer guideline mismatch</t>
  </si>
  <si>
    <t>✅ Peer-to-peer review</t>
  </si>
  <si>
    <t>✅ Medical director review</t>
  </si>
  <si>
    <t>Strong clinical submission</t>
  </si>
  <si>
    <t>Pre-cert review team</t>
  </si>
  <si>
    <t>🔟 N50 / N52 — Missing Medical Information</t>
  </si>
  <si>
    <t>Claim lacks necessary documentation to determine coverage.</t>
  </si>
  <si>
    <t>Missing operative report</t>
  </si>
  <si>
    <t>Missing notes</t>
  </si>
  <si>
    <t>Missing lab results</t>
  </si>
  <si>
    <t>Documentation not submitted</t>
  </si>
  <si>
    <t>Medical records incomplete</t>
  </si>
  <si>
    <t>✅ Submit records</t>
  </si>
  <si>
    <t>✅ Reopen claim</t>
  </si>
  <si>
    <t>✅ Appeal</t>
  </si>
  <si>
    <t>Documentation checklist</t>
  </si>
  <si>
    <t>EMR integration</t>
  </si>
  <si>
    <t>Deductible Amount</t>
  </si>
  <si>
    <t>Coinsurance Amount</t>
  </si>
  <si>
    <t>Co-payment Amount</t>
  </si>
  <si>
    <t>Expenses incurred prior to coverage.</t>
  </si>
  <si>
    <t>Services denied at the time authorization/pre-certification was requested.</t>
  </si>
  <si>
    <t>Claim/service not covered by this payer/contractor. You must send the claim/service to the correct payer/contractor.</t>
  </si>
  <si>
    <t>Procedure postponed, canceled, or delayed.</t>
  </si>
  <si>
    <t>Provider performance bonus</t>
  </si>
  <si>
    <t>Consumer Spending Account payments (includes but is not limited to Flexible Spending Account, Health Savings Account, Health Reimbursement Account, etc.)</t>
  </si>
  <si>
    <t>Precertification/authorization/notification/pre-treatment absent.</t>
  </si>
  <si>
    <t>Revenue code and Procedure code do not match.</t>
  </si>
  <si>
    <t>Expenses incurred during lapse in coverage</t>
  </si>
  <si>
    <t>This service/equipment/drug is not covered under the patient's current benefit plan</t>
  </si>
  <si>
    <t>Pharmacy discount card processing fee</t>
  </si>
  <si>
    <t>Payment adjusted because pre-certification/authorization not received in a timely fashion</t>
  </si>
  <si>
    <t>Administrative surcharges are not covered</t>
  </si>
  <si>
    <t>Based on subrogation of a third party settlement</t>
  </si>
  <si>
    <t>Sales Tax</t>
  </si>
  <si>
    <t>Services not provided by network/primary care providers.</t>
  </si>
  <si>
    <t>Service not payable per managed care contract.</t>
  </si>
  <si>
    <t>Prior payer's (or payers') patient responsibility (deductible, coinsurance, co-payment) not covered. (Use only with Group Code PR)</t>
  </si>
  <si>
    <t>Referral absent</t>
  </si>
  <si>
    <t>B11</t>
  </si>
  <si>
    <t>The claim/service has been transferred to the proper payer/processor for processing. Claim/service not covered by this payer/processor.</t>
  </si>
  <si>
    <t>B15</t>
  </si>
  <si>
    <t>B16</t>
  </si>
  <si>
    <t>P12</t>
  </si>
  <si>
    <t>CARC Code</t>
  </si>
  <si>
    <t>The procedure/revenue code is inconsistent with the patient's age</t>
  </si>
  <si>
    <t>The procedure/revenue code is inconsistent with the patient's gender</t>
  </si>
  <si>
    <t>The diagnosis is inconsistent with the patient's age</t>
  </si>
  <si>
    <t>The diagnosis is inconsistent with the patient's gender</t>
  </si>
  <si>
    <t>The diagnosis is inconsistent with the procedure</t>
  </si>
  <si>
    <t>The diagnosis is inconsistent with the provider type</t>
  </si>
  <si>
    <t>The date of death precedes the date of service</t>
  </si>
  <si>
    <t>The date of birth follows the date of service</t>
  </si>
  <si>
    <t>M1</t>
  </si>
  <si>
    <t>X-ray not taken within the past 12 months or near enough to the start of treatment.</t>
  </si>
  <si>
    <t>M2</t>
  </si>
  <si>
    <t>Not paid separately when the patient is an inpatient.</t>
  </si>
  <si>
    <t>M3</t>
  </si>
  <si>
    <t>Equipment is the same or similar to equipment already being used.</t>
  </si>
  <si>
    <t>M4</t>
  </si>
  <si>
    <t>M5</t>
  </si>
  <si>
    <t>Monthly rental payments can continue until the earlier of the 15th month from the first rental month, or the month when the equipment is no longer needed.</t>
  </si>
  <si>
    <t>M6</t>
  </si>
  <si>
    <t>M7</t>
  </si>
  <si>
    <t>No rental payments after the item is purchased, returned or after the total of issued rental payments equals the purchase price.</t>
  </si>
  <si>
    <t>M8</t>
  </si>
  <si>
    <t>We do not accept blood gas tests results when the test was conducted by a medical supplier or taken while the patient is on oxygen.</t>
  </si>
  <si>
    <t>M9</t>
  </si>
  <si>
    <t>M10</t>
  </si>
  <si>
    <t>Equipment purchases are limited to the first or the tenth month of medical necessity.</t>
  </si>
  <si>
    <t>M11</t>
  </si>
  <si>
    <t>DME, orthotics and prosthetics must be billed to the DME carrier who services the patient's zip code.</t>
  </si>
  <si>
    <t>M12</t>
  </si>
  <si>
    <t>Diagnostic tests performed by a physician must indicate whether purchased services are included on the claim.</t>
  </si>
  <si>
    <t>M13</t>
  </si>
  <si>
    <t>Only one initial visit is covered per specialty per medical group.</t>
  </si>
  <si>
    <t>M14</t>
  </si>
  <si>
    <t>No separate payment for an injection administered during an office visit, and no payment for a full office visit if the patient only received an injection.</t>
  </si>
  <si>
    <t>M15</t>
  </si>
  <si>
    <t>Separately billed services/tests have been bundled as they are considered components of the same procedure. Separate payment is not allowed.</t>
  </si>
  <si>
    <t>M16</t>
  </si>
  <si>
    <t>M17</t>
  </si>
  <si>
    <t>M18</t>
  </si>
  <si>
    <t>Certain services may be approved for home use. Neither a hospital nor a Skilled Nursing Facility (SNF) is considered to be a patient's home.</t>
  </si>
  <si>
    <t>M19</t>
  </si>
  <si>
    <t>Missing oxygen certification/re-certification.</t>
  </si>
  <si>
    <t>M20</t>
  </si>
  <si>
    <t>Missing/incomplete/invalid HCPCS.</t>
  </si>
  <si>
    <t>M21</t>
  </si>
  <si>
    <t>Missing/incomplete/invalid place of residence for this service/item provided in a home.</t>
  </si>
  <si>
    <t>M22</t>
  </si>
  <si>
    <t>Missing/incomplete/invalid number of miles traveled.</t>
  </si>
  <si>
    <t>M23</t>
  </si>
  <si>
    <t>Missing invoice.</t>
  </si>
  <si>
    <t>M24</t>
  </si>
  <si>
    <t>Missing/incomplete/invalid number of doses per vial.</t>
  </si>
  <si>
    <t>M25</t>
  </si>
  <si>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</si>
  <si>
    <t>M26</t>
  </si>
  <si>
    <t>The information furnished does not substantiate the need for this level of service. If you have collected any amount from the patient for this level of service/any amount that exceeds the limiting charge for the less extensive service, the law requires you to refund that amount to the patient within 30 days of receiving this notice.</t>
  </si>
  <si>
    <t>M27</t>
  </si>
  <si>
    <t>M28</t>
  </si>
  <si>
    <t>This does not qualify for payment under Part B when Part A coverage is exhausted or not otherwise available.</t>
  </si>
  <si>
    <t>M29</t>
  </si>
  <si>
    <t>Missing operative note/report.</t>
  </si>
  <si>
    <t>M30</t>
  </si>
  <si>
    <t>Missing pathology report.</t>
  </si>
  <si>
    <t>M31</t>
  </si>
  <si>
    <t>Missing radiology report.</t>
  </si>
  <si>
    <t>M32</t>
  </si>
  <si>
    <t>M36</t>
  </si>
  <si>
    <t>This is the 11th rental month. We cannot pay for this until you indicate that the patient has been given the option of changing the rental to a purchase.</t>
  </si>
  <si>
    <t>M37</t>
  </si>
  <si>
    <t>Not covered when the patient is under age 35.</t>
  </si>
  <si>
    <t>M38</t>
  </si>
  <si>
    <t>M39</t>
  </si>
  <si>
    <t>M40</t>
  </si>
  <si>
    <t>Claim must be assigned and must be filed by the practitioner's employer.</t>
  </si>
  <si>
    <t>M41</t>
  </si>
  <si>
    <t>We do not pay for this as the patient has no legal obligation to pay for this.</t>
  </si>
  <si>
    <t>M42</t>
  </si>
  <si>
    <t>The medical necessity form must be personally signed by the attending physician.</t>
  </si>
  <si>
    <t>M44</t>
  </si>
  <si>
    <t>Missing/incomplete/invalid condition code.</t>
  </si>
  <si>
    <t>M45</t>
  </si>
  <si>
    <t>Missing/incomplete/invalid occurrence code(s).</t>
  </si>
  <si>
    <t>M46</t>
  </si>
  <si>
    <t>Missing/incomplete/invalid occurrence span code(s).</t>
  </si>
  <si>
    <t>M47</t>
  </si>
  <si>
    <t>Missing/incomplete/invalid Payer Claim Control Number. Other terms exist for this element including, but not limited to, Internal Control Number (ICN), Claim Control Number (CCN), Document Control Number (DCN).</t>
  </si>
  <si>
    <t>M49</t>
  </si>
  <si>
    <t>Missing/incomplete/invalid value code(s) or amount(s).</t>
  </si>
  <si>
    <t>M50</t>
  </si>
  <si>
    <t>Missing/incomplete/invalid revenue code(s).</t>
  </si>
  <si>
    <t>M51</t>
  </si>
  <si>
    <t>Missing/incomplete/invalid procedure code(s).</t>
  </si>
  <si>
    <t>M52</t>
  </si>
  <si>
    <t>Missing/incomplete/invalid 'from' date(s) of service.</t>
  </si>
  <si>
    <t>M53</t>
  </si>
  <si>
    <t>Missing/incomplete/invalid days or units of service.</t>
  </si>
  <si>
    <t>M54</t>
  </si>
  <si>
    <t>Missing/incomplete/invalid total charges.</t>
  </si>
  <si>
    <t>M55</t>
  </si>
  <si>
    <t>We do not pay for self-administered anti-emetic drugs that are not administered with a covered oral anti-cancer drug.</t>
  </si>
  <si>
    <t>M56</t>
  </si>
  <si>
    <t>Missing/incomplete/invalid payer identifier.</t>
  </si>
  <si>
    <t>M59</t>
  </si>
  <si>
    <t>Missing/incomplete/invalid 'to' date(s) of service.</t>
  </si>
  <si>
    <t>M60</t>
  </si>
  <si>
    <t>Missing Certificate of Medical Necessity.</t>
  </si>
  <si>
    <t>M61</t>
  </si>
  <si>
    <t>We cannot pay for this as the approval period for the FDA clinical trial has expired.</t>
  </si>
  <si>
    <t>M62</t>
  </si>
  <si>
    <t>Missing/incomplete/invalid treatment authorization code.</t>
  </si>
  <si>
    <t>M64</t>
  </si>
  <si>
    <t>Missing/incomplete/invalid other diagnosis.</t>
  </si>
  <si>
    <t>M65</t>
  </si>
  <si>
    <t>One interpreting physician charge can be submitted per claim when a purchased diagnostic test is indicated. Please submit a separate claim for each interpreting physician.</t>
  </si>
  <si>
    <t>M66</t>
  </si>
  <si>
    <t>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t>
  </si>
  <si>
    <t>M67</t>
  </si>
  <si>
    <t>Missing/incomplete/invalid other procedure code(s).</t>
  </si>
  <si>
    <t>M69</t>
  </si>
  <si>
    <t>Paid at the regular rate as you did not submit documentation to justify the modified procedure code.</t>
  </si>
  <si>
    <t>M70</t>
  </si>
  <si>
    <t>M71</t>
  </si>
  <si>
    <t>Total payment reduced due to overlap of tests billed.</t>
  </si>
  <si>
    <t>M73</t>
  </si>
  <si>
    <t>The HPSA/Physician Scarcity bonus can only be paid on the professional component of this service. Rebill as separate professional and technical components.</t>
  </si>
  <si>
    <t>M74</t>
  </si>
  <si>
    <t>This service does not qualify for a HPSA/Physician Scarcity bonus payment.</t>
  </si>
  <si>
    <t>M75</t>
  </si>
  <si>
    <t>Multiple automated multichannel tests performed on the same day combined for payment.</t>
  </si>
  <si>
    <t>M76</t>
  </si>
  <si>
    <t>Missing/incomplete/invalid diagnosis or condition.</t>
  </si>
  <si>
    <t>M77</t>
  </si>
  <si>
    <t>Missing/incomplete/invalid/inappropriate place of service.</t>
  </si>
  <si>
    <t>M79</t>
  </si>
  <si>
    <t>Missing/incomplete/invalid charge.</t>
  </si>
  <si>
    <t>M80</t>
  </si>
  <si>
    <t>Not covered when performed during the same session/date as a previously processed service for the patient.</t>
  </si>
  <si>
    <t>M81</t>
  </si>
  <si>
    <t>You are required to code to the highest level of specificity.</t>
  </si>
  <si>
    <t>M82</t>
  </si>
  <si>
    <t>Service is not covered when patient is under age 50.</t>
  </si>
  <si>
    <t>M83</t>
  </si>
  <si>
    <t>Service is not covered unless the patient is classified as at high risk.</t>
  </si>
  <si>
    <t>M84</t>
  </si>
  <si>
    <t>Medical code sets used must be the codes in effect at the time of service.</t>
  </si>
  <si>
    <t>M85</t>
  </si>
  <si>
    <t>Subjected to review of physician evaluation and management services.</t>
  </si>
  <si>
    <t>M86</t>
  </si>
  <si>
    <t>Service denied because payment already made for same/similar procedure within set time frame.</t>
  </si>
  <si>
    <t>M87</t>
  </si>
  <si>
    <t>Claim/service(s) subjected to CFO-CAP prepayment review.</t>
  </si>
  <si>
    <t>M89</t>
  </si>
  <si>
    <t>Not covered more than once under age 40.</t>
  </si>
  <si>
    <t>M90</t>
  </si>
  <si>
    <t>Not covered more than once in a 12 month period.</t>
  </si>
  <si>
    <t>M91</t>
  </si>
  <si>
    <t>Lab procedures with different CLIA certification numbers must be billed on separate claims.</t>
  </si>
  <si>
    <t>M93</t>
  </si>
  <si>
    <t>Information supplied supports a break in therapy. A new capped rental period began with delivery of this equipment.</t>
  </si>
  <si>
    <t>M94</t>
  </si>
  <si>
    <t>Information supplied does not support a break in therapy. A new capped rental period will not begin.</t>
  </si>
  <si>
    <t>M95</t>
  </si>
  <si>
    <t>Services subjected to Home Health Initiative medical review/cost report audit.</t>
  </si>
  <si>
    <t>M96</t>
  </si>
  <si>
    <t>The technical component of a service furnished to an inpatient may only be billed by that inpatient facility. You must contact the inpatient facility for technical component reimbursement. If not already billed, you should bill us for the professional component only.</t>
  </si>
  <si>
    <t>M97</t>
  </si>
  <si>
    <t>Not paid to practitioner when provided to patient in this place of service. Payment included in the reimbursement issued the facility.</t>
  </si>
  <si>
    <t>M99</t>
  </si>
  <si>
    <t>Missing/incomplete/invalid Universal Product Number/Serial Number.</t>
  </si>
  <si>
    <t>M100</t>
  </si>
  <si>
    <t>We do not pay for an oral anti-emetic drug that is not administered for use immediately before, at, or within 48 hours of administration of a covered chemotherapy drug.</t>
  </si>
  <si>
    <t>M102</t>
  </si>
  <si>
    <t>Service not performed on equipment approved by the FDA for this purpose.</t>
  </si>
  <si>
    <t>M103</t>
  </si>
  <si>
    <t>Information supplied supports a break in therapy. However, the medical information we have for this patient does not support the need for this item as billed. We have approved payment for this item at a reduced level, and a new capped rental period will begin with the delivery of this equipment.</t>
  </si>
  <si>
    <t>M104</t>
  </si>
  <si>
    <t>Information supplied supports a break in therapy. A new capped rental period will begin with delivery of the equipment. This is the maximum approved under the fee schedule for this item or service.</t>
  </si>
  <si>
    <t>M105</t>
  </si>
  <si>
    <t>Information supplied does not support a break in therapy. The medical information we have for this patient does not support the need for this item as billed. We have approved payment for this item at a reduced level, and a new capped rental period will not begin.</t>
  </si>
  <si>
    <t>M107</t>
  </si>
  <si>
    <t>Payment reduced as 90-day rolling average hematocrit for ESRD patient exceeded 36.5%.</t>
  </si>
  <si>
    <t>M109</t>
  </si>
  <si>
    <t>We have provided you with a bundled payment for a teleconsultation. You must send 25 percent of the teleconsultation payment to the referring practitioner.</t>
  </si>
  <si>
    <t>M111</t>
  </si>
  <si>
    <t>We do not pay for chiropractic manipulative treatment when the patient refuses to have an x-ray taken.</t>
  </si>
  <si>
    <t>M112</t>
  </si>
  <si>
    <t>Reimbursement for this item is based on the single payment amount required under the DMEPOS Competitive Bidding Program for the area where the patient resides.</t>
  </si>
  <si>
    <t>M113</t>
  </si>
  <si>
    <t>Our records indicate that this patient began using this item/service prior to the current contract period for the DMEPOS Competitive Bidding Program.</t>
  </si>
  <si>
    <t>M114</t>
  </si>
  <si>
    <t>This service was processed in accordance with rules and guidelines under the DMEPOS Competitive Bidding Program or a Demonstration Project. For more information regarding these projects, contact your local contractor.</t>
  </si>
  <si>
    <t>M115</t>
  </si>
  <si>
    <t>This item is denied when provided to this patient by a non-contract or non-demonstration supplier.</t>
  </si>
  <si>
    <t>M116</t>
  </si>
  <si>
    <t>Processed under a demonstration project or program. Project or program is ending and additional services may not be paid under this project or program.</t>
  </si>
  <si>
    <t>M117</t>
  </si>
  <si>
    <t>Not covered unless submitted via electronic claim.</t>
  </si>
  <si>
    <t>M119</t>
  </si>
  <si>
    <t>Missing/incomplete/invalid/ deactivated/withdrawn National Drug Code (NDC).</t>
  </si>
  <si>
    <t>M121</t>
  </si>
  <si>
    <t>We pay for this service only when performed with a covered cryosurgical ablation.</t>
  </si>
  <si>
    <t>M122</t>
  </si>
  <si>
    <t>Missing/incomplete/invalid level of subluxation.</t>
  </si>
  <si>
    <t>M123</t>
  </si>
  <si>
    <t>Missing/incomplete/invalid name, strength, or dosage of the drug furnished.</t>
  </si>
  <si>
    <t>M124</t>
  </si>
  <si>
    <t>Missing indication of whether the patient owns the equipment that requires the part or supply.</t>
  </si>
  <si>
    <t>M125</t>
  </si>
  <si>
    <t>Missing/incomplete/invalid information on the period of time for which the service/supply/equipment will be needed.</t>
  </si>
  <si>
    <t>M126</t>
  </si>
  <si>
    <t>Missing/incomplete/invalid individual lab codes included in the test.</t>
  </si>
  <si>
    <t>M127</t>
  </si>
  <si>
    <t>Missing patient medical record for this service.</t>
  </si>
  <si>
    <t>M129</t>
  </si>
  <si>
    <t>Missing/incomplete/invalid indicator of x-ray availability for review.</t>
  </si>
  <si>
    <t>M130</t>
  </si>
  <si>
    <t>Missing invoice or statement certifying the actual cost of the lens, less discounts, and/or the type of intraocular lens used.</t>
  </si>
  <si>
    <t>M131</t>
  </si>
  <si>
    <t>Missing physician financial relationship form.</t>
  </si>
  <si>
    <t>M132</t>
  </si>
  <si>
    <t>Missing pacemaker registration form.</t>
  </si>
  <si>
    <t>M133</t>
  </si>
  <si>
    <t>Claim did not identify who performed the purchased diagnostic test or the amount you were charged for the test.</t>
  </si>
  <si>
    <t>M134</t>
  </si>
  <si>
    <t>Performed by a facility/supplier in which the provider has a financial interest.</t>
  </si>
  <si>
    <t>M135</t>
  </si>
  <si>
    <t>Missing/incomplete/invalid plan of treatment.</t>
  </si>
  <si>
    <t>M136</t>
  </si>
  <si>
    <t>Missing/incomplete/invalid indication that the service was supervised or evaluated by a physician.</t>
  </si>
  <si>
    <t>M137</t>
  </si>
  <si>
    <t>Part B coinsurance under a demonstration project or pilot program.</t>
  </si>
  <si>
    <t>M138</t>
  </si>
  <si>
    <t>Patient identified as a demonstration participant but the patient was not enrolled in the demonstration at the time services were rendered. Coverage is limited to demonstration participants.</t>
  </si>
  <si>
    <t>M139</t>
  </si>
  <si>
    <t>Denied services exceed the coverage limit for the demonstration.</t>
  </si>
  <si>
    <t>M141</t>
  </si>
  <si>
    <t>Missing physician certified plan of care.</t>
  </si>
  <si>
    <t>M142</t>
  </si>
  <si>
    <t>Missing American Diabetes Association Certificate of Recognition.</t>
  </si>
  <si>
    <t>M143</t>
  </si>
  <si>
    <t>The provider must update license information with the payer.</t>
  </si>
  <si>
    <t>M144</t>
  </si>
  <si>
    <t>Pre-/post-operative care payment is included in the allowance for the surgery/procedure.</t>
  </si>
  <si>
    <t>MA01</t>
  </si>
  <si>
    <t>MA02</t>
  </si>
  <si>
    <t>MA04</t>
  </si>
  <si>
    <t>Secondary payment cannot be considered without the identity of or payment information from the primary payer. The information was either not reported or was illegible.</t>
  </si>
  <si>
    <t>MA07</t>
  </si>
  <si>
    <t>MA08</t>
  </si>
  <si>
    <t>MA09</t>
  </si>
  <si>
    <t>MA10</t>
  </si>
  <si>
    <t>MA12</t>
  </si>
  <si>
    <t>You have not established that you have the right under the law to bill for services furnished by the person(s) that furnished this (these) service(s).</t>
  </si>
  <si>
    <t>MA13</t>
  </si>
  <si>
    <t>MA14</t>
  </si>
  <si>
    <t>MA15</t>
  </si>
  <si>
    <t>MA16</t>
  </si>
  <si>
    <t>The patient is covered by the Black Lung Program. Send this claim to the Department of Labor, Federal Black Lung Program, P.O. Box 828, Lanham-Seabrook MD 20703.</t>
  </si>
  <si>
    <t>MA17</t>
  </si>
  <si>
    <t>We are the primary payer and have paid at the primary rate. You must contact the patient's other insurer to refund any excess it may have paid due to its erroneous primary payment.</t>
  </si>
  <si>
    <t>MA18</t>
  </si>
  <si>
    <t>MA19</t>
  </si>
  <si>
    <t>MA20</t>
  </si>
  <si>
    <t>Skilled Nursing Facility (SNF) stay not covered when care is primarily related to the use of an urethral catheter for convenience or the control of incontinence.</t>
  </si>
  <si>
    <t>MA21</t>
  </si>
  <si>
    <t>SSA records indicate mismatch with name and sex.</t>
  </si>
  <si>
    <t>MA22</t>
  </si>
  <si>
    <t>Payment of less than $1.00 suppressed.</t>
  </si>
  <si>
    <t>MA23</t>
  </si>
  <si>
    <t>Demand bill approved as result of medical review.</t>
  </si>
  <si>
    <t>MA24</t>
  </si>
  <si>
    <t>Christian Science Sanitarium/ Skilled Nursing Facility (SNF) bill in the same benefit period.</t>
  </si>
  <si>
    <t>MA25</t>
  </si>
  <si>
    <t>A patient may not elect to change a hospice provider more than once in a benefit period.</t>
  </si>
  <si>
    <t>MA26</t>
  </si>
  <si>
    <t>MA27</t>
  </si>
  <si>
    <t>Missing/incomplete/invalid entitlement number or name shown on the claim.</t>
  </si>
  <si>
    <t>MA28</t>
  </si>
  <si>
    <t>MA30</t>
  </si>
  <si>
    <t>Missing/incomplete/invalid type of bill.</t>
  </si>
  <si>
    <t>MA31</t>
  </si>
  <si>
    <t>Missing/incomplete/invalid beginning and ending dates of the period billed.</t>
  </si>
  <si>
    <t>MA32</t>
  </si>
  <si>
    <t>Missing/incomplete/invalid number of covered days during the billing period.</t>
  </si>
  <si>
    <t>MA33</t>
  </si>
  <si>
    <t>Missing/incomplete/invalid non-covered days during the billing period.</t>
  </si>
  <si>
    <t>MA34</t>
  </si>
  <si>
    <t>Missing/incomplete/invalid number of coinsurance days during the billing period.</t>
  </si>
  <si>
    <t>MA35</t>
  </si>
  <si>
    <t>Missing/incomplete/invalid number of lifetime reserve days.</t>
  </si>
  <si>
    <t>MA36</t>
  </si>
  <si>
    <t>Missing/incomplete/invalid patient name.</t>
  </si>
  <si>
    <t>MA37</t>
  </si>
  <si>
    <t>Missing/incomplete/invalid patient's address.</t>
  </si>
  <si>
    <t>MA39</t>
  </si>
  <si>
    <t>Missing/incomplete/invalid gender.</t>
  </si>
  <si>
    <t>MA40</t>
  </si>
  <si>
    <t>Missing/incomplete/invalid admission date.</t>
  </si>
  <si>
    <t>MA41</t>
  </si>
  <si>
    <t>Missing/incomplete/invalid admission type.</t>
  </si>
  <si>
    <t>MA42</t>
  </si>
  <si>
    <t>Missing/incomplete/invalid admission source.</t>
  </si>
  <si>
    <t>MA43</t>
  </si>
  <si>
    <t>Missing/incomplete/invalid patient status.</t>
  </si>
  <si>
    <t>MA44</t>
  </si>
  <si>
    <t>MA45</t>
  </si>
  <si>
    <t>MA46</t>
  </si>
  <si>
    <t>MA47</t>
  </si>
  <si>
    <t>Our records show you have opted out of Medicare, agreeing with the patient not to bill Medicare for services/tests/supplies furnished. As result, we cannot pay this claim. The patient is responsible for payment.</t>
  </si>
  <si>
    <t>MA48</t>
  </si>
  <si>
    <t>Missing/incomplete/invalid name or address of responsible party or primary payer.</t>
  </si>
  <si>
    <t>MA50</t>
  </si>
  <si>
    <t>Missing/incomplete/invalid Investigational Device Exemption number or Clinical Trial number.</t>
  </si>
  <si>
    <t>MA53</t>
  </si>
  <si>
    <t>Missing/incomplete/invalid Competitive Bidding Demonstration Project identification.</t>
  </si>
  <si>
    <t>MA54</t>
  </si>
  <si>
    <t>Physician certification or election consent for hospice care not received timely.</t>
  </si>
  <si>
    <t>MA55</t>
  </si>
  <si>
    <t>Not covered as patient received medical health care services, automatically revoking his/her election to receive religious non-medical health care services.</t>
  </si>
  <si>
    <t>MA56</t>
  </si>
  <si>
    <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</si>
  <si>
    <t>MA57</t>
  </si>
  <si>
    <t>Patient submitted written request to revoke his/her election for religious non-medical health care services.</t>
  </si>
  <si>
    <t>MA58</t>
  </si>
  <si>
    <t>Missing/incomplete/invalid release of information indicator.</t>
  </si>
  <si>
    <t>MA59</t>
  </si>
  <si>
    <t>MA60</t>
  </si>
  <si>
    <t>Missing/incomplete/invalid patient relationship to insured.</t>
  </si>
  <si>
    <t>MA61</t>
  </si>
  <si>
    <t>Missing/incomplete/invalid social security number.</t>
  </si>
  <si>
    <t>MA62</t>
  </si>
  <si>
    <t>MA63</t>
  </si>
  <si>
    <t>Missing/incomplete/invalid principal diagnosis.</t>
  </si>
  <si>
    <t>MA64</t>
  </si>
  <si>
    <t>Our records indicate that we should be the third payer for this claim. We cannot process this claim until we have received payment information from the primary and secondary payers.</t>
  </si>
  <si>
    <t>MA65</t>
  </si>
  <si>
    <t>Missing/incomplete/invalid admitting diagnosis.</t>
  </si>
  <si>
    <t>MA66</t>
  </si>
  <si>
    <t>Missing/incomplete/invalid principal procedure code.</t>
  </si>
  <si>
    <t>MA67</t>
  </si>
  <si>
    <t>MA68</t>
  </si>
  <si>
    <t>MA69</t>
  </si>
  <si>
    <t>Missing/incomplete/invalid remarks.</t>
  </si>
  <si>
    <t>MA70</t>
  </si>
  <si>
    <t>Missing/incomplete/invalid provider representative signature.</t>
  </si>
  <si>
    <t>MA71</t>
  </si>
  <si>
    <t>Missing/incomplete/invalid provider representative signature date.</t>
  </si>
  <si>
    <t>MA72</t>
  </si>
  <si>
    <t>MA73</t>
  </si>
  <si>
    <t>Informational remittance associated with a Medicare demonstration. No payment issued under fee-for-service Medicare as patient has elected managed care.</t>
  </si>
  <si>
    <t>MA74</t>
  </si>
  <si>
    <t>MA75</t>
  </si>
  <si>
    <t>Missing/incomplete/invalid patient or authorized representative signature.</t>
  </si>
  <si>
    <t>MA76</t>
  </si>
  <si>
    <t>Missing/incomplete/invalid provider identifier for home health agency or hospice when physician is performing care plan oversight services.</t>
  </si>
  <si>
    <t>MA77</t>
  </si>
  <si>
    <t>MA79</t>
  </si>
  <si>
    <t>Billed in excess of interim rate.</t>
  </si>
  <si>
    <t>MA80</t>
  </si>
  <si>
    <t>Informational notice. No payment issued for this claim with this notice. Payment issued to the hospital by its intermediary for all services for this encounter under a demonstration project.</t>
  </si>
  <si>
    <t>MA81</t>
  </si>
  <si>
    <t>Missing/incomplete/invalid provider/supplier signature.</t>
  </si>
  <si>
    <t>MA83</t>
  </si>
  <si>
    <t>Did not indicate whether we are the primary or secondary payer.</t>
  </si>
  <si>
    <t>MA84</t>
  </si>
  <si>
    <t>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t>
  </si>
  <si>
    <t>MA88</t>
  </si>
  <si>
    <t>Missing/incomplete/invalid insured's address and/or telephone number for the primary payer.</t>
  </si>
  <si>
    <t>MA89</t>
  </si>
  <si>
    <t>Missing/incomplete/invalid patient's relationship to the insured for the primary payer.</t>
  </si>
  <si>
    <t>MA90</t>
  </si>
  <si>
    <t>Missing/incomplete/invalid employment status code for the primary insured.</t>
  </si>
  <si>
    <t>MA91</t>
  </si>
  <si>
    <t>MA92</t>
  </si>
  <si>
    <t>Missing plan information for other insurance.</t>
  </si>
  <si>
    <t>MA93</t>
  </si>
  <si>
    <t>Non-PIP (Periodic Interim Payment) claim.</t>
  </si>
  <si>
    <t>MA94</t>
  </si>
  <si>
    <t>Did not enter the statement 'Attending physician not hospice employee' on the claim form to certify that the rendering physician is not an employee of the hospice.</t>
  </si>
  <si>
    <t>MA96</t>
  </si>
  <si>
    <t>Claim rejected. Coded as a Medicare Managed Care Demonstration but patient is not enrolled in a Medicare managed care plan.</t>
  </si>
  <si>
    <t>MA97</t>
  </si>
  <si>
    <t>Missing/incomplete/invalid Medicare Managed Care Demonstration contract number or clinical trial registry number.</t>
  </si>
  <si>
    <t>MA99</t>
  </si>
  <si>
    <t>Missing/incomplete/invalid Medigap information.</t>
  </si>
  <si>
    <t>MA100</t>
  </si>
  <si>
    <t>Missing/incomplete/invalid date of current illness or symptoms.</t>
  </si>
  <si>
    <t>MA103</t>
  </si>
  <si>
    <t>Hemophilia Add On.</t>
  </si>
  <si>
    <t>MA106</t>
  </si>
  <si>
    <t>PIP (Periodic Interim Payment) claim.</t>
  </si>
  <si>
    <t>MA107</t>
  </si>
  <si>
    <t>Paper claim contains more than three separate data items in field 19.</t>
  </si>
  <si>
    <t>MA108</t>
  </si>
  <si>
    <t>Paper claim contains more than one data item in field 23.</t>
  </si>
  <si>
    <t>MA109</t>
  </si>
  <si>
    <t>Claim processed in accordance with ambulatory surgical guidelines.</t>
  </si>
  <si>
    <t>MA110</t>
  </si>
  <si>
    <t>Missing/incomplete/invalid information on whether the diagnostic test(s) were performed by an outside entity or if no purchased tests are included on the claim.</t>
  </si>
  <si>
    <t>MA111</t>
  </si>
  <si>
    <t>Missing/incomplete/invalid purchase price of the test(s) and/or the performing laboratory's name and address.</t>
  </si>
  <si>
    <t>MA112</t>
  </si>
  <si>
    <t>Missing/incomplete/invalid group practice information.</t>
  </si>
  <si>
    <t>MA113</t>
  </si>
  <si>
    <t>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t>
  </si>
  <si>
    <t>MA114</t>
  </si>
  <si>
    <t>Missing/incomplete/invalid information on where the services were furnished.</t>
  </si>
  <si>
    <t>MA115</t>
  </si>
  <si>
    <t>Missing/incomplete/invalid physical location (name and address, or PIN) where the service(s) were rendered in a Health Professional Shortage Area (HPSA).</t>
  </si>
  <si>
    <t>MA116</t>
  </si>
  <si>
    <t>Did not complete the statement 'Homebound' on the claim to validate whether laboratory services were performed at home or in an institution.</t>
  </si>
  <si>
    <t>MA117</t>
  </si>
  <si>
    <t>This claim has been assessed a $1.00 user fee.</t>
  </si>
  <si>
    <t>MA118</t>
  </si>
  <si>
    <t>MA120</t>
  </si>
  <si>
    <t>Missing/incomplete/invalid CLIA certification number.</t>
  </si>
  <si>
    <t>MA121</t>
  </si>
  <si>
    <t>Missing/incomplete/invalid x-ray date.</t>
  </si>
  <si>
    <t>MA122</t>
  </si>
  <si>
    <t>Missing/incomplete/invalid initial treatment date.</t>
  </si>
  <si>
    <t>MA123</t>
  </si>
  <si>
    <t>Your center was not selected to participate in this study, therefore, we cannot pay for these services.</t>
  </si>
  <si>
    <t>MA125</t>
  </si>
  <si>
    <t>Per legislation governing this program, payment constitutes payment in full.</t>
  </si>
  <si>
    <t>MA126</t>
  </si>
  <si>
    <t>Pancreas transplant not covered unless kidney transplant performed.</t>
  </si>
  <si>
    <t>MA128</t>
  </si>
  <si>
    <t>Missing/incomplete/invalid FDA approval number.</t>
  </si>
  <si>
    <t>MA130</t>
  </si>
  <si>
    <t>Your claim contains incomplete and/or invalid information, and no appeal rights are afforded because the claim is unprocessable. Please submit a new claim with the complete/correct information.</t>
  </si>
  <si>
    <t>MA131</t>
  </si>
  <si>
    <t>Physician already paid for services in conjunction with this demonstration claim. You must have the physician withdraw that claim and refund the payment before we can process your claim.</t>
  </si>
  <si>
    <t>MA132</t>
  </si>
  <si>
    <t>Adjustment to the pre-demonstration rate.</t>
  </si>
  <si>
    <t>MA133</t>
  </si>
  <si>
    <t>Claim overlaps inpatient stay. Rebill only those services rendered outside the inpatient stay.</t>
  </si>
  <si>
    <t>MA134</t>
  </si>
  <si>
    <t>Missing/incomplete/invalid provider number of the facility where the patient resides.</t>
  </si>
  <si>
    <t>N1</t>
  </si>
  <si>
    <t>N2</t>
  </si>
  <si>
    <t>This allowance has been made in accordance with the most appropriate course of treatment provision of the plan.</t>
  </si>
  <si>
    <t>N3</t>
  </si>
  <si>
    <t>Missing consent form.</t>
  </si>
  <si>
    <t>N4</t>
  </si>
  <si>
    <t>Missing/Incomplete/Invalid prior Insurance Carrier(s) EOB.</t>
  </si>
  <si>
    <t>N5</t>
  </si>
  <si>
    <t>EOB received from previous payer. Claim not on file.</t>
  </si>
  <si>
    <t>N6</t>
  </si>
  <si>
    <t>Under FEHB law (U.S.C. 8904(b)), we cannot pay more for covered care than the amount Medicare would have allowed if the patient were enrolled in Medicare Part A and/or Medicare Part B.</t>
  </si>
  <si>
    <t>N7</t>
  </si>
  <si>
    <t>N8</t>
  </si>
  <si>
    <t>Crossover claim denied by previous payer and complete claim data not forwarded. Resubmit this claim to this payer to provide adequate data for adjudication.</t>
  </si>
  <si>
    <t>N9</t>
  </si>
  <si>
    <t>Adjustment represents the estimated amount a previous payer may pay.</t>
  </si>
  <si>
    <t>N10</t>
  </si>
  <si>
    <t>Adjustment based on the findings of a review organization/professional consult/manual adjudication/medical advisor/dental advisor/peer review.</t>
  </si>
  <si>
    <t>N11</t>
  </si>
  <si>
    <t>Denial reversed because of medical review.</t>
  </si>
  <si>
    <t>N12</t>
  </si>
  <si>
    <t>Policy provides coverage supplemental to Medicare. As the member does not appear to be enrolled in the applicable part of Medicare, the member is responsible for payment of the portion of the charge that would have been covered by Medicare.</t>
  </si>
  <si>
    <t>N13</t>
  </si>
  <si>
    <t>Payment based on professional/technical component modifier(s).</t>
  </si>
  <si>
    <t>N15</t>
  </si>
  <si>
    <t>Services for a newborn must be billed separately.</t>
  </si>
  <si>
    <t>N16</t>
  </si>
  <si>
    <t>Family/member Out-of-Pocket maximum has been met. Payment based on a higher percentage.</t>
  </si>
  <si>
    <t>N19</t>
  </si>
  <si>
    <t>Procedure code incidental to primary procedure.</t>
  </si>
  <si>
    <t>N20</t>
  </si>
  <si>
    <t>Service not payable with other service rendered on the same date.</t>
  </si>
  <si>
    <t>N21</t>
  </si>
  <si>
    <t>N22</t>
  </si>
  <si>
    <t>N23</t>
  </si>
  <si>
    <t>N24</t>
  </si>
  <si>
    <t>Missing/incomplete/invalid Electronic Funds Transfer (EFT) banking information.</t>
  </si>
  <si>
    <t>N25</t>
  </si>
  <si>
    <t>This company has been contracted by your benefit plan to provide administrative claims payment services only. This company does not assume financial risk or obligation with respect to claims processed on behalf of your benefit plan.</t>
  </si>
  <si>
    <t>N26</t>
  </si>
  <si>
    <t>Missing itemized bill/statement.</t>
  </si>
  <si>
    <t>N27</t>
  </si>
  <si>
    <t>Missing/incomplete/invalid treatment number.</t>
  </si>
  <si>
    <t>N28</t>
  </si>
  <si>
    <t>Consent form requirements not fulfilled.</t>
  </si>
  <si>
    <t>N30</t>
  </si>
  <si>
    <t>Patient ineligible for this service.</t>
  </si>
  <si>
    <t>N31</t>
  </si>
  <si>
    <t>Missing/incomplete/invalid prescribing provider identifier.</t>
  </si>
  <si>
    <t>N32</t>
  </si>
  <si>
    <t>Claim must be submitted by the provider who rendered the service.</t>
  </si>
  <si>
    <t>N33</t>
  </si>
  <si>
    <t>No record of health check prior to initiation of treatment.</t>
  </si>
  <si>
    <t>N34</t>
  </si>
  <si>
    <t>Incorrect claim form/format for this service.</t>
  </si>
  <si>
    <t>N35</t>
  </si>
  <si>
    <t>Program integrity/utilization review decision.</t>
  </si>
  <si>
    <t>N36</t>
  </si>
  <si>
    <t>Claim must meet primary payer's processing requirements before we can consider payment.</t>
  </si>
  <si>
    <t>N37</t>
  </si>
  <si>
    <t>Missing/incomplete/invalid tooth number/letter.</t>
  </si>
  <si>
    <t>N39</t>
  </si>
  <si>
    <t>Procedure code is not compatible with tooth number/letter.</t>
  </si>
  <si>
    <t>N40</t>
  </si>
  <si>
    <t>Missing radiology film(s)/image(s).</t>
  </si>
  <si>
    <t>N42</t>
  </si>
  <si>
    <t>Missing mental health assessment.</t>
  </si>
  <si>
    <t>N43</t>
  </si>
  <si>
    <t>Bed hold or leave days exceeded.</t>
  </si>
  <si>
    <t>N45</t>
  </si>
  <si>
    <t>Payment based on authorized amount.</t>
  </si>
  <si>
    <t>N46</t>
  </si>
  <si>
    <t>Missing/incomplete/invalid admission hour.</t>
  </si>
  <si>
    <t>N47</t>
  </si>
  <si>
    <t>Claim conflicts with another inpatient stay.</t>
  </si>
  <si>
    <t>N48</t>
  </si>
  <si>
    <t>Claim information does not agree with information received from other insurance carrier.</t>
  </si>
  <si>
    <t>N49</t>
  </si>
  <si>
    <t>Court ordered coverage information needs validation.</t>
  </si>
  <si>
    <t>N50</t>
  </si>
  <si>
    <t>Missing/incomplete/invalid discharge information.</t>
  </si>
  <si>
    <t>N51</t>
  </si>
  <si>
    <t>Electronic interchange agreement not on file for provider/submitter.</t>
  </si>
  <si>
    <t>N52</t>
  </si>
  <si>
    <t>Patient not enrolled in the billing provider's managed care plan on the date of service.</t>
  </si>
  <si>
    <t>N53</t>
  </si>
  <si>
    <t>Missing/incomplete/invalid point of pick-up address.</t>
  </si>
  <si>
    <t>N54</t>
  </si>
  <si>
    <t>Claim information is inconsistent with pre-certified/authorized services.</t>
  </si>
  <si>
    <t>N55</t>
  </si>
  <si>
    <t>Procedures for billing with group/referring/performing providers were not followed.</t>
  </si>
  <si>
    <t>N56</t>
  </si>
  <si>
    <t>Procedure code billed is not correct/valid for the services billed or the date of service billed.</t>
  </si>
  <si>
    <t>N57</t>
  </si>
  <si>
    <t>Missing/incomplete/invalid prescribing date.</t>
  </si>
  <si>
    <t>N58</t>
  </si>
  <si>
    <t>Missing/incomplete/invalid patient liability amount.</t>
  </si>
  <si>
    <t>N59</t>
  </si>
  <si>
    <t>N61</t>
  </si>
  <si>
    <t>Rebill services on separate claims.</t>
  </si>
  <si>
    <t>N62</t>
  </si>
  <si>
    <t>Dates of service span multiple rate periods. Resubmit separate claims.</t>
  </si>
  <si>
    <t>N63</t>
  </si>
  <si>
    <t>Rebill services on separate claim lines.</t>
  </si>
  <si>
    <t>N64</t>
  </si>
  <si>
    <t>The 'from' and 'to' dates must be different.</t>
  </si>
  <si>
    <t>N65</t>
  </si>
  <si>
    <t>Procedure code or procedure rate count cannot be determined, or was not on file, for the date of service/provider.</t>
  </si>
  <si>
    <t>N67</t>
  </si>
  <si>
    <t>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t>
  </si>
  <si>
    <t>N68</t>
  </si>
  <si>
    <t>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t>
  </si>
  <si>
    <t>N69</t>
  </si>
  <si>
    <t>N70</t>
  </si>
  <si>
    <t>Consolidated billing and payment applies.</t>
  </si>
  <si>
    <t>N71</t>
  </si>
  <si>
    <t>Your unassigned claim for a drug or biological, clinical diagnostic laboratory services or ambulance service was processed as an assigned claim. You are required by law to accept assignment for these types of claims.</t>
  </si>
  <si>
    <t>N72</t>
  </si>
  <si>
    <t>PPS (Prospective Payment System) code changed by medical reviewers. Not supported by clinical records.</t>
  </si>
  <si>
    <t>N74</t>
  </si>
  <si>
    <t>Resubmit with multiple claims, each claim covering services provided in only one calendar month.</t>
  </si>
  <si>
    <t>N75</t>
  </si>
  <si>
    <t>Missing/incomplete/invalid tooth surface information.</t>
  </si>
  <si>
    <t>N76</t>
  </si>
  <si>
    <t>Missing/incomplete/invalid number of riders.</t>
  </si>
  <si>
    <t>N77</t>
  </si>
  <si>
    <t>Missing/incomplete/invalid designated provider number.</t>
  </si>
  <si>
    <t>N78</t>
  </si>
  <si>
    <t>The necessary components of the child and teen checkup (EPSDT) were not completed.</t>
  </si>
  <si>
    <t>N79</t>
  </si>
  <si>
    <t>Service billed is not compatible with patient location information.</t>
  </si>
  <si>
    <t>N80</t>
  </si>
  <si>
    <t>Missing/incomplete/invalid prenatal screening information.</t>
  </si>
  <si>
    <t>N81</t>
  </si>
  <si>
    <t>Procedure billed is not compatible with tooth surface code.</t>
  </si>
  <si>
    <t>N82</t>
  </si>
  <si>
    <t>Provider must accept insurance payment as payment in full when a third party payer contract specifies full reimbursement.</t>
  </si>
  <si>
    <t>N83</t>
  </si>
  <si>
    <t>No appeal rights. Adjudicative decision based on the provisions of a demonstration project.</t>
  </si>
  <si>
    <t>N84</t>
  </si>
  <si>
    <t>N85</t>
  </si>
  <si>
    <t>N86</t>
  </si>
  <si>
    <t>A failed trial of pelvic muscle exercise training is required in order for biofeedback training for the treatment of urinary incontinence to be covered.</t>
  </si>
  <si>
    <t>N87</t>
  </si>
  <si>
    <t>Home use of biofeedback therapy is not covered.</t>
  </si>
  <si>
    <t>N88</t>
  </si>
  <si>
    <t>N89</t>
  </si>
  <si>
    <t>N90</t>
  </si>
  <si>
    <t>Covered only when performed by the attending physician.</t>
  </si>
  <si>
    <t>N91</t>
  </si>
  <si>
    <t>Services not included in the appeal review.</t>
  </si>
  <si>
    <t>N92</t>
  </si>
  <si>
    <t>This facility is not certified for digital mammography.</t>
  </si>
  <si>
    <t>N93</t>
  </si>
  <si>
    <t>A separate claim must be submitted for each place of service. Services furnished at multiple sites may not be billed in the same claim.</t>
  </si>
  <si>
    <t>N94</t>
  </si>
  <si>
    <t>Claim/Service denied because a more specific taxonomy code is required for adjudication.</t>
  </si>
  <si>
    <t>N95</t>
  </si>
  <si>
    <t>This provider type/provider specialty may not bill this service.</t>
  </si>
  <si>
    <t>N96</t>
  </si>
  <si>
    <t>Patient must be refractory to conventional therapy (documented behavioral, pharmacologic and/or surgical corrective therapy) and be an appropriate surgical candidate such that implantation with anesthesia can occur.</t>
  </si>
  <si>
    <t>N97</t>
  </si>
  <si>
    <t>Patients with stress incontinence, urinary obstruction, and specific neurologic diseases (e.g., diabetes with peripheral nerve involvement) which are associated with secondary manifestations of the above three indications are excluded.</t>
  </si>
  <si>
    <t>N98</t>
  </si>
  <si>
    <t>Patient must have had a successful test stimulation in order to support subsequent implantation. Before a patient is eligible for permanent implantation, he/she must demonstrate a 50 percent or greater improvement through test stimulation. Improvement is measured through voiding diaries.</t>
  </si>
  <si>
    <t>N99</t>
  </si>
  <si>
    <t>Patient must be able to demonstrate adequate ability to record voiding diary data such that clinical results of the implant procedure can be properly evaluated.</t>
  </si>
  <si>
    <t>N103</t>
  </si>
  <si>
    <t>Records indicate this patient was a prisoner or in custody of a Federal, State, or local authority when the service was rendered. This payer does not cover items and services furnished to an individual while he or she is in custody under a penal statute or rule, unless under State or local law, the individual is personally liable for the cost of his or her health care while in custody and the State or local government pursues the collection of such debt in the same way and with the same vigor as the collection of its other debts. The provider can collect from the Federal/State/ Local Authority as appropriate.</t>
  </si>
  <si>
    <t>N104</t>
  </si>
  <si>
    <t>This claim/service is not payable under our claims jurisdiction area. You can identify the correct Medicare contractor to process this claim/service through the CMS website at www.cms.gov.</t>
  </si>
  <si>
    <t>N105</t>
  </si>
  <si>
    <t>This is a misdirected claim/service for an RRB beneficiary. Submit paper claims to the RRB carrier: Palmetto GBA, P.O. Box 10066, Augusta, GA 30999. Call 888-355-9165 for RRB EDI information for electronic claims processing.</t>
  </si>
  <si>
    <t>N106</t>
  </si>
  <si>
    <t>Payment for services furnished to Skilled Nursing Facility (SNF) inpatients (except for excluded services) can only be made to the SNF. You must request payment from the SNF rather than the patient for this service.</t>
  </si>
  <si>
    <t>N107</t>
  </si>
  <si>
    <t>Services furnished to Skilled Nursing Facility (SNF) inpatients must be billed on the inpatient claim. They cannot be billed separately as outpatient services.</t>
  </si>
  <si>
    <t>N108</t>
  </si>
  <si>
    <t>Missing/incomplete/invalid upgrade information.</t>
  </si>
  <si>
    <t>N109</t>
  </si>
  <si>
    <t>N110</t>
  </si>
  <si>
    <t>This facility is not certified for film mammography.</t>
  </si>
  <si>
    <t>N111</t>
  </si>
  <si>
    <t>No appeal right except duplicate claim/service issue. This service was included in a claim that has been previously billed and adjudicated.</t>
  </si>
  <si>
    <t>N112</t>
  </si>
  <si>
    <t>This claim is excluded from your electronic remittance advice.</t>
  </si>
  <si>
    <t>N113</t>
  </si>
  <si>
    <t>Only one initial visit is covered per physician, group practice or provider.</t>
  </si>
  <si>
    <t>N114</t>
  </si>
  <si>
    <t>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t>
  </si>
  <si>
    <t>N115</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</si>
  <si>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</si>
  <si>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N116</t>
  </si>
  <si>
    <t>N117</t>
  </si>
  <si>
    <t>This service is paid only once in a patient's lifetime.</t>
  </si>
  <si>
    <t>N118</t>
  </si>
  <si>
    <t>This service is not paid if billed more than once every 28 days.</t>
  </si>
  <si>
    <t>N119</t>
  </si>
  <si>
    <t>This service is not paid if billed once every 28 days, and the patient has spent 5 or more consecutive days in any inpatient or Skilled /nursing Facility (SNF) within those 28 days.</t>
  </si>
  <si>
    <t>N120</t>
  </si>
  <si>
    <t>Payment is subject to home health prospective payment system partial episode payment adjustment. Patient was transferred/discharged/readmitted during payment episode.</t>
  </si>
  <si>
    <t>N121</t>
  </si>
  <si>
    <t>Medicare Part B does not pay for items or services provided by this type of practitioner for beneficiaries in a Medicare Part A covered Skilled Nursing Facility (SNF) stay.</t>
  </si>
  <si>
    <t>N122</t>
  </si>
  <si>
    <t>Add-on code cannot be billed by itself.</t>
  </si>
  <si>
    <t>N123</t>
  </si>
  <si>
    <t>N124</t>
  </si>
  <si>
    <t>Payment has been denied for the/made only for a less extensive service/item because the information furnished does not substantiate the need for the (more extensive) service/item. The patient is liable for the charges for this service/item as you informed the patient in writing before the service/item was furnished that we would not pay for it, and the patient agreed to pay.</t>
  </si>
  <si>
    <t>N125</t>
  </si>
  <si>
    <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t>
  </si>
  <si>
    <t>N126</t>
  </si>
  <si>
    <t>Social Security Records indicate that this individual has been deported. This payer does not cover items and services furnished to individuals who have been deported.</t>
  </si>
  <si>
    <t>N127</t>
  </si>
  <si>
    <t>This is a misdirected claim/service for a United Mine Workers of America (UMWA) beneficiary. Please submit claims to them.</t>
  </si>
  <si>
    <t>N128</t>
  </si>
  <si>
    <t>This amount represents the prior to coverage portion of the allowance.</t>
  </si>
  <si>
    <t>N129</t>
  </si>
  <si>
    <t>Not eligible due to the patient's age.</t>
  </si>
  <si>
    <t>N130</t>
  </si>
  <si>
    <t>Consult plan benefit documents/guidelines for information about restrictions for this service.</t>
  </si>
  <si>
    <t>N131</t>
  </si>
  <si>
    <t>Total payments under multiple contracts cannot exceed the allowance for this service.</t>
  </si>
  <si>
    <t>N132</t>
  </si>
  <si>
    <t>N133</t>
  </si>
  <si>
    <t>N134</t>
  </si>
  <si>
    <t>N135</t>
  </si>
  <si>
    <t>Record fees are the patient's responsibility and limited to the specified co-payment.</t>
  </si>
  <si>
    <t>N136</t>
  </si>
  <si>
    <t>N137</t>
  </si>
  <si>
    <t>N138</t>
  </si>
  <si>
    <t>N139</t>
  </si>
  <si>
    <t>N140</t>
  </si>
  <si>
    <t>N141</t>
  </si>
  <si>
    <t>The patient was not residing in a long-term care facility during all or part of the service dates billed.</t>
  </si>
  <si>
    <t>N142</t>
  </si>
  <si>
    <t>The original claim was denied. Resubmit a new claim, not a replacement claim.</t>
  </si>
  <si>
    <t>N143</t>
  </si>
  <si>
    <t>The patient was not in a hospice program during all or part of the service dates billed.</t>
  </si>
  <si>
    <t>N144</t>
  </si>
  <si>
    <t>The rate changed during the dates of service billed.</t>
  </si>
  <si>
    <t>N146</t>
  </si>
  <si>
    <t>Missing screening document.</t>
  </si>
  <si>
    <t>N147</t>
  </si>
  <si>
    <t>Long term care case mix or per diem rate cannot be determined because the patient ID number is missing, incomplete, or invalid on the assignment request.</t>
  </si>
  <si>
    <t>N148</t>
  </si>
  <si>
    <t>Missing/incomplete/invalid date of last menstrual period.</t>
  </si>
  <si>
    <t>N149</t>
  </si>
  <si>
    <t>Rebill all applicable services on a single claim.</t>
  </si>
  <si>
    <t>N150</t>
  </si>
  <si>
    <t>Missing/incomplete/invalid model number.</t>
  </si>
  <si>
    <t>N151</t>
  </si>
  <si>
    <t>Telephone contact services will not be paid until the face-to-face contact requirement has been met.</t>
  </si>
  <si>
    <t>N152</t>
  </si>
  <si>
    <t>Missing/incomplete/invalid replacement claim information.</t>
  </si>
  <si>
    <t>N153</t>
  </si>
  <si>
    <t>Missing/incomplete/invalid room and board rate.</t>
  </si>
  <si>
    <t>N154</t>
  </si>
  <si>
    <t>N155</t>
  </si>
  <si>
    <t>N156</t>
  </si>
  <si>
    <t>N157</t>
  </si>
  <si>
    <t>Transportation to/from this destination is not covered.</t>
  </si>
  <si>
    <t>N158</t>
  </si>
  <si>
    <t>Transportation in a vehicle other than an ambulance is not covered.</t>
  </si>
  <si>
    <t>N159</t>
  </si>
  <si>
    <t>Payment denied/reduced because mileage is not covered when the patient is not in the ambulance.</t>
  </si>
  <si>
    <t>N160</t>
  </si>
  <si>
    <t>The patient must choose an option before a payment can be made for this procedure/ equipment/ supply/ service.</t>
  </si>
  <si>
    <t>N161</t>
  </si>
  <si>
    <t>This drug/service/supply is covered only when the associated service is covered.</t>
  </si>
  <si>
    <t>N162</t>
  </si>
  <si>
    <t>N163</t>
  </si>
  <si>
    <t>Medical record does not support code billed per the code definition.</t>
  </si>
  <si>
    <t>N167</t>
  </si>
  <si>
    <t>Charges exceed the post-transplant coverage limit.</t>
  </si>
  <si>
    <t>N170</t>
  </si>
  <si>
    <t>A new/revised/renewed certificate of medical necessity is needed.</t>
  </si>
  <si>
    <t>N171</t>
  </si>
  <si>
    <t>Payment for repair or replacement is not covered or has exceeded the purchase price.</t>
  </si>
  <si>
    <t>N172</t>
  </si>
  <si>
    <t>The patient is not liable for the denied/adjusted charge(s) for receiving any updated service/item.</t>
  </si>
  <si>
    <t>N173</t>
  </si>
  <si>
    <t>No qualifying hospital stay dates were provided for this episode of care.</t>
  </si>
  <si>
    <t>N174</t>
  </si>
  <si>
    <t>This is not a covered service/procedure/ equipment/bed, however patient liability is limited to amounts shown in the adjustments under group 'PR'.</t>
  </si>
  <si>
    <t>N175</t>
  </si>
  <si>
    <t>Missing review organization approval.</t>
  </si>
  <si>
    <t>N176</t>
  </si>
  <si>
    <t>Services provided aboard a ship are covered only when the ship is of United States registry and is in United States waters. In addition, a doctor licensed to practice in the United States must provide the service.</t>
  </si>
  <si>
    <t>N177</t>
  </si>
  <si>
    <t>N178</t>
  </si>
  <si>
    <t>Missing pre-operative images/visual field results.</t>
  </si>
  <si>
    <t>N179</t>
  </si>
  <si>
    <t>Additional information has been requested from the member. The charges will be reconsidered upon receipt of that information.</t>
  </si>
  <si>
    <t>N180</t>
  </si>
  <si>
    <t>This item or service does not meet the criteria for the category under which it was billed.</t>
  </si>
  <si>
    <t>N181</t>
  </si>
  <si>
    <t>Additional information is required from another provider involved in this service.</t>
  </si>
  <si>
    <t>N182</t>
  </si>
  <si>
    <t>This claim/service must be billed according to the schedule for this plan.</t>
  </si>
  <si>
    <t>N183</t>
  </si>
  <si>
    <t>N184</t>
  </si>
  <si>
    <t>Rebill technical and professional components separately.</t>
  </si>
  <si>
    <t>N185</t>
  </si>
  <si>
    <t>N186</t>
  </si>
  <si>
    <t>Non-Availability Statement (NAS) required for this service. Contact the nearest Military Treatment Facility (MTF) for assistance.</t>
  </si>
  <si>
    <t>N187</t>
  </si>
  <si>
    <t>N188</t>
  </si>
  <si>
    <t>The approved level of care does not match the procedure code submitted.</t>
  </si>
  <si>
    <t>N189</t>
  </si>
  <si>
    <t>N190</t>
  </si>
  <si>
    <t>Missing contract indicator.</t>
  </si>
  <si>
    <t>N191</t>
  </si>
  <si>
    <t>The provider must update insurance information directly with payer.</t>
  </si>
  <si>
    <t>N192</t>
  </si>
  <si>
    <t>N193</t>
  </si>
  <si>
    <t>N194</t>
  </si>
  <si>
    <t>Technical component not paid if provider does not own the equipment used.</t>
  </si>
  <si>
    <t>N195</t>
  </si>
  <si>
    <t>The technical component must be billed separately.</t>
  </si>
  <si>
    <t>N196</t>
  </si>
  <si>
    <t>N197</t>
  </si>
  <si>
    <t>The subscriber must update insurance information directly with payer.</t>
  </si>
  <si>
    <t>N198</t>
  </si>
  <si>
    <t>Rendering provider must be affiliated with the pay-to provider.</t>
  </si>
  <si>
    <t>N199</t>
  </si>
  <si>
    <t>Additional payment/recoupment approved based on payer-initiated review/audit.</t>
  </si>
  <si>
    <t>N200</t>
  </si>
  <si>
    <t>The professional component must be billed separately.</t>
  </si>
  <si>
    <t>N202</t>
  </si>
  <si>
    <t>N203</t>
  </si>
  <si>
    <t>Missing/incomplete/invalid anesthesia time/units.</t>
  </si>
  <si>
    <t>N204</t>
  </si>
  <si>
    <t>Services under review for possible pre-existing condition. Send medical records for prior 12 months</t>
  </si>
  <si>
    <t>N205</t>
  </si>
  <si>
    <t>Information provided was illegible.</t>
  </si>
  <si>
    <t>N206</t>
  </si>
  <si>
    <t>The supporting documentation does not match the information sent on the claim.</t>
  </si>
  <si>
    <t>N207</t>
  </si>
  <si>
    <t>Missing/incomplete/invalid weight.</t>
  </si>
  <si>
    <t>N208</t>
  </si>
  <si>
    <t>Missing/incomplete/invalid DRG code.</t>
  </si>
  <si>
    <t>N209</t>
  </si>
  <si>
    <t>Missing/incomplete/invalid taxpayer identification number (TIN).</t>
  </si>
  <si>
    <t>N210</t>
  </si>
  <si>
    <t>N211</t>
  </si>
  <si>
    <t>N212</t>
  </si>
  <si>
    <t>Charges processed under a Point of Service benefit.</t>
  </si>
  <si>
    <t>N213</t>
  </si>
  <si>
    <t>Missing/incomplete/invalid facility/discrete unit DRG/DRG exempt status information.</t>
  </si>
  <si>
    <t>N214</t>
  </si>
  <si>
    <t>Missing/incomplete/invalid history of the related initial surgical procedure(s).</t>
  </si>
  <si>
    <t>N215</t>
  </si>
  <si>
    <t>N216</t>
  </si>
  <si>
    <t>We do not offer coverage for this type of service or the patient is not enrolled in this portion of our benefit package.</t>
  </si>
  <si>
    <t>N217</t>
  </si>
  <si>
    <t>We pay only one site of service per provider per claim.</t>
  </si>
  <si>
    <t>N218</t>
  </si>
  <si>
    <t>You must furnish and service this item for as long as the patient continues to need it. We can pay for maintenance and/or servicing for the time period specified in the contract or coverage manual.</t>
  </si>
  <si>
    <t>N219</t>
  </si>
  <si>
    <t>Payment based on previous payer's allowed amount.</t>
  </si>
  <si>
    <t>N220</t>
  </si>
  <si>
    <t>N221</t>
  </si>
  <si>
    <t>Missing Admitting History and Physical report.</t>
  </si>
  <si>
    <t>N222</t>
  </si>
  <si>
    <t>Incomplete/invalid Admitting History and Physical report.</t>
  </si>
  <si>
    <t>N223</t>
  </si>
  <si>
    <t>Missing documentation of benefit to the patient during initial treatment period.</t>
  </si>
  <si>
    <t>N224</t>
  </si>
  <si>
    <t>Incomplete/invalid documentation of benefit to the patient during initial treatment period.</t>
  </si>
  <si>
    <t>N226</t>
  </si>
  <si>
    <t>Incomplete/invalid American Diabetes Association Certificate of Recognition.</t>
  </si>
  <si>
    <t>N227</t>
  </si>
  <si>
    <t>Incomplete/invalid Certificate of Medical Necessity.</t>
  </si>
  <si>
    <t>N228</t>
  </si>
  <si>
    <t>Incomplete/invalid consent form.</t>
  </si>
  <si>
    <t>N229</t>
  </si>
  <si>
    <t>Incomplete/invalid contract indicator.</t>
  </si>
  <si>
    <t>N230</t>
  </si>
  <si>
    <t>Incomplete/invalid indication of whether the patient owns the equipment that requires the part or supply.</t>
  </si>
  <si>
    <t>N231</t>
  </si>
  <si>
    <t>Incomplete/invalid invoice or statement certifying the actual cost of the lens, less discounts, and/or the type of intraocular lens used.</t>
  </si>
  <si>
    <t>N232</t>
  </si>
  <si>
    <t>Incomplete/invalid itemized bill/statement.</t>
  </si>
  <si>
    <t>N233</t>
  </si>
  <si>
    <t>Incomplete/invalid operative note/report.</t>
  </si>
  <si>
    <t>N234</t>
  </si>
  <si>
    <t>Incomplete/invalid oxygen certification/re-certification.</t>
  </si>
  <si>
    <t>N235</t>
  </si>
  <si>
    <t>Incomplete/invalid pacemaker registration form.</t>
  </si>
  <si>
    <t>N236</t>
  </si>
  <si>
    <t>Incomplete/invalid pathology report.</t>
  </si>
  <si>
    <t>N237</t>
  </si>
  <si>
    <t>Incomplete/invalid patient medical record for this service.</t>
  </si>
  <si>
    <t>N238</t>
  </si>
  <si>
    <t>Incomplete/invalid physician certified plan of care.</t>
  </si>
  <si>
    <t>N239</t>
  </si>
  <si>
    <t>Incomplete/invalid physician financial relationship form.</t>
  </si>
  <si>
    <t>N240</t>
  </si>
  <si>
    <t>Incomplete/invalid radiology report.</t>
  </si>
  <si>
    <t>N241</t>
  </si>
  <si>
    <t>Incomplete/invalid review organization approval.</t>
  </si>
  <si>
    <t>N242</t>
  </si>
  <si>
    <t>Incomplete/invalid radiology film(s)/image(s).</t>
  </si>
  <si>
    <t>N243</t>
  </si>
  <si>
    <t>Incomplete/invalid/not approved screening document.</t>
  </si>
  <si>
    <t>N244</t>
  </si>
  <si>
    <t>Incomplete/Invalid pre-operative images/visual field results.</t>
  </si>
  <si>
    <t>N245</t>
  </si>
  <si>
    <t>Incomplete/invalid plan information for other insurance.</t>
  </si>
  <si>
    <t>N246</t>
  </si>
  <si>
    <t>State regulated patient payment limitations apply to this service.</t>
  </si>
  <si>
    <t>N247</t>
  </si>
  <si>
    <t>Missing/incomplete/invalid assistant surgeon taxonomy.</t>
  </si>
  <si>
    <t>N248</t>
  </si>
  <si>
    <t>Missing/incomplete/invalid assistant surgeon name.</t>
  </si>
  <si>
    <t>N249</t>
  </si>
  <si>
    <t>Missing/incomplete/invalid assistant surgeon primary identifier.</t>
  </si>
  <si>
    <t>N250</t>
  </si>
  <si>
    <t>Missing/incomplete/invalid assistant surgeon secondary identifier.</t>
  </si>
  <si>
    <t>N251</t>
  </si>
  <si>
    <t>Missing/incomplete/invalid attending provider taxonomy.</t>
  </si>
  <si>
    <t>N252</t>
  </si>
  <si>
    <t>Missing/incomplete/invalid attending provider name.</t>
  </si>
  <si>
    <t>N253</t>
  </si>
  <si>
    <t>Missing/incomplete/invalid attending provider primary identifier.</t>
  </si>
  <si>
    <t>N254</t>
  </si>
  <si>
    <t>Missing/incomplete/invalid attending provider secondary identifier.</t>
  </si>
  <si>
    <t>N255</t>
  </si>
  <si>
    <t>Missing/incomplete/invalid billing provider taxonomy.</t>
  </si>
  <si>
    <t>N256</t>
  </si>
  <si>
    <t>Missing/incomplete/invalid billing provider/supplier name.</t>
  </si>
  <si>
    <t>N257</t>
  </si>
  <si>
    <t>Missing/incomplete/invalid billing provider/supplier primary identifier.</t>
  </si>
  <si>
    <t>N258</t>
  </si>
  <si>
    <t>Missing/incomplete/invalid billing provider/supplier address.</t>
  </si>
  <si>
    <t>N259</t>
  </si>
  <si>
    <t>Missing/incomplete/invalid billing provider/supplier secondary identifier.</t>
  </si>
  <si>
    <t>N260</t>
  </si>
  <si>
    <t>Missing/incomplete/invalid billing provider/supplier contact information.</t>
  </si>
  <si>
    <t>N261</t>
  </si>
  <si>
    <t>Missing/incomplete/invalid operating provider name.</t>
  </si>
  <si>
    <t>N262</t>
  </si>
  <si>
    <t>Missing/incomplete/invalid operating provider primary identifier.</t>
  </si>
  <si>
    <t>N263</t>
  </si>
  <si>
    <t>Missing/incomplete/invalid operating provider secondary identifier.</t>
  </si>
  <si>
    <t>N264</t>
  </si>
  <si>
    <t>Missing/incomplete/invalid ordering provider name.</t>
  </si>
  <si>
    <t>N265</t>
  </si>
  <si>
    <t>Missing/incomplete/invalid ordering provider primary identifier.</t>
  </si>
  <si>
    <t>N266</t>
  </si>
  <si>
    <t>Missing/incomplete/invalid ordering provider address.</t>
  </si>
  <si>
    <t>N267</t>
  </si>
  <si>
    <t>Missing/incomplete/invalid ordering provider secondary identifier.</t>
  </si>
  <si>
    <t>N268</t>
  </si>
  <si>
    <t>Missing/incomplete/invalid ordering provider contact information.</t>
  </si>
  <si>
    <t>N269</t>
  </si>
  <si>
    <t>Missing/incomplete/invalid other provider name.</t>
  </si>
  <si>
    <t>N270</t>
  </si>
  <si>
    <t>Missing/incomplete/invalid other provider primary identifier.</t>
  </si>
  <si>
    <t>N271</t>
  </si>
  <si>
    <t>Missing/incomplete/invalid other provider secondary identifier.</t>
  </si>
  <si>
    <t>N272</t>
  </si>
  <si>
    <t>Missing/incomplete/invalid other payer attending provider identifier.</t>
  </si>
  <si>
    <t>N273</t>
  </si>
  <si>
    <t>Missing/incomplete/invalid other payer operating provider identifier.</t>
  </si>
  <si>
    <t>N274</t>
  </si>
  <si>
    <t>Missing/incomplete/invalid other payer other provider identifier.</t>
  </si>
  <si>
    <t>N275</t>
  </si>
  <si>
    <t>Missing/incomplete/invalid other payer purchased service provider identifier.</t>
  </si>
  <si>
    <t>N276</t>
  </si>
  <si>
    <t>Missing/incomplete/invalid other payer referring provider identifier.</t>
  </si>
  <si>
    <t>N277</t>
  </si>
  <si>
    <t>Missing/incomplete/invalid other payer rendering provider identifier.</t>
  </si>
  <si>
    <t>N278</t>
  </si>
  <si>
    <t>Missing/incomplete/invalid other payer service facility provider identifier.</t>
  </si>
  <si>
    <t>N279</t>
  </si>
  <si>
    <t>Missing/incomplete/invalid pay-to provider name.</t>
  </si>
  <si>
    <t>N280</t>
  </si>
  <si>
    <t>Missing/incomplete/invalid pay-to provider primary identifier.</t>
  </si>
  <si>
    <t>N281</t>
  </si>
  <si>
    <t>Missing/incomplete/invalid pay-to provider address.</t>
  </si>
  <si>
    <t>N282</t>
  </si>
  <si>
    <t>Missing/incomplete/invalid pay-to provider secondary identifier.</t>
  </si>
  <si>
    <t>N283</t>
  </si>
  <si>
    <t>Missing/incomplete/invalid purchased service provider identifier.</t>
  </si>
  <si>
    <t>N284</t>
  </si>
  <si>
    <t>Missing/incomplete/invalid referring provider taxonomy.</t>
  </si>
  <si>
    <t>N285</t>
  </si>
  <si>
    <t>Missing/incomplete/invalid referring provider name.</t>
  </si>
  <si>
    <t>N286</t>
  </si>
  <si>
    <t>Missing/incomplete/invalid referring provider primary identifier.</t>
  </si>
  <si>
    <t>N287</t>
  </si>
  <si>
    <t>Missing/incomplete/invalid referring provider secondary identifier.</t>
  </si>
  <si>
    <t>N288</t>
  </si>
  <si>
    <t>Missing/incomplete/invalid rendering provider taxonomy.</t>
  </si>
  <si>
    <t>N289</t>
  </si>
  <si>
    <t>Missing/incomplete/invalid rendering provider name.</t>
  </si>
  <si>
    <t>N290</t>
  </si>
  <si>
    <t>Missing/incomplete/invalid rendering provider primary identifier.</t>
  </si>
  <si>
    <t>N291</t>
  </si>
  <si>
    <t>Missing/incomplete/invalid rendering provider secondary identifier.</t>
  </si>
  <si>
    <t>N292</t>
  </si>
  <si>
    <t>Missing/incomplete/invalid service facility name.</t>
  </si>
  <si>
    <t>N293</t>
  </si>
  <si>
    <t>Missing/incomplete/invalid service facility primary identifier.</t>
  </si>
  <si>
    <t>N294</t>
  </si>
  <si>
    <t>Missing/incomplete/invalid service facility primary address.</t>
  </si>
  <si>
    <t>N295</t>
  </si>
  <si>
    <t>Missing/incomplete/invalid service facility secondary identifier.</t>
  </si>
  <si>
    <t>N296</t>
  </si>
  <si>
    <t>Missing/incomplete/invalid supervising provider name.</t>
  </si>
  <si>
    <t>N297</t>
  </si>
  <si>
    <t>Missing/incomplete/invalid supervising provider primary identifier.</t>
  </si>
  <si>
    <t>N298</t>
  </si>
  <si>
    <t>Missing/incomplete/invalid supervising provider secondary identifier.</t>
  </si>
  <si>
    <t>N299</t>
  </si>
  <si>
    <t>Missing/incomplete/invalid occurrence date(s).</t>
  </si>
  <si>
    <t>N300</t>
  </si>
  <si>
    <t>Missing/incomplete/invalid occurrence span date(s).</t>
  </si>
  <si>
    <t>N301</t>
  </si>
  <si>
    <t>Missing/incomplete/invalid procedure date(s).</t>
  </si>
  <si>
    <t>N302</t>
  </si>
  <si>
    <t>Missing/incomplete/invalid other procedure date(s).</t>
  </si>
  <si>
    <t>N303</t>
  </si>
  <si>
    <t>Missing/incomplete/invalid principal procedure date.</t>
  </si>
  <si>
    <t>N304</t>
  </si>
  <si>
    <t>Missing/incomplete/invalid dispensed date.</t>
  </si>
  <si>
    <t>N305</t>
  </si>
  <si>
    <t>Missing/incomplete/invalid injury/accident date.</t>
  </si>
  <si>
    <t>N306</t>
  </si>
  <si>
    <t>Missing/incomplete/invalid acute manifestation date.</t>
  </si>
  <si>
    <t>N307</t>
  </si>
  <si>
    <t>Missing/incomplete/invalid adjudication or payment date.</t>
  </si>
  <si>
    <t>N308</t>
  </si>
  <si>
    <t>Missing/incomplete/invalid appliance placement date.</t>
  </si>
  <si>
    <t>N309</t>
  </si>
  <si>
    <t>Missing/incomplete/invalid assessment date.</t>
  </si>
  <si>
    <t>N310</t>
  </si>
  <si>
    <t>Missing/incomplete/invalid assumed or relinquished care date.</t>
  </si>
  <si>
    <t>N311</t>
  </si>
  <si>
    <t>Missing/incomplete/invalid authorized to return to work date.</t>
  </si>
  <si>
    <t>N312</t>
  </si>
  <si>
    <t>Missing/incomplete/invalid begin therapy date.</t>
  </si>
  <si>
    <t>N313</t>
  </si>
  <si>
    <t>Missing/incomplete/invalid certification revision date.</t>
  </si>
  <si>
    <t>N314</t>
  </si>
  <si>
    <t>Missing/incomplete/invalid diagnosis date.</t>
  </si>
  <si>
    <t>N315</t>
  </si>
  <si>
    <t>Missing/incomplete/invalid disability from date.</t>
  </si>
  <si>
    <t>N316</t>
  </si>
  <si>
    <t>Missing/incomplete/invalid disability to date.</t>
  </si>
  <si>
    <t>N317</t>
  </si>
  <si>
    <t>Missing/incomplete/invalid discharge hour.</t>
  </si>
  <si>
    <t>N318</t>
  </si>
  <si>
    <t>Missing/incomplete/invalid discharge or end of care date.</t>
  </si>
  <si>
    <t>N319</t>
  </si>
  <si>
    <t>Missing/incomplete/invalid hearing or vision prescription date.</t>
  </si>
  <si>
    <t>N320</t>
  </si>
  <si>
    <t>Missing/incomplete/invalid Home Health Certification Period.</t>
  </si>
  <si>
    <t>N321</t>
  </si>
  <si>
    <t>Missing/incomplete/invalid last admission period.</t>
  </si>
  <si>
    <t>N322</t>
  </si>
  <si>
    <t>Missing/incomplete/invalid last certification date.</t>
  </si>
  <si>
    <t>N323</t>
  </si>
  <si>
    <t>Missing/incomplete/invalid last contact date.</t>
  </si>
  <si>
    <t>N324</t>
  </si>
  <si>
    <t>Missing/incomplete/invalid last seen/visit date.</t>
  </si>
  <si>
    <t>N325</t>
  </si>
  <si>
    <t>Missing/incomplete/invalid last worked date.</t>
  </si>
  <si>
    <t>N326</t>
  </si>
  <si>
    <t>Missing/incomplete/invalid last x-ray date.</t>
  </si>
  <si>
    <t>N327</t>
  </si>
  <si>
    <t>Missing/incomplete/invalid other insured birth date.</t>
  </si>
  <si>
    <t>N328</t>
  </si>
  <si>
    <t>Missing/incomplete/invalid Oxygen Saturation Test date.</t>
  </si>
  <si>
    <t>N329</t>
  </si>
  <si>
    <t>Missing/incomplete/invalid patient birth date.</t>
  </si>
  <si>
    <t>N330</t>
  </si>
  <si>
    <t>Missing/incomplete/invalid patient death date.</t>
  </si>
  <si>
    <t>N331</t>
  </si>
  <si>
    <t>Missing/incomplete/invalid physician order date.</t>
  </si>
  <si>
    <t>N332</t>
  </si>
  <si>
    <t>Missing/incomplete/invalid prior hospital discharge date.</t>
  </si>
  <si>
    <t>N333</t>
  </si>
  <si>
    <t>Missing/incomplete/invalid prior placement date.</t>
  </si>
  <si>
    <t>N334</t>
  </si>
  <si>
    <t>Missing/incomplete/invalid re-evaluation date.</t>
  </si>
  <si>
    <t>N335</t>
  </si>
  <si>
    <t>Missing/incomplete/invalid referral date.</t>
  </si>
  <si>
    <t>N336</t>
  </si>
  <si>
    <t>Missing/incomplete/invalid replacement date.</t>
  </si>
  <si>
    <t>N337</t>
  </si>
  <si>
    <t>Missing/incomplete/invalid secondary diagnosis date.</t>
  </si>
  <si>
    <t>N338</t>
  </si>
  <si>
    <t>Missing/incomplete/invalid shipped date.</t>
  </si>
  <si>
    <t>N339</t>
  </si>
  <si>
    <t>Missing/incomplete/invalid similar illness or symptom date.</t>
  </si>
  <si>
    <t>N340</t>
  </si>
  <si>
    <t>Missing/incomplete/invalid subscriber birth date.</t>
  </si>
  <si>
    <t>N341</t>
  </si>
  <si>
    <t>Missing/incomplete/invalid surgery date.</t>
  </si>
  <si>
    <t>N342</t>
  </si>
  <si>
    <t>Missing/incomplete/invalid test performed date.</t>
  </si>
  <si>
    <t>N343</t>
  </si>
  <si>
    <t>Missing/incomplete/invalid Transcutaneous Electrical Nerve Stimulator (TENS) trial start date.</t>
  </si>
  <si>
    <t>N344</t>
  </si>
  <si>
    <t>Missing/incomplete/invalid Transcutaneous Electrical Nerve Stimulator (TENS) trial end date.</t>
  </si>
  <si>
    <t>N345</t>
  </si>
  <si>
    <t>Date range not valid with units submitted.</t>
  </si>
  <si>
    <t>N346</t>
  </si>
  <si>
    <t>Missing/incomplete/invalid oral cavity designation code.</t>
  </si>
  <si>
    <t>N347</t>
  </si>
  <si>
    <t>Your claim for a referred or purchased service cannot be paid because payment has already been made for this same service to another provider by a payment contractor representing the payer.</t>
  </si>
  <si>
    <t>N348</t>
  </si>
  <si>
    <t>You chose that this service/supply/drug would be rendered/supplied and billed by a different practitioner/supplier.</t>
  </si>
  <si>
    <t>N349</t>
  </si>
  <si>
    <t>The administration method and drug must be reported to adjudicate this service.</t>
  </si>
  <si>
    <t>N350</t>
  </si>
  <si>
    <t>Missing/incomplete/invalid description of service for a Not Otherwise Classified (NOC) code or for an Unlisted/By Report procedure.</t>
  </si>
  <si>
    <t>N351</t>
  </si>
  <si>
    <t>Service date outside of the approved treatment plan service dates.</t>
  </si>
  <si>
    <t>N352</t>
  </si>
  <si>
    <t>N353</t>
  </si>
  <si>
    <t>N354</t>
  </si>
  <si>
    <t>Incomplete/invalid invoice.</t>
  </si>
  <si>
    <t>N355</t>
  </si>
  <si>
    <t>N356</t>
  </si>
  <si>
    <t>Not covered when performed with, or subsequent to, a non-covered service.</t>
  </si>
  <si>
    <t>N357</t>
  </si>
  <si>
    <t>Time frame requirements between this service/procedure/supply and a related service/procedure/supply have not been met.</t>
  </si>
  <si>
    <t>N358</t>
  </si>
  <si>
    <t>N359</t>
  </si>
  <si>
    <t>Missing/incomplete/invalid height.</t>
  </si>
  <si>
    <t>N360</t>
  </si>
  <si>
    <t>N362</t>
  </si>
  <si>
    <t>The number of Days or Units of Service exceeds our acceptable maximum.</t>
  </si>
  <si>
    <t>N363</t>
  </si>
  <si>
    <t>N364</t>
  </si>
  <si>
    <t>N366</t>
  </si>
  <si>
    <t>Requested information not provided. The claim will be reopened if the information previously requested is submitted within one year after the date of this denial notice.</t>
  </si>
  <si>
    <t>N367</t>
  </si>
  <si>
    <t>N368</t>
  </si>
  <si>
    <t>You must appeal the determination of the previously adjudicated claim.</t>
  </si>
  <si>
    <t>N369</t>
  </si>
  <si>
    <t>N370</t>
  </si>
  <si>
    <t>Billing exceeds the rental months covered/approved by the payer.</t>
  </si>
  <si>
    <t>N371</t>
  </si>
  <si>
    <t>N372</t>
  </si>
  <si>
    <t>Only reasonable and necessary maintenance/service charges are covered.</t>
  </si>
  <si>
    <t>N373</t>
  </si>
  <si>
    <t>It has been determined that another payer paid the services as primary when they were not the primary payer. Therefore, we are refunding to the payer that paid as primary on your behalf.</t>
  </si>
  <si>
    <t>N374</t>
  </si>
  <si>
    <t>Primary Medicare Part A insurance has been exhausted and a Part B Remittance Advice is required.</t>
  </si>
  <si>
    <t>N375</t>
  </si>
  <si>
    <t>Missing/incomplete/invalid questionnaire/information required to determine dependent eligibility.</t>
  </si>
  <si>
    <t>N376</t>
  </si>
  <si>
    <t>Subscriber/patient is assigned to active military duty, therefore primary coverage may be TRICARE.</t>
  </si>
  <si>
    <t>N377</t>
  </si>
  <si>
    <t>Payment based on a processed replacement claim.</t>
  </si>
  <si>
    <t>N378</t>
  </si>
  <si>
    <t>Missing/incomplete/invalid prescription quantity.</t>
  </si>
  <si>
    <t>N379</t>
  </si>
  <si>
    <t>Claim level information does not match line level information.</t>
  </si>
  <si>
    <t>N380</t>
  </si>
  <si>
    <t>The original claim has been processed, submit a corrected claim.</t>
  </si>
  <si>
    <t>N381</t>
  </si>
  <si>
    <t>N382</t>
  </si>
  <si>
    <t>Missing/incomplete/invalid patient identifier.</t>
  </si>
  <si>
    <t>N383</t>
  </si>
  <si>
    <t>Not covered when deemed cosmetic.</t>
  </si>
  <si>
    <t>N384</t>
  </si>
  <si>
    <t>Records indicate that the referenced body part/tooth has been removed in a previous procedure.</t>
  </si>
  <si>
    <t>N385</t>
  </si>
  <si>
    <t>Notification of admission was not timely according to published plan procedures.</t>
  </si>
  <si>
    <t>N386</t>
  </si>
  <si>
    <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</si>
  <si>
    <t>N387</t>
  </si>
  <si>
    <t>N388</t>
  </si>
  <si>
    <t>Missing/incomplete/invalid prescription number.</t>
  </si>
  <si>
    <t>N389</t>
  </si>
  <si>
    <t>Duplicate prescription number submitted.</t>
  </si>
  <si>
    <t>N390</t>
  </si>
  <si>
    <t>This service/report cannot be billed separately.</t>
  </si>
  <si>
    <t>N391</t>
  </si>
  <si>
    <t>Missing emergency department records.</t>
  </si>
  <si>
    <t>N392</t>
  </si>
  <si>
    <t>Incomplete/invalid emergency department records.</t>
  </si>
  <si>
    <t>N393</t>
  </si>
  <si>
    <t>Missing progress notes/report.</t>
  </si>
  <si>
    <t>N394</t>
  </si>
  <si>
    <t>Incomplete/invalid progress notes/report.</t>
  </si>
  <si>
    <t>N395</t>
  </si>
  <si>
    <t>Missing laboratory report.</t>
  </si>
  <si>
    <t>N396</t>
  </si>
  <si>
    <t>Incomplete/invalid laboratory report.</t>
  </si>
  <si>
    <t>N397</t>
  </si>
  <si>
    <t>Benefits are not available for incomplete service(s)/undelivered item(s).</t>
  </si>
  <si>
    <t>N398</t>
  </si>
  <si>
    <t>Missing elective consent form.</t>
  </si>
  <si>
    <t>N399</t>
  </si>
  <si>
    <t>Incomplete/invalid elective consent form.</t>
  </si>
  <si>
    <t>N400</t>
  </si>
  <si>
    <t>N401</t>
  </si>
  <si>
    <t>Missing periodontal charting.</t>
  </si>
  <si>
    <t>N402</t>
  </si>
  <si>
    <t>Incomplete/invalid periodontal charting.</t>
  </si>
  <si>
    <t>N403</t>
  </si>
  <si>
    <t>Missing facility certification.</t>
  </si>
  <si>
    <t>N404</t>
  </si>
  <si>
    <t>Incomplete/invalid facility certification.</t>
  </si>
  <si>
    <t>N405</t>
  </si>
  <si>
    <t>This service is only covered when the donor's insurer(s) do not provide coverage for the service.</t>
  </si>
  <si>
    <t>N406</t>
  </si>
  <si>
    <t>This service is only covered when the recipient's insurer(s) do not provide coverage for the service.</t>
  </si>
  <si>
    <t>N407</t>
  </si>
  <si>
    <t>You are not an approved submitter for this transmission format.</t>
  </si>
  <si>
    <t>N408</t>
  </si>
  <si>
    <t>This payer does not cover deductibles assessed by a previous payer.</t>
  </si>
  <si>
    <t>N409</t>
  </si>
  <si>
    <t>This service is related to an accidental injury and is not covered unless provided within a specific time frame from the date of the accident.</t>
  </si>
  <si>
    <t>N410</t>
  </si>
  <si>
    <t>Not covered unless the prescription changes.</t>
  </si>
  <si>
    <t>N411</t>
  </si>
  <si>
    <t>This service is allowed one time in a 6-month period.</t>
  </si>
  <si>
    <t>N412</t>
  </si>
  <si>
    <t>This service is allowed 2 times in a 12-month period.</t>
  </si>
  <si>
    <t>N413</t>
  </si>
  <si>
    <t>This service is allowed 2 times in a benefit year.</t>
  </si>
  <si>
    <t>N414</t>
  </si>
  <si>
    <t>This service is allowed 4 times in a 12-month period.</t>
  </si>
  <si>
    <t>N415</t>
  </si>
  <si>
    <t>This service is allowed 1 time in an 18-month period.</t>
  </si>
  <si>
    <t>N416</t>
  </si>
  <si>
    <t>This service is allowed 1 time in a 3-year period.</t>
  </si>
  <si>
    <t>N417</t>
  </si>
  <si>
    <t>This service is allowed 1 time in a 5-year period.</t>
  </si>
  <si>
    <t>N418</t>
  </si>
  <si>
    <t>Misrouted claim. See the payer's claim submission instructions.</t>
  </si>
  <si>
    <t>N419</t>
  </si>
  <si>
    <t>Claim payment was the result of a payer's retroactive adjustment due to a retroactive rate change.</t>
  </si>
  <si>
    <t>N420</t>
  </si>
  <si>
    <t>Claim payment was the result of a payer's retroactive adjustment due to a Coordination of Benefits or Third Party Liability Recovery.</t>
  </si>
  <si>
    <t>N421</t>
  </si>
  <si>
    <t>Claim payment was the result of a payer's retroactive adjustment due to a review organization decision.</t>
  </si>
  <si>
    <t>N422</t>
  </si>
  <si>
    <t>Claim payment was the result of a payer's retroactive adjustment due to a payer's contract incentive program.</t>
  </si>
  <si>
    <t>N423</t>
  </si>
  <si>
    <t>Claim payment was the result of a payer's retroactive adjustment due to a non standard program.</t>
  </si>
  <si>
    <t>N424</t>
  </si>
  <si>
    <t>Patient does not reside in the geographic area required for this type of payment.</t>
  </si>
  <si>
    <t>N425</t>
  </si>
  <si>
    <t>Statutorily excluded service(s).</t>
  </si>
  <si>
    <t>N426</t>
  </si>
  <si>
    <t>No coverage when self-administered.</t>
  </si>
  <si>
    <t>N427</t>
  </si>
  <si>
    <t>Payment for eyeglasses or contact lenses can be made only after cataract surgery.</t>
  </si>
  <si>
    <t>N428</t>
  </si>
  <si>
    <t>Not covered when performed in this place of service.</t>
  </si>
  <si>
    <t>N429</t>
  </si>
  <si>
    <t>Not covered when considered routine.</t>
  </si>
  <si>
    <t>N430</t>
  </si>
  <si>
    <t>Procedure code is inconsistent with the units billed.</t>
  </si>
  <si>
    <t>N431</t>
  </si>
  <si>
    <t>Not covered with this procedure.</t>
  </si>
  <si>
    <t>N432</t>
  </si>
  <si>
    <t>N433</t>
  </si>
  <si>
    <t>Resubmit this claim using only your National Provider Identifier (NPI).</t>
  </si>
  <si>
    <t>N434</t>
  </si>
  <si>
    <t>Missing/Incomplete/Invalid Present on Admission indicator.</t>
  </si>
  <si>
    <t>N435</t>
  </si>
  <si>
    <t>Exceeds number/frequency approved /allowed within time period without support documentation.</t>
  </si>
  <si>
    <t>N436</t>
  </si>
  <si>
    <t>The injury claim has not been accepted and a mandatory medical reimbursement has been made.</t>
  </si>
  <si>
    <t>N437</t>
  </si>
  <si>
    <t>N438</t>
  </si>
  <si>
    <t>This jurisdiction only accepts paper claims.</t>
  </si>
  <si>
    <t>N439</t>
  </si>
  <si>
    <t>Missing anesthesia physical status report/indicators.</t>
  </si>
  <si>
    <t>N440</t>
  </si>
  <si>
    <t>Incomplete/invalid anesthesia physical status report/indicators.</t>
  </si>
  <si>
    <t>N441</t>
  </si>
  <si>
    <t>This missed/cancelled appointment is not covered.</t>
  </si>
  <si>
    <t>N442</t>
  </si>
  <si>
    <t>Payment based on an alternate fee schedule.</t>
  </si>
  <si>
    <t>N443</t>
  </si>
  <si>
    <t>Missing/incomplete/invalid total time or begin/end time.</t>
  </si>
  <si>
    <t>N444</t>
  </si>
  <si>
    <t>N445</t>
  </si>
  <si>
    <t>Missing document for actual cost or paid amount.</t>
  </si>
  <si>
    <t>N446</t>
  </si>
  <si>
    <t>Incomplete/invalid document for actual cost or paid amount.</t>
  </si>
  <si>
    <t>N447</t>
  </si>
  <si>
    <t>Payment is based on a generic equivalent as required documentation was not provided.</t>
  </si>
  <si>
    <t>N448</t>
  </si>
  <si>
    <t>This drug/service/supply is not included in the fee schedule or contracted/legislated fee arrangement.</t>
  </si>
  <si>
    <t>N449</t>
  </si>
  <si>
    <t>Payment based on a comparable drug/service/supply.</t>
  </si>
  <si>
    <t>N450</t>
  </si>
  <si>
    <t>Covered only when performed by the primary treating physician or the designee.</t>
  </si>
  <si>
    <t>N451</t>
  </si>
  <si>
    <t>Missing Admission Summary Report.</t>
  </si>
  <si>
    <t>N452</t>
  </si>
  <si>
    <t>Incomplete/invalid Admission Summary Report.</t>
  </si>
  <si>
    <t>N453</t>
  </si>
  <si>
    <t>Missing Consultation Report.</t>
  </si>
  <si>
    <t>N454</t>
  </si>
  <si>
    <t>Incomplete/invalid Consultation Report.</t>
  </si>
  <si>
    <t>N455</t>
  </si>
  <si>
    <t>Missing Physician Order.</t>
  </si>
  <si>
    <t>N456</t>
  </si>
  <si>
    <t>Incomplete/invalid Physician Order.</t>
  </si>
  <si>
    <t>N457</t>
  </si>
  <si>
    <t>Missing Diagnostic Report.</t>
  </si>
  <si>
    <t>N458</t>
  </si>
  <si>
    <t>Incomplete/invalid Diagnostic Report.</t>
  </si>
  <si>
    <t>N459</t>
  </si>
  <si>
    <t>Missing Discharge Summary.</t>
  </si>
  <si>
    <t>N460</t>
  </si>
  <si>
    <t>Incomplete/invalid Discharge Summary.</t>
  </si>
  <si>
    <t>N461</t>
  </si>
  <si>
    <t>Missing Nursing Notes.</t>
  </si>
  <si>
    <t>N462</t>
  </si>
  <si>
    <t>Incomplete/invalid Nursing Notes.</t>
  </si>
  <si>
    <t>N463</t>
  </si>
  <si>
    <t>Missing support data for claim.</t>
  </si>
  <si>
    <t>N464</t>
  </si>
  <si>
    <t>Incomplete/invalid support data for claim.</t>
  </si>
  <si>
    <t>N465</t>
  </si>
  <si>
    <t>Missing Physical Therapy Notes/Report.</t>
  </si>
  <si>
    <t>N466</t>
  </si>
  <si>
    <t>Incomplete/invalid Physical Therapy Notes/Report.</t>
  </si>
  <si>
    <t>N467</t>
  </si>
  <si>
    <t>Missing Tests and Analysis Report.</t>
  </si>
  <si>
    <t>N468</t>
  </si>
  <si>
    <t>Incomplete/invalid Report of Tests and Analysis Report.</t>
  </si>
  <si>
    <t>N469</t>
  </si>
  <si>
    <t>N470</t>
  </si>
  <si>
    <t>This payment will complete the mandatory medical reimbursement limit.</t>
  </si>
  <si>
    <t>N471</t>
  </si>
  <si>
    <t>Missing/incomplete/invalid HIPPS Rate Code.</t>
  </si>
  <si>
    <t>N472</t>
  </si>
  <si>
    <t>Payment for this service has been issued to another provider.</t>
  </si>
  <si>
    <t>N473</t>
  </si>
  <si>
    <t>Missing certification.</t>
  </si>
  <si>
    <t>N474</t>
  </si>
  <si>
    <t>Incomplete/invalid certification.</t>
  </si>
  <si>
    <t>N475</t>
  </si>
  <si>
    <t>Missing completed referral form.</t>
  </si>
  <si>
    <t>N476</t>
  </si>
  <si>
    <t>Incomplete/invalid completed referral form.</t>
  </si>
  <si>
    <t>N477</t>
  </si>
  <si>
    <t>Missing Dental Models.</t>
  </si>
  <si>
    <t>N478</t>
  </si>
  <si>
    <t>Incomplete/invalid Dental Models.</t>
  </si>
  <si>
    <t>N479</t>
  </si>
  <si>
    <t>Missing Explanation of Benefits (Coordination of Benefits or Medicare Secondary Payer).</t>
  </si>
  <si>
    <t>N480</t>
  </si>
  <si>
    <t>Incomplete/invalid Explanation of Benefits (Coordination of Benefits or Medicare Secondary Payer).</t>
  </si>
  <si>
    <t>N481</t>
  </si>
  <si>
    <t>Missing Models.</t>
  </si>
  <si>
    <t>N482</t>
  </si>
  <si>
    <t>Incomplete/invalid Models.</t>
  </si>
  <si>
    <t>N485</t>
  </si>
  <si>
    <t>Missing Physical Therapy Certification.</t>
  </si>
  <si>
    <t>N486</t>
  </si>
  <si>
    <t>Incomplete/invalid Physical Therapy Certification.</t>
  </si>
  <si>
    <t>N487</t>
  </si>
  <si>
    <t>Missing Prosthetics or Orthotics Certification.</t>
  </si>
  <si>
    <t>N488</t>
  </si>
  <si>
    <t>Incomplete/invalid Prosthetics or Orthotics Certification.</t>
  </si>
  <si>
    <t>N489</t>
  </si>
  <si>
    <t>Missing referral form.</t>
  </si>
  <si>
    <t>N490</t>
  </si>
  <si>
    <t>Incomplete/invalid referral form.</t>
  </si>
  <si>
    <t>N491</t>
  </si>
  <si>
    <t>Missing/Incomplete/Invalid Exclusionary Rider Condition.</t>
  </si>
  <si>
    <t>N492</t>
  </si>
  <si>
    <t>N493</t>
  </si>
  <si>
    <t>Missing Doctor First Report of Injury.</t>
  </si>
  <si>
    <t>N494</t>
  </si>
  <si>
    <t>Incomplete/invalid Doctor First Report of Injury.</t>
  </si>
  <si>
    <t>N495</t>
  </si>
  <si>
    <t>Missing Supplemental Medical Report.</t>
  </si>
  <si>
    <t>N496</t>
  </si>
  <si>
    <t>Incomplete/invalid Supplemental Medical Report.</t>
  </si>
  <si>
    <t>N497</t>
  </si>
  <si>
    <t>Missing Medical Permanent Impairment or Disability Report.</t>
  </si>
  <si>
    <t>N498</t>
  </si>
  <si>
    <t>Incomplete/invalid Medical Permanent Impairment or Disability Report.</t>
  </si>
  <si>
    <t>N499</t>
  </si>
  <si>
    <t>Missing Medical Legal Report.</t>
  </si>
  <si>
    <t>N500</t>
  </si>
  <si>
    <t>Incomplete/invalid Medical Legal Report.</t>
  </si>
  <si>
    <t>N501</t>
  </si>
  <si>
    <t>Missing Vocational Report.</t>
  </si>
  <si>
    <t>N502</t>
  </si>
  <si>
    <t>Incomplete/invalid Vocational Report.</t>
  </si>
  <si>
    <t>N503</t>
  </si>
  <si>
    <t>Missing Work Status Report.</t>
  </si>
  <si>
    <t>N504</t>
  </si>
  <si>
    <t>Incomplete/invalid Work Status Report.</t>
  </si>
  <si>
    <t>N505</t>
  </si>
  <si>
    <t>N506</t>
  </si>
  <si>
    <t>N507</t>
  </si>
  <si>
    <t>Plan distance requirements have not been met.</t>
  </si>
  <si>
    <t>N508</t>
  </si>
  <si>
    <t>N509</t>
  </si>
  <si>
    <t>N510</t>
  </si>
  <si>
    <t>N511</t>
  </si>
  <si>
    <t>N512</t>
  </si>
  <si>
    <t>N513</t>
  </si>
  <si>
    <t>N516</t>
  </si>
  <si>
    <t>Records indicate a mismatch between the submitted NPI and EIN.</t>
  </si>
  <si>
    <t>N517</t>
  </si>
  <si>
    <t>Resubmit a new claim with the requested information.</t>
  </si>
  <si>
    <t>N518</t>
  </si>
  <si>
    <t>No separate payment for accessories when furnished for use with oxygen equipment.</t>
  </si>
  <si>
    <t>N519</t>
  </si>
  <si>
    <t>Invalid combination of HCPCS modifiers.</t>
  </si>
  <si>
    <t>N520</t>
  </si>
  <si>
    <t>N521</t>
  </si>
  <si>
    <t>Mismatch between the submitted provider information and the provider information stored in our system.</t>
  </si>
  <si>
    <t>N522</t>
  </si>
  <si>
    <t>Duplicate of a claim processed, or to be processed, as a crossover claim.</t>
  </si>
  <si>
    <t>N523</t>
  </si>
  <si>
    <t>The limitation on outlier payments defined by this payer for this service period has been met. The outlier payment otherwise applicable to this claim has not been paid.</t>
  </si>
  <si>
    <t>N524</t>
  </si>
  <si>
    <t>Based on policy this payment constitutes payment in full.</t>
  </si>
  <si>
    <t>N525</t>
  </si>
  <si>
    <t>These services are not covered when performed within the global period of another service.</t>
  </si>
  <si>
    <t>N526</t>
  </si>
  <si>
    <t>Not qualified for recovery based on employer size.</t>
  </si>
  <si>
    <t>N527</t>
  </si>
  <si>
    <t>We processed this claim as the primary payer prior to receiving the recovery demand.</t>
  </si>
  <si>
    <t>N528</t>
  </si>
  <si>
    <t>Patient is entitled to benefits for Institutional Services only.</t>
  </si>
  <si>
    <t>N529</t>
  </si>
  <si>
    <t>Patient is entitled to benefits for Professional Services only.</t>
  </si>
  <si>
    <t>N530</t>
  </si>
  <si>
    <t>Not Qualified for Recovery based on enrollment information.</t>
  </si>
  <si>
    <t>N531</t>
  </si>
  <si>
    <t>Not qualified for recovery based on direct payment of premium.</t>
  </si>
  <si>
    <t>N532</t>
  </si>
  <si>
    <t>Not qualified for recovery based on disability and working status.</t>
  </si>
  <si>
    <t>N533</t>
  </si>
  <si>
    <t>Services performed in an Indian Health Services facility under a self-insured tribal Group Health Plan.</t>
  </si>
  <si>
    <t>N534</t>
  </si>
  <si>
    <t>This is an individual policy, the employer does not participate in plan sponsorship.</t>
  </si>
  <si>
    <t>N535</t>
  </si>
  <si>
    <t>Payment is adjusted when procedure is performed in this place of service based on the submitted procedure code and place of service.</t>
  </si>
  <si>
    <t>N536</t>
  </si>
  <si>
    <t>We are not changing the prior payer's determination of patient responsibility, which you may collect, as this service is not covered by us.</t>
  </si>
  <si>
    <t>N537</t>
  </si>
  <si>
    <t>We have examined claims history and no records of the services have been found.</t>
  </si>
  <si>
    <t>N538</t>
  </si>
  <si>
    <t>A facility is responsible for payment to outside providers who furnish these services/supplies/drugs to its patients/residents.</t>
  </si>
  <si>
    <t>N539</t>
  </si>
  <si>
    <t>N540</t>
  </si>
  <si>
    <t>Payment adjusted based on the interrupted stay policy.</t>
  </si>
  <si>
    <t>N541</t>
  </si>
  <si>
    <t>Mismatch between the submitted insurance type code and the information stored in our system.</t>
  </si>
  <si>
    <t>N542</t>
  </si>
  <si>
    <t>Missing income verification.</t>
  </si>
  <si>
    <t>N543</t>
  </si>
  <si>
    <t>Incomplete/invalid income verification.</t>
  </si>
  <si>
    <t>N544</t>
  </si>
  <si>
    <t>N545</t>
  </si>
  <si>
    <t>Payment reduced based on status as an unsuccessful eprescriber per the Electronic Prescribing (eRx) Incentive Program.</t>
  </si>
  <si>
    <t>N546</t>
  </si>
  <si>
    <t>Payment represents a previous reduction based on the Electronic Prescribing (eRx) Incentive Program.</t>
  </si>
  <si>
    <t>N547</t>
  </si>
  <si>
    <t>A refund request (Frequency Type Code 8) was processed previously.</t>
  </si>
  <si>
    <t>N548</t>
  </si>
  <si>
    <t>N549</t>
  </si>
  <si>
    <t>N550</t>
  </si>
  <si>
    <t>N551</t>
  </si>
  <si>
    <t>Payment adjusted based on the Ambulatory Surgical Center (ASC) Quality Reporting Program.</t>
  </si>
  <si>
    <t>N552</t>
  </si>
  <si>
    <t>Payment adjusted to reverse a previous withhold/bonus amount.</t>
  </si>
  <si>
    <t>N554</t>
  </si>
  <si>
    <t>Missing/Incomplete/Invalid Family Planning Indicator.</t>
  </si>
  <si>
    <t>N555</t>
  </si>
  <si>
    <t>Missing medication list.</t>
  </si>
  <si>
    <t>N556</t>
  </si>
  <si>
    <t>Incomplete/invalid medication list.</t>
  </si>
  <si>
    <t>N557</t>
  </si>
  <si>
    <t>This claim/service is not payable under our service area. The claim must be filed to the Payer/Plan in whose service area the specimen was collected.</t>
  </si>
  <si>
    <t>N558</t>
  </si>
  <si>
    <t>This claim/service is not payable under our service area. The claim must be filed to the Payer/Plan in whose service area the equipment was received.</t>
  </si>
  <si>
    <t>N559</t>
  </si>
  <si>
    <t>This claim/service is not payable under our service area. The claim must be filed to the Payer/Plan in whose service area the Ordering Physician is located.</t>
  </si>
  <si>
    <t>N560</t>
  </si>
  <si>
    <t>The pilot program requires an interim or final claim within 60 days of the Notice of Admission. A claim was not received.</t>
  </si>
  <si>
    <t>N561</t>
  </si>
  <si>
    <t>The bundled claim originally submitted for this episode of care includes related readmissions. You may resubmit the original claim to receive a corrected payment based on this readmission.</t>
  </si>
  <si>
    <t>N562</t>
  </si>
  <si>
    <t>The provider number of your incoming claim does not match the provider number on the processed Notice of Admission (NOA) for this bundled payment.</t>
  </si>
  <si>
    <t>N563</t>
  </si>
  <si>
    <t>N564</t>
  </si>
  <si>
    <t>Patient did not meet the inclusion criteria for the demonstration project or pilot program.</t>
  </si>
  <si>
    <t>N565</t>
  </si>
  <si>
    <t>N566</t>
  </si>
  <si>
    <t>N567</t>
  </si>
  <si>
    <t>Not covered when considered preventative.</t>
  </si>
  <si>
    <t>N568</t>
  </si>
  <si>
    <t>N569</t>
  </si>
  <si>
    <t>Not covered when performed for the reported diagnosis.</t>
  </si>
  <si>
    <t>N570</t>
  </si>
  <si>
    <t>Missing/incomplete/invalid credentialing data.</t>
  </si>
  <si>
    <t>N571</t>
  </si>
  <si>
    <t>N572</t>
  </si>
  <si>
    <t>This procedure is not payable unless appropriate non-payable reporting codes and associated modifiers are submitted.</t>
  </si>
  <si>
    <t>N573</t>
  </si>
  <si>
    <t>N574</t>
  </si>
  <si>
    <t>Our records indicate the ordering/referring provider is of a type/specialty that cannot order or refer. Please verify that the claim ordering/referring provider information is accurate or contact the ordering/referring provider.</t>
  </si>
  <si>
    <t>N575</t>
  </si>
  <si>
    <t>Mismatch between the submitted ordering/referring provider name and the ordering/referring provider name stored in our records.</t>
  </si>
  <si>
    <t>N576</t>
  </si>
  <si>
    <t>Services not related to the specific incident/claim/accident/loss being reported.</t>
  </si>
  <si>
    <t>N577</t>
  </si>
  <si>
    <t>Personal Injury Protection (PIP) Coverage.</t>
  </si>
  <si>
    <t>N578</t>
  </si>
  <si>
    <t>Coverages do not apply to this loss.</t>
  </si>
  <si>
    <t>N579</t>
  </si>
  <si>
    <t>Medical Payments Coverage (MPC).</t>
  </si>
  <si>
    <t>N580</t>
  </si>
  <si>
    <t>Determination based on the provisions of the insurance policy.</t>
  </si>
  <si>
    <t>N581</t>
  </si>
  <si>
    <t>Investigation of coverage eligibility is pending.</t>
  </si>
  <si>
    <t>N582</t>
  </si>
  <si>
    <t>Benefits suspended pending the patient's cooperation.</t>
  </si>
  <si>
    <t>N583</t>
  </si>
  <si>
    <t>Patient was not an occupant of our insured vehicle and therefore, is not an eligible injured person.</t>
  </si>
  <si>
    <t>N584</t>
  </si>
  <si>
    <t>Not covered based on the insured's noncompliance with policy or statutory conditions.</t>
  </si>
  <si>
    <t>N585</t>
  </si>
  <si>
    <t>Benefits are no longer available based on a final injury settlement.</t>
  </si>
  <si>
    <t>N586</t>
  </si>
  <si>
    <t>The injured party does not qualify for benefits.</t>
  </si>
  <si>
    <t>N587</t>
  </si>
  <si>
    <t>Policy benefits have been exhausted.</t>
  </si>
  <si>
    <t>N588</t>
  </si>
  <si>
    <t>The patient has instructed that medical claims/bills are not to be paid.</t>
  </si>
  <si>
    <t>N589</t>
  </si>
  <si>
    <t>Coverage is excluded to any person injured as a result of operating a motor vehicle while in an intoxicated condition or while the ability to operate such a vehicle is impaired by the use of a drug.</t>
  </si>
  <si>
    <t>N590</t>
  </si>
  <si>
    <t>Missing independent medical exam detailing the cause of injuries sustained and medical necessity of services rendered.</t>
  </si>
  <si>
    <t>N591</t>
  </si>
  <si>
    <t>Payment based on an Independent Medical Examination (IME) or Utilization Review (UR).</t>
  </si>
  <si>
    <t>N592</t>
  </si>
  <si>
    <t>Adjusted because this is not the initial prescription or exceeds the amount allowed for the initial prescription.</t>
  </si>
  <si>
    <t>N593</t>
  </si>
  <si>
    <t>Not covered based on failure to attend a scheduled Independent Medical Exam (IME).</t>
  </si>
  <si>
    <t>N594</t>
  </si>
  <si>
    <t>Records reflect the injured party did not complete an Application for Benefits for this loss.</t>
  </si>
  <si>
    <t>N595</t>
  </si>
  <si>
    <t>Records reflect the injured party did not complete an Assignment of Benefits for this loss.</t>
  </si>
  <si>
    <t>N596</t>
  </si>
  <si>
    <t>Records reflect the injured party did not complete a Medical Authorization for this loss.</t>
  </si>
  <si>
    <t>N597</t>
  </si>
  <si>
    <t>Adjusted based on a medical/dental provider's apportionment of care between related injuries and other unrelated medical/dental conditions/injuries.</t>
  </si>
  <si>
    <t>N598</t>
  </si>
  <si>
    <t>Health care policy coverage is primary.</t>
  </si>
  <si>
    <t>N599</t>
  </si>
  <si>
    <t>Our payment for this service is based upon a reasonable amount pursuant to both the terms and conditions of the policy of insurance under which the subject claim is being made as well as the Florida No-Fault Statute, which permits, when determining a reasonable charge for a service, an insurer to consider usual and customary charges and payments accepted by the provider, reimbursement levels in the community and various federal and state fee schedules applicable to automobile and other insurance coverages, and other information relevant to the reasonableness of the reimbursement for the service. The payment for this service is based upon 200% of the Participating Level of Medicare Part B fee schedule for the locale in which the services were rendered.</t>
  </si>
  <si>
    <t>N600</t>
  </si>
  <si>
    <t>Adjusted based on the applicable fee schedule for the region in which the service was rendered.</t>
  </si>
  <si>
    <t>N601</t>
  </si>
  <si>
    <t>In accordance with Hawaii Administrative Rules, Title 16, Chapter 23 Motor Vehicle Insurance Law payment is recommended based on Medicare Resource Based Relative Value Scale System applicable to Hawaii.</t>
  </si>
  <si>
    <t>N602</t>
  </si>
  <si>
    <t>Adjusted based on the Redbook maximum allowance.</t>
  </si>
  <si>
    <t>N603</t>
  </si>
  <si>
    <t>This fee is calculated according to the New Jersey medical fee schedules for Automobile Personal Injury Protection and Motor Bus Medical Expense Insurance Coverage.</t>
  </si>
  <si>
    <t>N604</t>
  </si>
  <si>
    <t>In accordance with New York No-Fault Law, Regulation 68, this base fee was calculated according to the New York Workers' Compensation Board Schedule of Medical Fees, pursuant to Regulation 83 and / or Appendix 17-C of 11 NYCRR.</t>
  </si>
  <si>
    <t>N605</t>
  </si>
  <si>
    <t>This fee was calculated based upon New York All Patients Refined Diagnosis Related Groups (APR-DRG), pursuant to Regulation 68.</t>
  </si>
  <si>
    <t>N606</t>
  </si>
  <si>
    <t>The Oregon allowed amount for this procedure is based upon the Workers Compensation Fee Schedule (OAR 436-009). The allowed amount has been calculated in accordance with Section 4 of ORS 742.524.</t>
  </si>
  <si>
    <t>N607</t>
  </si>
  <si>
    <t>Service provided for non-compensable condition(s).</t>
  </si>
  <si>
    <t>N608</t>
  </si>
  <si>
    <t>The fee schedule amount allowed is calculated at 110% of the Medicare Fee Schedule for this region, specialty and type of service. This fee is calculated in compliance with Act 6.</t>
  </si>
  <si>
    <t>N609</t>
  </si>
  <si>
    <t>80% of the provider's billed amount is being recommended for payment according to Act 6.</t>
  </si>
  <si>
    <t>N610</t>
  </si>
  <si>
    <t>N611</t>
  </si>
  <si>
    <t>Claim in litigation. Contact insurer for more information.</t>
  </si>
  <si>
    <t>N612</t>
  </si>
  <si>
    <t>Medical provider not authorized/certified to provide treatment to injured workers in this jurisdiction.</t>
  </si>
  <si>
    <t>N613</t>
  </si>
  <si>
    <t>N614</t>
  </si>
  <si>
    <t>N615</t>
  </si>
  <si>
    <t>N616</t>
  </si>
  <si>
    <t>N617</t>
  </si>
  <si>
    <t>This enrollee is in the second or third month of the advance premium tax credit grace period.</t>
  </si>
  <si>
    <t>N618</t>
  </si>
  <si>
    <t>N619</t>
  </si>
  <si>
    <t>Coverage terminated for non-payment of premium.</t>
  </si>
  <si>
    <t>N620</t>
  </si>
  <si>
    <t>N621</t>
  </si>
  <si>
    <t>Charges for Jurisdiction required forms, reports, or chart notes are not payable.</t>
  </si>
  <si>
    <t>N622</t>
  </si>
  <si>
    <t>Not covered based on the date of injury/accident.</t>
  </si>
  <si>
    <t>N623</t>
  </si>
  <si>
    <t>Not covered when deemed unscientific/unproven/outmoded/experimental/excessive/inappropriate.</t>
  </si>
  <si>
    <t>N624</t>
  </si>
  <si>
    <t>The associated Workers' Compensation claim has been withdrawn.</t>
  </si>
  <si>
    <t>N625</t>
  </si>
  <si>
    <t>Missing/Incomplete/Invalid Workers' Compensation Claim Number.</t>
  </si>
  <si>
    <t>N626</t>
  </si>
  <si>
    <t>New or established patient E/M codes are not payable with chiropractic care codes.</t>
  </si>
  <si>
    <t>N628</t>
  </si>
  <si>
    <t>Out-patient follow up visits on the same date of service as a scheduled test or treatment is disallowed.</t>
  </si>
  <si>
    <t>N629</t>
  </si>
  <si>
    <t>Reviews/documentation/notes/summaries/reports/charts not requested.</t>
  </si>
  <si>
    <t>N630</t>
  </si>
  <si>
    <t>Referral not authorized by attending physician.</t>
  </si>
  <si>
    <t>N631</t>
  </si>
  <si>
    <t>Medical Fee Schedule does not list this code. An allowance was made for a comparable service.</t>
  </si>
  <si>
    <t>N633</t>
  </si>
  <si>
    <t>Additional anesthesia time units are not allowed.</t>
  </si>
  <si>
    <t>N634</t>
  </si>
  <si>
    <t>The allowance is calculated based on anesthesia time units.</t>
  </si>
  <si>
    <t>N635</t>
  </si>
  <si>
    <t>The Allowance is calculated based on the anesthesia base units plus time.</t>
  </si>
  <si>
    <t>N636</t>
  </si>
  <si>
    <t>Adjusted because this is reimbursable only once per injury.</t>
  </si>
  <si>
    <t>N637</t>
  </si>
  <si>
    <t>Consultations are not allowed once treatment has been rendered by the same provider.</t>
  </si>
  <si>
    <t>N638</t>
  </si>
  <si>
    <t>Reimbursement has been made according to the home health fee schedule.</t>
  </si>
  <si>
    <t>N639</t>
  </si>
  <si>
    <t>Reimbursement has been made according to the inpatient rehabilitation facilities fee schedule.</t>
  </si>
  <si>
    <t>N640</t>
  </si>
  <si>
    <t>Exceeds number/frequency approved/allowed within time period.</t>
  </si>
  <si>
    <t>N641</t>
  </si>
  <si>
    <t>Reimbursement has been based on the number of body areas rated.</t>
  </si>
  <si>
    <t>N642</t>
  </si>
  <si>
    <t>Adjusted when billed as individual tests instead of as a panel.</t>
  </si>
  <si>
    <t>N643</t>
  </si>
  <si>
    <t>The services billed are considered Not Covered or Non-Covered (NC) in the applicable state fee schedule.</t>
  </si>
  <si>
    <t>N644</t>
  </si>
  <si>
    <t>Reimbursement has been made according to the bilateral procedure rule.</t>
  </si>
  <si>
    <t>N645</t>
  </si>
  <si>
    <t>Mark-up allowance.</t>
  </si>
  <si>
    <t>N646</t>
  </si>
  <si>
    <t>Reimbursement has been adjusted based on the guidelines for an assistant.</t>
  </si>
  <si>
    <t>N647</t>
  </si>
  <si>
    <t>Adjusted based on diagnosis-related group (DRG).</t>
  </si>
  <si>
    <t>N648</t>
  </si>
  <si>
    <t>Adjusted based on Stop Loss.</t>
  </si>
  <si>
    <t>N649</t>
  </si>
  <si>
    <t>Payment based on invoice.</t>
  </si>
  <si>
    <t>N650</t>
  </si>
  <si>
    <t>This policy was not in effect for this date of loss. No coverage is available.</t>
  </si>
  <si>
    <t>N651</t>
  </si>
  <si>
    <t>No Personal Injury Protection/Medical Payments Coverage on the policy at the time of the loss.</t>
  </si>
  <si>
    <t>N652</t>
  </si>
  <si>
    <t>The date of service is before the date of loss.</t>
  </si>
  <si>
    <t>N653</t>
  </si>
  <si>
    <t>The date of injury does not match the reported date of loss.</t>
  </si>
  <si>
    <t>N654</t>
  </si>
  <si>
    <t>Adjusted based on achievement of maximum medical improvement (MMI).</t>
  </si>
  <si>
    <t>N655</t>
  </si>
  <si>
    <t>Payment based on provider's geographic region.</t>
  </si>
  <si>
    <t>N656</t>
  </si>
  <si>
    <t>An interest payment is being made because benefits are being paid outside the statutory requirement.</t>
  </si>
  <si>
    <t>N657</t>
  </si>
  <si>
    <t>This should be billed with the appropriate code for these services.</t>
  </si>
  <si>
    <t>N658</t>
  </si>
  <si>
    <t>The billed service(s) are not considered medical expenses.</t>
  </si>
  <si>
    <t>N659</t>
  </si>
  <si>
    <t>This item is exempt from sales tax.</t>
  </si>
  <si>
    <t>N660</t>
  </si>
  <si>
    <t>Sales tax has been included in the reimbursement.</t>
  </si>
  <si>
    <t>N661</t>
  </si>
  <si>
    <t>Documentation does not support that the services rendered were medically necessary.</t>
  </si>
  <si>
    <t>N662</t>
  </si>
  <si>
    <t>N663</t>
  </si>
  <si>
    <t>Adjusted based on an agreed amount.</t>
  </si>
  <si>
    <t>N664</t>
  </si>
  <si>
    <t>Adjusted based on a legal settlement.</t>
  </si>
  <si>
    <t>N665</t>
  </si>
  <si>
    <t>Services by an unlicensed provider are not reimbursable.</t>
  </si>
  <si>
    <t>N666</t>
  </si>
  <si>
    <t>Only one evaluation and management code at this service level is covered during the course of care.</t>
  </si>
  <si>
    <t>N667</t>
  </si>
  <si>
    <t>Missing prescription.</t>
  </si>
  <si>
    <t>N668</t>
  </si>
  <si>
    <t>Incomplete/invalid prescription.</t>
  </si>
  <si>
    <t>N669</t>
  </si>
  <si>
    <t>Adjusted based on the Medicare fee schedule.</t>
  </si>
  <si>
    <t>N670</t>
  </si>
  <si>
    <t>This service code has been identified as the primary procedure code subject to the Medicare Multiple Procedure Payment Reduction (MPPR) rule.</t>
  </si>
  <si>
    <t>N671</t>
  </si>
  <si>
    <t>Payment based on a jurisdiction cost-charge ratio.</t>
  </si>
  <si>
    <t>N672</t>
  </si>
  <si>
    <t>N673</t>
  </si>
  <si>
    <t>Reimbursement has been calculated based on an outpatient per diem or an outpatient factor and/or fee schedule amount.</t>
  </si>
  <si>
    <t>N674</t>
  </si>
  <si>
    <t>Not covered unless a pre-requisite procedure/service has been provided.</t>
  </si>
  <si>
    <t>N675</t>
  </si>
  <si>
    <t>Additional information is required from the injured party.</t>
  </si>
  <si>
    <t>N676</t>
  </si>
  <si>
    <t>Service does not qualify for payment under the Outpatient Facility Fee Schedule.</t>
  </si>
  <si>
    <t>N677</t>
  </si>
  <si>
    <t>N678</t>
  </si>
  <si>
    <t>Missing post-operative images/visual field results.</t>
  </si>
  <si>
    <t>N679</t>
  </si>
  <si>
    <t>Incomplete/Invalid post-operative images/visual field results.</t>
  </si>
  <si>
    <t>N680</t>
  </si>
  <si>
    <t>Missing/Incomplete/Invalid date of previous dental extractions.</t>
  </si>
  <si>
    <t>N681</t>
  </si>
  <si>
    <t>Missing/Incomplete/Invalid full arch series.</t>
  </si>
  <si>
    <t>N682</t>
  </si>
  <si>
    <t>Missing/Incomplete/Invalid history of prior periodontal therapy/maintenance.</t>
  </si>
  <si>
    <t>N683</t>
  </si>
  <si>
    <t>Missing/Incomplete/Invalid prior treatment documentation.</t>
  </si>
  <si>
    <t>N684</t>
  </si>
  <si>
    <t>Payment denied as this is a specialty claim submitted as a general claim.</t>
  </si>
  <si>
    <t>N685</t>
  </si>
  <si>
    <t>Missing/Incomplete/Invalid Prosthesis, Crown or Inlay Code.</t>
  </si>
  <si>
    <t>N686</t>
  </si>
  <si>
    <t>Missing/incomplete/Invalid questionnaire needed to complete payment determination.</t>
  </si>
  <si>
    <t>N687</t>
  </si>
  <si>
    <t>N688</t>
  </si>
  <si>
    <t>N689</t>
  </si>
  <si>
    <t>N690</t>
  </si>
  <si>
    <t>N691</t>
  </si>
  <si>
    <t>N692</t>
  </si>
  <si>
    <t>N693</t>
  </si>
  <si>
    <t>N694</t>
  </si>
  <si>
    <t>N695</t>
  </si>
  <si>
    <t>N696</t>
  </si>
  <si>
    <t>N697</t>
  </si>
  <si>
    <t>N698</t>
  </si>
  <si>
    <t>N699</t>
  </si>
  <si>
    <t>Payment adjusted based on the Physician Quality Reporting System (PQRS) Incentive Program.</t>
  </si>
  <si>
    <t>N700</t>
  </si>
  <si>
    <t>Payment adjusted based on the Electronic Health Records (EHR) Incentive Program.</t>
  </si>
  <si>
    <t>N701</t>
  </si>
  <si>
    <t>Payment adjusted based on the Value-based Payment Modifier.</t>
  </si>
  <si>
    <t>N702</t>
  </si>
  <si>
    <t>Decision based on review of previously adjudicated claims or for claims in process for the same/similar type of services.</t>
  </si>
  <si>
    <t>N703</t>
  </si>
  <si>
    <t>This service is incompatible with previously adjudicated claims or claims in process.</t>
  </si>
  <si>
    <t>N704</t>
  </si>
  <si>
    <t>N705</t>
  </si>
  <si>
    <t>Incomplete/invalid documentation.</t>
  </si>
  <si>
    <t>N706</t>
  </si>
  <si>
    <t>Missing documentation.</t>
  </si>
  <si>
    <t>N707</t>
  </si>
  <si>
    <t>Incomplete/invalid orders.</t>
  </si>
  <si>
    <t>N708</t>
  </si>
  <si>
    <t>Missing orders.</t>
  </si>
  <si>
    <t>N709</t>
  </si>
  <si>
    <t>Incomplete/invalid notes.</t>
  </si>
  <si>
    <t>N710</t>
  </si>
  <si>
    <t>Missing notes.</t>
  </si>
  <si>
    <t>N711</t>
  </si>
  <si>
    <t>Incomplete/invalid summary.</t>
  </si>
  <si>
    <t>N712</t>
  </si>
  <si>
    <t>Missing summary.</t>
  </si>
  <si>
    <t>N713</t>
  </si>
  <si>
    <t>Incomplete/invalid report.</t>
  </si>
  <si>
    <t>N714</t>
  </si>
  <si>
    <t>Missing report.</t>
  </si>
  <si>
    <t>N715</t>
  </si>
  <si>
    <t>Incomplete/invalid chart.</t>
  </si>
  <si>
    <t>N716</t>
  </si>
  <si>
    <t>Missing chart.</t>
  </si>
  <si>
    <t>N717</t>
  </si>
  <si>
    <t>Incomplete/Invalid documentation of face-to-face examination.</t>
  </si>
  <si>
    <t>N718</t>
  </si>
  <si>
    <t>Missing documentation of face-to-face examination.</t>
  </si>
  <si>
    <t>N719</t>
  </si>
  <si>
    <t>Penalty applied based on plan requirements not being met.</t>
  </si>
  <si>
    <t>N720</t>
  </si>
  <si>
    <t>N721</t>
  </si>
  <si>
    <t>This service is only covered when performed as part of a clinical trial.</t>
  </si>
  <si>
    <t>N722</t>
  </si>
  <si>
    <t>Patient must use Workers' Compensation Set-Aside (WCSA) funds to pay for the medical service or item.</t>
  </si>
  <si>
    <t>N723</t>
  </si>
  <si>
    <t>Patient must use Liability set-aside (LSA) funds to pay for the medical service or item.</t>
  </si>
  <si>
    <t>N724</t>
  </si>
  <si>
    <t>Patient must use No-Fault set-aside (NFSA) funds to pay for the medical service or item.</t>
  </si>
  <si>
    <t>N725</t>
  </si>
  <si>
    <t>A liability insurer has reported having ongoing responsibility for medical services (ORM) for this diagnosis.</t>
  </si>
  <si>
    <t>N726</t>
  </si>
  <si>
    <t>A conditional payment is not allowed.</t>
  </si>
  <si>
    <t>N727</t>
  </si>
  <si>
    <t>A no-fault insurer has reported having ongoing responsibility for medical services (ORM) for this diagnosis.</t>
  </si>
  <si>
    <t>N728</t>
  </si>
  <si>
    <t>A workers' compensation insurer has reported having ongoing responsibility for medical services (ORM) for this diagnosis.</t>
  </si>
  <si>
    <t>N729</t>
  </si>
  <si>
    <t>Missing patient medical/dental record for this service.</t>
  </si>
  <si>
    <t>N730</t>
  </si>
  <si>
    <t>Incomplete/invalid patient medical/dental record for this service.</t>
  </si>
  <si>
    <t>N731</t>
  </si>
  <si>
    <t>Incomplete/Invalid mental health assessment.</t>
  </si>
  <si>
    <t>N732</t>
  </si>
  <si>
    <t>Services performed at an unlicensed facility are not reimbursable.</t>
  </si>
  <si>
    <t>N733</t>
  </si>
  <si>
    <t>Regulatory surcharges are paid directly to the state.</t>
  </si>
  <si>
    <t>N734</t>
  </si>
  <si>
    <t>The patient is eligible for these medical services only when unable to work or perform normal activities due to an illness or injury.</t>
  </si>
  <si>
    <t>N736</t>
  </si>
  <si>
    <t>Incomplete/invalid Sleep Study Report.</t>
  </si>
  <si>
    <t>N737</t>
  </si>
  <si>
    <t>Missing Sleep Study Report.</t>
  </si>
  <si>
    <t>N738</t>
  </si>
  <si>
    <t>Incomplete/invalid Vein Study Report.</t>
  </si>
  <si>
    <t>N739</t>
  </si>
  <si>
    <t>Missing Vein Study Report.</t>
  </si>
  <si>
    <t>N740</t>
  </si>
  <si>
    <t>The member's Consumer Spending Account does not contain sufficient funds to cover the member's liability for this claim/service.</t>
  </si>
  <si>
    <t>N741</t>
  </si>
  <si>
    <t>This is a site neutral payment.</t>
  </si>
  <si>
    <t>N743</t>
  </si>
  <si>
    <t>Adjusted because the services may be related to an employment accident.</t>
  </si>
  <si>
    <t>N744</t>
  </si>
  <si>
    <t>Adjusted because the services may be related to an auto/other accident.</t>
  </si>
  <si>
    <t>N745</t>
  </si>
  <si>
    <t>Missing Ambulance Report.</t>
  </si>
  <si>
    <t>N746</t>
  </si>
  <si>
    <t>Incomplete/invalid Ambulance Report.</t>
  </si>
  <si>
    <t>N747</t>
  </si>
  <si>
    <t>This is a misdirected claim/service. Submit the claim to the payer/plan where the patient resides.</t>
  </si>
  <si>
    <t>N748</t>
  </si>
  <si>
    <t>Adjusted because the related hospital charges have not been received.</t>
  </si>
  <si>
    <t>N749</t>
  </si>
  <si>
    <t>Missing Blood Gas Report.</t>
  </si>
  <si>
    <t>N750</t>
  </si>
  <si>
    <t>Incomplete/invalid Blood Gas Report.</t>
  </si>
  <si>
    <t>N751</t>
  </si>
  <si>
    <t>Adjusted because the patient is covered under a Medicare Part D plan.</t>
  </si>
  <si>
    <t>N752</t>
  </si>
  <si>
    <t>Missing/incomplete/invalid HIPPS Treatment Authorization Code (TAC).</t>
  </si>
  <si>
    <t>N753</t>
  </si>
  <si>
    <t>Missing/incomplete/invalid Attachment Control Number.</t>
  </si>
  <si>
    <t>N754</t>
  </si>
  <si>
    <t>Missing/incomplete/invalid Referring Provider or Other Source Qualifier on the 1500 Claim Form.</t>
  </si>
  <si>
    <t>N755</t>
  </si>
  <si>
    <t>Missing/incomplete/invalid ICD Indicator.</t>
  </si>
  <si>
    <t>N756</t>
  </si>
  <si>
    <t>Missing/incomplete/invalid point of drop-off address.</t>
  </si>
  <si>
    <t>N757</t>
  </si>
  <si>
    <t>Adjusted based on the Federal Indian Fees schedule (MLR).</t>
  </si>
  <si>
    <t>N758</t>
  </si>
  <si>
    <t>Adjusted based on the prior authorization decision.</t>
  </si>
  <si>
    <t>N759</t>
  </si>
  <si>
    <t>Payment adjusted based on the National Electrical Manufacturers Association (NEMA) Standard XR-29-2013.</t>
  </si>
  <si>
    <t>N760</t>
  </si>
  <si>
    <t>This facility is not authorized to receive payment for the service(s).</t>
  </si>
  <si>
    <t>N761</t>
  </si>
  <si>
    <t>This provider is not authorized to receive payment for the service(s).</t>
  </si>
  <si>
    <t>N762</t>
  </si>
  <si>
    <t>This facility is not certified for Tomosynthesis (3-D) mammography.</t>
  </si>
  <si>
    <t>N763</t>
  </si>
  <si>
    <t>The demonstration code is not appropriate for this claim; resubmit without a demonstration code.</t>
  </si>
  <si>
    <t>N764</t>
  </si>
  <si>
    <t>Missing/incomplete/invalid Hematocrit (HCT) value.</t>
  </si>
  <si>
    <t>N765</t>
  </si>
  <si>
    <t>This payer does not cover coinsurance assessed by a previous payer.</t>
  </si>
  <si>
    <t>N766</t>
  </si>
  <si>
    <t>This payer does not cover co-payment assessed by a previous payer.</t>
  </si>
  <si>
    <t>N767</t>
  </si>
  <si>
    <t>The Medicaid state requires provider to be enrolled in the member's Medicaid state program prior to any claim benefits being processed.</t>
  </si>
  <si>
    <t>N768</t>
  </si>
  <si>
    <t>Incomplete/invalid initial evaluation report.</t>
  </si>
  <si>
    <t>N769</t>
  </si>
  <si>
    <t>A lateral diagnosis is required.</t>
  </si>
  <si>
    <t>N770</t>
  </si>
  <si>
    <t>The adjustment request received from the provider has been processed. Your original claim has been adjusted based on the information received.</t>
  </si>
  <si>
    <t>N771</t>
  </si>
  <si>
    <t>N772</t>
  </si>
  <si>
    <t>N773</t>
  </si>
  <si>
    <t>Drug supplied not obtained from specialty vendor.</t>
  </si>
  <si>
    <t>N774</t>
  </si>
  <si>
    <t>N775</t>
  </si>
  <si>
    <t>Payment adjusted based on x-ray radiograph on film.</t>
  </si>
  <si>
    <t>N776</t>
  </si>
  <si>
    <t>This service is not a covered Telehealth service.</t>
  </si>
  <si>
    <t>N777</t>
  </si>
  <si>
    <t>Missing Assignment of Benefits Indicator.</t>
  </si>
  <si>
    <t>N778</t>
  </si>
  <si>
    <t>Missing Primary Care Physician Information.</t>
  </si>
  <si>
    <t>N779</t>
  </si>
  <si>
    <t>Replacement/Void claims cannot be submitted until the original claim has finalized. Please resubmit once payment or denial is received.</t>
  </si>
  <si>
    <t>N780</t>
  </si>
  <si>
    <t>Missing/incomplete/invalid end therapy date.</t>
  </si>
  <si>
    <t>N781</t>
  </si>
  <si>
    <t>N782</t>
  </si>
  <si>
    <t>N783</t>
  </si>
  <si>
    <t>N784</t>
  </si>
  <si>
    <t>Missing comprehensive procedure code.</t>
  </si>
  <si>
    <t>N785</t>
  </si>
  <si>
    <t>Missing current radiology film/images.</t>
  </si>
  <si>
    <t>N786</t>
  </si>
  <si>
    <t>Benefit limitation for the orthodontic active and/or retention phase of treatment.</t>
  </si>
  <si>
    <t>N787</t>
  </si>
  <si>
    <t>N788</t>
  </si>
  <si>
    <t>N789</t>
  </si>
  <si>
    <t>Clinical Trial is not a covered benefit.</t>
  </si>
  <si>
    <t>N790</t>
  </si>
  <si>
    <t>Provider/supplier not accredited for product/service.</t>
  </si>
  <si>
    <t>N791</t>
  </si>
  <si>
    <t>Missing history &amp; physical report.</t>
  </si>
  <si>
    <t>N792</t>
  </si>
  <si>
    <t>Incomplete/invalid history &amp; physical report.</t>
  </si>
  <si>
    <t>N794</t>
  </si>
  <si>
    <t>Payment adjusted based on type of technology used.</t>
  </si>
  <si>
    <t>N795</t>
  </si>
  <si>
    <t>Item must be resubmitted as a purchase.</t>
  </si>
  <si>
    <t>N796</t>
  </si>
  <si>
    <t>Missing/incomplete/invalid Hemoglobin (Hb or Hgb) value.</t>
  </si>
  <si>
    <t>N797</t>
  </si>
  <si>
    <t>Missing/incomplete/invalid date qualifier.</t>
  </si>
  <si>
    <t>N798</t>
  </si>
  <si>
    <t>Submit a void request for the original claim and resubmit a new claim.</t>
  </si>
  <si>
    <t>N799</t>
  </si>
  <si>
    <t>Submitted identifier must be an individual identifier, not group identifier.</t>
  </si>
  <si>
    <t>N800</t>
  </si>
  <si>
    <t>Only one service date is allowed per claim.</t>
  </si>
  <si>
    <t>N801</t>
  </si>
  <si>
    <t>Services performed in a Medicare participating or CAH facility under a self-insured tribal Group Health Plan, in accordance with Federal Regulation 42 CFR 136.</t>
  </si>
  <si>
    <t>N802</t>
  </si>
  <si>
    <t>This claim/service is not payable under our service area. The claim must be filed to the Payer/Plan in whose service area the Rendering Physician is located.</t>
  </si>
  <si>
    <t>N803</t>
  </si>
  <si>
    <t>Submission of the claim for the service rendered is the responsibility of the Contracted Medical Group or Hospital.</t>
  </si>
  <si>
    <t>N804</t>
  </si>
  <si>
    <t>N805</t>
  </si>
  <si>
    <t>N806</t>
  </si>
  <si>
    <t>Payment is included in the Global transplant allowance.</t>
  </si>
  <si>
    <t>N807</t>
  </si>
  <si>
    <t>Payment adjustment based on the Merit-based Incentive Payment System (MIPS).</t>
  </si>
  <si>
    <t>N808</t>
  </si>
  <si>
    <t>Not covered for this provider type / provider specialty.</t>
  </si>
  <si>
    <t>N809</t>
  </si>
  <si>
    <t>N810</t>
  </si>
  <si>
    <t>N811</t>
  </si>
  <si>
    <t>Missing Federal Sequestration Reduction from Prior Payer.</t>
  </si>
  <si>
    <t>N812</t>
  </si>
  <si>
    <t>The start service date through end service date cannot span greater than 18 months.</t>
  </si>
  <si>
    <t>N815</t>
  </si>
  <si>
    <t>Missing/Incomplete/Invalid NDC Unit Count</t>
  </si>
  <si>
    <t>N816</t>
  </si>
  <si>
    <t>Missing/Incomplete/Invalid NDC Unit of Measure</t>
  </si>
  <si>
    <t>N817</t>
  </si>
  <si>
    <t>N818</t>
  </si>
  <si>
    <t>Claims Dates of Service do not match Electronic Visit Verification System.</t>
  </si>
  <si>
    <t>N819</t>
  </si>
  <si>
    <t>Patient not enrolled in Electronic Visit Verification System.</t>
  </si>
  <si>
    <t>N820</t>
  </si>
  <si>
    <t>Electronic Visit Verification System units do not meet requirements of visit.</t>
  </si>
  <si>
    <t>N821</t>
  </si>
  <si>
    <t>Electronic Visit Verification System visit not found.</t>
  </si>
  <si>
    <t>N822</t>
  </si>
  <si>
    <t>Missing procedure modifier(s).</t>
  </si>
  <si>
    <t>N823</t>
  </si>
  <si>
    <t>Incomplete/Invalid procedure modifier(s).</t>
  </si>
  <si>
    <t>N824</t>
  </si>
  <si>
    <t>Electronic Visit Verification (EVV) data must be submitted through EVV Vendor.</t>
  </si>
  <si>
    <t>N825</t>
  </si>
  <si>
    <t>Early intervention guidelines were not met.</t>
  </si>
  <si>
    <t>N826</t>
  </si>
  <si>
    <t>Patient did not meet the inclusion criteria for the Medicare Shared Savings Program.</t>
  </si>
  <si>
    <t>N827</t>
  </si>
  <si>
    <t>Missing/Incomplete/Invalid Federal Information Processing Standard (FIPS) Code.</t>
  </si>
  <si>
    <t>N828</t>
  </si>
  <si>
    <t>N829</t>
  </si>
  <si>
    <t>Missing/incomplete/invalid Diagnostics Exchange Z-Code Identifier.</t>
  </si>
  <si>
    <t>N830</t>
  </si>
  <si>
    <t>N831</t>
  </si>
  <si>
    <t>You have not responded to requests to revalidate your provider/supplier enrollment information.</t>
  </si>
  <si>
    <t>N832</t>
  </si>
  <si>
    <t>Duplicate occurrence code/occurrence span code.</t>
  </si>
  <si>
    <t>N833</t>
  </si>
  <si>
    <t>Patient share of cost waived.</t>
  </si>
  <si>
    <t>N834</t>
  </si>
  <si>
    <t>Jurisdiction exempt from sales and health tax charges.</t>
  </si>
  <si>
    <t>N835</t>
  </si>
  <si>
    <t>Unrelated Service/procedure/treatment is reduced. The balance of this charge is the patient's responsibility.</t>
  </si>
  <si>
    <t>N836</t>
  </si>
  <si>
    <t>Provider W9 or Payee Registration not on file.</t>
  </si>
  <si>
    <t>N837</t>
  </si>
  <si>
    <t>N838</t>
  </si>
  <si>
    <t>N839</t>
  </si>
  <si>
    <t>The procedure code was added/changed because the level of service exceeds the compensable condition(s).</t>
  </si>
  <si>
    <t>N840</t>
  </si>
  <si>
    <t>Worker's compensation claim filed with a different state.</t>
  </si>
  <si>
    <t>N841</t>
  </si>
  <si>
    <t>N842</t>
  </si>
  <si>
    <t>N843</t>
  </si>
  <si>
    <t>Missing/incomplete/invalid Core-Based Statistical Area (CBSA) code.</t>
  </si>
  <si>
    <t>N844</t>
  </si>
  <si>
    <t>This claim, or a portion of this claim, was processed in accordance with the Nebraska Legislative LB997 July 24, 2020 - Out of Network Emergency Medical Care Act.</t>
  </si>
  <si>
    <t>N845</t>
  </si>
  <si>
    <t>N846</t>
  </si>
  <si>
    <t>National Drug Code (NDC) supplied does not correspond to the HCPCs/CPT billed.</t>
  </si>
  <si>
    <t>N847</t>
  </si>
  <si>
    <t>National Drug Code (NDC) billed is obsolete.</t>
  </si>
  <si>
    <t>N848</t>
  </si>
  <si>
    <t>National Drug Code (NDC) billed cannot be associated with a product.</t>
  </si>
  <si>
    <t>N849</t>
  </si>
  <si>
    <t>Missing Tooth Clause: Tooth missing prior to the member effective date.</t>
  </si>
  <si>
    <t>N850</t>
  </si>
  <si>
    <t>Missing/incomplete/invalid narrative explaining/describing this service/treatment.</t>
  </si>
  <si>
    <t>N851</t>
  </si>
  <si>
    <t>Payment reduced because services were furnished by a therapy assistant.</t>
  </si>
  <si>
    <t>N852</t>
  </si>
  <si>
    <t>The pay-to and rendering provider tax identification numbers (TINs) do not match</t>
  </si>
  <si>
    <t>N853</t>
  </si>
  <si>
    <t>The number of modalities performed per session exceeds our acceptable maximum.</t>
  </si>
  <si>
    <t>N854</t>
  </si>
  <si>
    <t>N855</t>
  </si>
  <si>
    <t>This coverage is subject to the exclusive jurisdiction of ERISA (1974), U.S.C. SEC 1001.</t>
  </si>
  <si>
    <t>N856</t>
  </si>
  <si>
    <t>This coverage is not subject to the exclusive jurisdiction of ERISA (1974), U.S.C. SEC 1001.</t>
  </si>
  <si>
    <t>N857</t>
  </si>
  <si>
    <t>This claim has been adjusted/reversed. Refund any collected copayment to the member.</t>
  </si>
  <si>
    <t>N858</t>
  </si>
  <si>
    <t>N859</t>
  </si>
  <si>
    <t>N860</t>
  </si>
  <si>
    <t>N861</t>
  </si>
  <si>
    <t>N862</t>
  </si>
  <si>
    <t>N863</t>
  </si>
  <si>
    <t>N864</t>
  </si>
  <si>
    <t>N865</t>
  </si>
  <si>
    <t>N866</t>
  </si>
  <si>
    <t>N867</t>
  </si>
  <si>
    <t>N868</t>
  </si>
  <si>
    <t>N869</t>
  </si>
  <si>
    <t>N870</t>
  </si>
  <si>
    <t>N871</t>
  </si>
  <si>
    <t>N872</t>
  </si>
  <si>
    <t>N873</t>
  </si>
  <si>
    <t>N874</t>
  </si>
  <si>
    <t>N875</t>
  </si>
  <si>
    <t>N876</t>
  </si>
  <si>
    <t>N877</t>
  </si>
  <si>
    <t>N878</t>
  </si>
  <si>
    <t>N879</t>
  </si>
  <si>
    <t>N880</t>
  </si>
  <si>
    <t>Original claim closed due to changes in submitted data. Adjustment claim will be processed under a new claim number.</t>
  </si>
  <si>
    <t>N881</t>
  </si>
  <si>
    <t>Client Obligation, patient responsibility for Home &amp; Community Based Services (HCBS)</t>
  </si>
  <si>
    <t>N882</t>
  </si>
  <si>
    <t>N883</t>
  </si>
  <si>
    <t>N884</t>
  </si>
  <si>
    <t>N885</t>
  </si>
  <si>
    <t>N886</t>
  </si>
  <si>
    <t>N887</t>
  </si>
  <si>
    <t>Providers not participating in the Medicare Advantage Plan have the right to appeal if the plan has partially or fully denied payment or if the provider believes the plan has not paid the services at the expected Medicare reimbursable rate or type of level/service. Providers may file their appeal in writing within 60 calendar days after the date of the remittance advice. For the plan to review the appeal, the plan will need a completed signed Waiver of Liability Statement. To obtain a Waiver of Liability form, please contact your Medicare Advantage Plan.</t>
  </si>
  <si>
    <t>N888</t>
  </si>
  <si>
    <t>N889</t>
  </si>
  <si>
    <t>N890</t>
  </si>
  <si>
    <t>Electronic Visit Verification Data Element Requirements were not met.</t>
  </si>
  <si>
    <t>N891</t>
  </si>
  <si>
    <t>The maximum allowable payment for this service/procedure was paid by the primary insurance. No further payment due.</t>
  </si>
  <si>
    <t>N892</t>
  </si>
  <si>
    <t>The claim does not meet the criteria for acceptable use of the Delay Reason Code.</t>
  </si>
  <si>
    <t>N893</t>
  </si>
  <si>
    <t>Missing/incomplete/invalid child medical evaluation form/checklist.</t>
  </si>
  <si>
    <t>N894</t>
  </si>
  <si>
    <t>N895</t>
  </si>
  <si>
    <t>Processed based on a negotiated fee schedule for a specialty drug program.</t>
  </si>
  <si>
    <t>N896</t>
  </si>
  <si>
    <t>Missing/incomplete/invalid trauma activation sheet.</t>
  </si>
  <si>
    <t>N897</t>
  </si>
  <si>
    <t>Missing/incomplete/invalid proof of member payment.</t>
  </si>
  <si>
    <t>N898</t>
  </si>
  <si>
    <t>Missing/incomplete/invalid Resource Utilization Group(s) (RUG) code(s).</t>
  </si>
  <si>
    <t>N899</t>
  </si>
  <si>
    <t>Missing Initial Evaluation Report.</t>
  </si>
  <si>
    <t>N900</t>
  </si>
  <si>
    <t>Missing Therapy Notes/Report.</t>
  </si>
  <si>
    <t>N901</t>
  </si>
  <si>
    <t>Incomplete/Invalid Therapy Notes/Report.</t>
  </si>
  <si>
    <t>N902</t>
  </si>
  <si>
    <t>Missing Health Risk Assessment (HRA).</t>
  </si>
  <si>
    <t>N903</t>
  </si>
  <si>
    <t>Incomplete/Invalid Health Risk Assessment (HRA).</t>
  </si>
  <si>
    <t>N904</t>
  </si>
  <si>
    <t>The transportation vendor is responsible for this claim.</t>
  </si>
  <si>
    <t>N905</t>
  </si>
  <si>
    <t>Our records show you have opted out of Medicare, agreeing with the patient not to bill Medicare for services/tests/supplies furnished. As result, we cannot pay this claim. The patient is not responsible for payment.</t>
  </si>
  <si>
    <t>N906</t>
  </si>
  <si>
    <t>Service is not covered when patient is under age 45.</t>
  </si>
  <si>
    <t>N907</t>
  </si>
  <si>
    <t>No refund because this claim has been identified as 340B-eligible with a ceiling price lower than the maximum fair price.</t>
  </si>
  <si>
    <t>N908</t>
  </si>
  <si>
    <t>No refund because this drug has been prospectively purchased at the maximum fair price.</t>
  </si>
  <si>
    <t>N909</t>
  </si>
  <si>
    <t>Refund amount has been calculated using a methodology that differs from the Standard Default Refund Amount calculation ((Wholesale Acquisition Cost minus Maximum Fair Price) times Quantity).</t>
  </si>
  <si>
    <t>N910</t>
  </si>
  <si>
    <t>A refund cannot be provided for this claim at this time. Contact the manufacturer directly regarding your eligibility.</t>
  </si>
  <si>
    <t>N911</t>
  </si>
  <si>
    <t>This claim cannot be reimbursed by the manufacturer until the Part D plan submits corrected prescription drug event data to CMS for maximum fair price validation.</t>
  </si>
  <si>
    <t>N912</t>
  </si>
  <si>
    <t>Our records indicate that this beneficiary did not elect hospice.</t>
  </si>
  <si>
    <t>N913</t>
  </si>
  <si>
    <t>More than one Electronic Visit Verification record exists for the date and time of this service.</t>
  </si>
  <si>
    <t>N914</t>
  </si>
  <si>
    <t>This claim was priced and processed in accordance with California AB-72 Health care coverage.</t>
  </si>
  <si>
    <t>N915</t>
  </si>
  <si>
    <t>Predetermination of services is not allowed under the member's plan.</t>
  </si>
  <si>
    <t>N916</t>
  </si>
  <si>
    <t>The third party will render payment to the provider, and they will reimburse you for covered services.</t>
  </si>
  <si>
    <t>RARC CODE</t>
  </si>
  <si>
    <t>RARC REASON</t>
  </si>
  <si>
    <r>
      <t>Alert: </t>
    </r>
    <r>
      <rPr>
        <b/>
        <sz val="10"/>
        <color rgb="FF21212B"/>
        <rFont val="Calibri"/>
        <family val="2"/>
      </rPr>
      <t>This is the last monthly installment payment for this durable medical equipment.</t>
    </r>
  </si>
  <si>
    <r>
      <t>Alert: </t>
    </r>
    <r>
      <rPr>
        <b/>
        <sz val="10"/>
        <color rgb="FF21212B"/>
        <rFont val="Calibri"/>
        <family val="2"/>
      </rPr>
      <t>You must furnish and service this item for any period of medical need for the remainder of the reasonable useful lifetime of the equipment.</t>
    </r>
  </si>
  <si>
    <r>
      <t>Alert: </t>
    </r>
    <r>
      <rPr>
        <b/>
        <sz val="10"/>
        <color rgb="FF21212B"/>
        <rFont val="Calibri"/>
        <family val="2"/>
      </rPr>
      <t>This is the tenth rental month. You must offer the patient the choice of changing the rental to a purchase agreement.</t>
    </r>
  </si>
  <si>
    <r>
      <t>Alert: </t>
    </r>
    <r>
      <rPr>
        <b/>
        <sz val="10"/>
        <color rgb="FF21212B"/>
        <rFont val="Calibri"/>
        <family val="2"/>
      </rPr>
      <t>Please see our web site, mailings, or bulletins for more details concerning this policy/procedure/decision.</t>
    </r>
  </si>
  <si>
    <r>
      <t>Alert: </t>
    </r>
    <r>
      <rPr>
        <b/>
        <sz val="10"/>
        <color rgb="FF21212B"/>
        <rFont val="Calibri"/>
        <family val="2"/>
      </rPr>
      <t>Payment approved as you did not know, and could not reasonably have been expected to know, that this would not normally have been covered for this patient. In the future, you will be liable for charges for the same service(s) under the same or similar conditions.</t>
    </r>
  </si>
  <si>
    <r>
      <t>Alert: </t>
    </r>
    <r>
      <rPr>
        <b/>
        <sz val="10"/>
        <color rgb="FF21212B"/>
        <rFont val="Calibri"/>
        <family val="2"/>
      </rPr>
      <t>The patient has been relieved of liability of payment of these items and services under the limitation of liability provision of the law. The provider is ultimately liable for the patient's waived charges, including any charges for coinsurance, since the items or services were not reasonable and necessary or constituted custodial care, and you knew or could reasonably have been expected to know, that they were not covered. You may appeal this determination. You may ask for an appeal regarding both the coverage determination and the issue of whether you exercised due care. The appeal request must be filed within 120 days of the date you receive this notice. You must make the request through this office.</t>
    </r>
  </si>
  <si>
    <r>
      <t>Alert: </t>
    </r>
    <r>
      <rPr>
        <b/>
        <sz val="10"/>
        <color rgb="FF21212B"/>
        <rFont val="Calibri"/>
        <family val="2"/>
      </rPr>
      <t>This is a conditional payment made pending a decision on this service by the patient's primary payer. This payment may be subject to refund upon your receipt of any additional payment for this service from another payer. You must contact this office immediately upon receipt of an additional payment for this service.</t>
    </r>
  </si>
  <si>
    <r>
      <t>Alert: </t>
    </r>
    <r>
      <rPr>
        <b/>
        <sz val="10"/>
        <color rgb="FF21212B"/>
        <rFont val="Calibri"/>
        <family val="2"/>
      </rPr>
      <t>The patient is liable for the charges for this service as they were informed in writing before the service was furnished that we would not pay for it and the patient agreed to be responsible for the charges.</t>
    </r>
  </si>
  <si>
    <r>
      <t>Alert: </t>
    </r>
    <r>
      <rPr>
        <b/>
        <sz val="10"/>
        <color rgb="FF21212B"/>
        <rFont val="Calibri"/>
        <family val="2"/>
      </rPr>
      <t>The patient is not liable for payment of this service as the advance notice of non-coverage you provided the patient did not comply with program requirements.</t>
    </r>
  </si>
  <si>
    <r>
      <t>Alert: </t>
    </r>
    <r>
      <rPr>
        <b/>
        <sz val="10"/>
        <color rgb="FF21212B"/>
        <rFont val="Calibri"/>
        <family val="2"/>
      </rPr>
      <t>The NDC code submitted for this service was translated to a HCPCS code for processing, but please continue to submit the NDC on future claims for this item.</t>
    </r>
  </si>
  <si>
    <r>
      <t>Alert: </t>
    </r>
    <r>
      <rPr>
        <b/>
        <sz val="10"/>
        <color rgb="FF21212B"/>
        <rFont val="Calibri"/>
        <family val="2"/>
      </rPr>
      <t>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r>
  </si>
  <si>
    <r>
      <t>Alert: </t>
    </r>
    <r>
      <rPr>
        <b/>
        <sz val="10"/>
        <color rgb="FF21212B"/>
        <rFont val="Calibri"/>
        <family val="2"/>
      </rPr>
      <t>If you do not agree with this determination, you have the right to appeal. You must file a written request for an appeal within 180 days of the date you receive this notice.</t>
    </r>
  </si>
  <si>
    <r>
      <t>Alert: </t>
    </r>
    <r>
      <rPr>
        <b/>
        <sz val="10"/>
        <color rgb="FF21212B"/>
        <rFont val="Calibri"/>
        <family val="2"/>
      </rPr>
      <t>The claim information has also been forwarded to Medicaid for review.</t>
    </r>
  </si>
  <si>
    <r>
      <t>Alert: </t>
    </r>
    <r>
      <rPr>
        <b/>
        <sz val="10"/>
        <color rgb="FF21212B"/>
        <rFont val="Calibri"/>
        <family val="2"/>
      </rPr>
      <t>Claim information was not forwarded because the supplemental coverage is not with a Medigap plan, or you do not participate in Medicare.</t>
    </r>
  </si>
  <si>
    <r>
      <t>Alert: </t>
    </r>
    <r>
      <rPr>
        <b/>
        <sz val="10"/>
        <color rgb="FF21212B"/>
        <rFont val="Calibri"/>
        <family val="2"/>
      </rPr>
      <t>Claim submitted as unassigned but processed as assigned in accordance with our current assignment/participation agreement.</t>
    </r>
  </si>
  <si>
    <r>
      <t>Alert: </t>
    </r>
    <r>
      <rPr>
        <b/>
        <sz val="10"/>
        <color rgb="FF21212B"/>
        <rFont val="Calibri"/>
        <family val="2"/>
      </rPr>
      <t>The patient's payment was in excess of the amount owed. You must refund the overpayment to the patient.</t>
    </r>
  </si>
  <si>
    <r>
      <t>Alert: </t>
    </r>
    <r>
      <rPr>
        <b/>
        <sz val="10"/>
        <color rgb="FF21212B"/>
        <rFont val="Calibri"/>
        <family val="2"/>
      </rPr>
      <t>You may be subject to penalties if you bill the patient for amounts not reported with the PR (patient responsibility) group code.</t>
    </r>
  </si>
  <si>
    <r>
      <t>Alert: </t>
    </r>
    <r>
      <rPr>
        <b/>
        <sz val="10"/>
        <color rgb="FF21212B"/>
        <rFont val="Calibri"/>
        <family val="2"/>
      </rPr>
      <t>The patient is a member of an employer-sponsored prepaid health plan. Services from outside that health plan are not covered. However, as you were not previously notified of this, we are paying this time. In the future, we will not pay you for non-plan services.</t>
    </r>
  </si>
  <si>
    <r>
      <t>Alert: </t>
    </r>
    <r>
      <rPr>
        <b/>
        <sz val="10"/>
        <color rgb="FF21212B"/>
        <rFont val="Calibri"/>
        <family val="2"/>
      </rPr>
      <t>Your claim has been separated to expedite handling. You will receive a separate notice for the other services reported.</t>
    </r>
  </si>
  <si>
    <r>
      <t>Alert: </t>
    </r>
    <r>
      <rPr>
        <b/>
        <sz val="10"/>
        <color rgb="FF21212B"/>
        <rFont val="Calibri"/>
        <family val="2"/>
      </rPr>
      <t>The claim information is also being forwarded to the patient's supplemental insurer. Send any questions regarding supplemental benefits to them.</t>
    </r>
  </si>
  <si>
    <r>
      <t>Alert: </t>
    </r>
    <r>
      <rPr>
        <b/>
        <sz val="10"/>
        <color rgb="FF21212B"/>
        <rFont val="Calibri"/>
        <family val="2"/>
      </rPr>
      <t>Information was not sent to the Medigap insurer due to incorrect/invalid information you submitted concerning that insurer. Please verify your information and submit your secondary claim directly to that insurer.</t>
    </r>
  </si>
  <si>
    <r>
      <t>Alert: </t>
    </r>
    <r>
      <rPr>
        <b/>
        <sz val="10"/>
        <color rgb="FF21212B"/>
        <rFont val="Calibri"/>
        <family val="2"/>
      </rPr>
      <t>Our records indicate that you were previously informed of this rule.</t>
    </r>
  </si>
  <si>
    <r>
      <t>Alert: </t>
    </r>
    <r>
      <rPr>
        <b/>
        <sz val="10"/>
        <color rgb="FF21212B"/>
        <rFont val="Calibri"/>
        <family val="2"/>
      </rPr>
      <t>Receipt of this notice by a physician or supplier who did not accept assignment is for information only and does not make the physician or supplier a party to the determination. No additional rights to appeal this decision, above those rights already provided for by regulation/instruction, are conferred by receipt of this notice.</t>
    </r>
  </si>
  <si>
    <r>
      <t>Alert: </t>
    </r>
    <r>
      <rPr>
        <b/>
        <sz val="10"/>
        <color rgb="FF21212B"/>
        <rFont val="Calibri"/>
        <family val="2"/>
      </rPr>
      <t>No appeal rights. Adjudicative decision based on law.</t>
    </r>
  </si>
  <si>
    <r>
      <t>Alert: </t>
    </r>
    <r>
      <rPr>
        <b/>
        <sz val="10"/>
        <color rgb="FF21212B"/>
        <rFont val="Calibri"/>
        <family val="2"/>
      </rPr>
      <t>As previously advised, a portion or all of your payment is being held in a special account.</t>
    </r>
  </si>
  <si>
    <r>
      <t>Alert: </t>
    </r>
    <r>
      <rPr>
        <b/>
        <sz val="10"/>
        <color rgb="FF21212B"/>
        <rFont val="Calibri"/>
        <family val="2"/>
      </rPr>
      <t>The new information was considered but additional payment will not be issued.</t>
    </r>
  </si>
  <si>
    <r>
      <t>Alert: </t>
    </r>
    <r>
      <rPr>
        <b/>
        <sz val="10"/>
        <color rgb="FF21212B"/>
        <rFont val="Calibri"/>
        <family val="2"/>
      </rPr>
      <t>The patient overpaid you for these services. You must issue the patient a refund within 30 days for the difference between his/her payment and the total amount shown as patient responsibility on this notice.</t>
    </r>
  </si>
  <si>
    <r>
      <t>Alert: </t>
    </r>
    <r>
      <rPr>
        <b/>
        <sz val="10"/>
        <color rgb="FF21212B"/>
        <rFont val="Calibri"/>
        <family val="2"/>
      </rPr>
      <t>This is a telephone review decision.</t>
    </r>
  </si>
  <si>
    <r>
      <t>Alert: </t>
    </r>
    <r>
      <rPr>
        <b/>
        <sz val="10"/>
        <color rgb="FF21212B"/>
        <rFont val="Calibri"/>
        <family val="2"/>
      </rPr>
      <t>Correction to a prior claim.</t>
    </r>
  </si>
  <si>
    <r>
      <t>Alert: </t>
    </r>
    <r>
      <rPr>
        <b/>
        <sz val="10"/>
        <color rgb="FF21212B"/>
        <rFont val="Calibri"/>
        <family val="2"/>
      </rPr>
      <t>We did not crossover this claim because the secondary insurance information on the claim was incomplete. Please supply complete information or use the PLANID of the insurer to assure correct and timely routing of the claim.</t>
    </r>
  </si>
  <si>
    <r>
      <t>Alert: </t>
    </r>
    <r>
      <rPr>
        <b/>
        <sz val="10"/>
        <color rgb="FF21212B"/>
        <rFont val="Calibri"/>
        <family val="2"/>
      </rPr>
      <t>The patient overpaid you for these assigned services. You must issue the patient a refund within 30 days for the difference between his/her payment to you and the total of the amount shown as patient responsibility and as paid to the patient on this notice.</t>
    </r>
  </si>
  <si>
    <r>
      <t>Alert: </t>
    </r>
    <r>
      <rPr>
        <b/>
        <sz val="10"/>
        <color rgb="FF21212B"/>
        <rFont val="Calibri"/>
        <family val="2"/>
      </rPr>
      <t>This payment replaces an earlier payment for this claim that was either lost, damaged or returned.</t>
    </r>
  </si>
  <si>
    <r>
      <t>Alert: </t>
    </r>
    <r>
      <rPr>
        <b/>
        <sz val="10"/>
        <color rgb="FF21212B"/>
        <rFont val="Calibri"/>
        <family val="2"/>
      </rPr>
      <t>The patient overpaid you. You must issue the patient a refund within 30 days for the difference between the patient's payment less the total of our and other payer payments and the amount shown as patient responsibility on this notice.</t>
    </r>
  </si>
  <si>
    <r>
      <t>Alert: </t>
    </r>
    <r>
      <rPr>
        <b/>
        <sz val="10"/>
        <color rgb="FF21212B"/>
        <rFont val="Calibri"/>
        <family val="2"/>
      </rPr>
      <t>This determination is the result of the appeal you filed.</t>
    </r>
  </si>
  <si>
    <r>
      <t>Alert: </t>
    </r>
    <r>
      <rPr>
        <b/>
        <sz val="10"/>
        <color rgb="FF21212B"/>
        <rFont val="Calibri"/>
        <family val="2"/>
      </rPr>
      <t>No Medicare payment issued for this claim for services or supplies furnished to a Medicare-eligible veteran through a facility of the Department of Veterans Affairs. Coinsurance and/or deductible are applicable.</t>
    </r>
  </si>
  <si>
    <r>
      <t>Alert: </t>
    </r>
    <r>
      <rPr>
        <b/>
        <sz val="10"/>
        <color rgb="FF21212B"/>
        <rFont val="Calibri"/>
        <family val="2"/>
      </rPr>
      <t>You may appeal this decision in writing within the required time limits following receipt of this notice by following the instructions included in your contract, plan benefit documents or jurisdiction statutes. Refer to the URL provided in the ERA for the payer website to access the appeals process guidelines.</t>
    </r>
  </si>
  <si>
    <r>
      <t>Alert: </t>
    </r>
    <r>
      <rPr>
        <b/>
        <sz val="10"/>
        <color rgb="FF21212B"/>
        <rFont val="Calibri"/>
        <family val="2"/>
      </rPr>
      <t>Processing of this claim/service has included consideration under Major Medical provisions.</t>
    </r>
  </si>
  <si>
    <r>
      <t>Alert: </t>
    </r>
    <r>
      <rPr>
        <b/>
        <sz val="10"/>
        <color rgb="FF21212B"/>
        <rFont val="Calibri"/>
        <family val="2"/>
      </rPr>
      <t>Your line item has been separated into multiple lines to expedite handling.</t>
    </r>
  </si>
  <si>
    <r>
      <t>Alert: </t>
    </r>
    <r>
      <rPr>
        <b/>
        <sz val="10"/>
        <color rgb="FF21212B"/>
        <rFont val="Calibri"/>
        <family val="2"/>
      </rPr>
      <t>This procedure code was added/changed because it more accurately describes the services rendered.</t>
    </r>
  </si>
  <si>
    <r>
      <t>Alert: </t>
    </r>
    <r>
      <rPr>
        <b/>
        <sz val="10"/>
        <color rgb="FF21212B"/>
        <rFont val="Calibri"/>
        <family val="2"/>
      </rPr>
      <t>Patient liability may be affected due to coordination of benefits with other carriers and/or maximum benefit provisions.</t>
    </r>
  </si>
  <si>
    <r>
      <t>Alert: </t>
    </r>
    <r>
      <rPr>
        <b/>
        <sz val="10"/>
        <color rgb="FF21212B"/>
        <rFont val="Calibri"/>
        <family val="2"/>
      </rPr>
      <t>Please refer to your provider manual for additional program and provider information.</t>
    </r>
  </si>
  <si>
    <r>
      <t>Alert: </t>
    </r>
    <r>
      <rPr>
        <b/>
        <sz val="10"/>
        <color rgb="FF21212B"/>
        <rFont val="Calibri"/>
        <family val="2"/>
      </rPr>
      <t>PPS (Prospective Payment System) code changed by claims processing system.</t>
    </r>
  </si>
  <si>
    <r>
      <t>Alert: </t>
    </r>
    <r>
      <rPr>
        <b/>
        <sz val="10"/>
        <color rgb="FF21212B"/>
        <rFont val="Calibri"/>
        <family val="2"/>
      </rPr>
      <t>Further installment payments are forthcoming.</t>
    </r>
  </si>
  <si>
    <r>
      <t>Alert: </t>
    </r>
    <r>
      <rPr>
        <b/>
        <sz val="10"/>
        <color rgb="FF21212B"/>
        <rFont val="Calibri"/>
        <family val="2"/>
      </rPr>
      <t>This is the final installment payment.</t>
    </r>
  </si>
  <si>
    <r>
      <t>Alert: </t>
    </r>
    <r>
      <rPr>
        <b/>
        <sz val="10"/>
        <color rgb="FF21212B"/>
        <rFont val="Calibri"/>
        <family val="2"/>
      </rPr>
      <t>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r>
  </si>
  <si>
    <r>
      <t>Alert: </t>
    </r>
    <r>
      <rPr>
        <b/>
        <sz val="10"/>
        <color rgb="FF21212B"/>
        <rFont val="Calibri"/>
        <family val="2"/>
      </rPr>
      <t>Payment information for this claim has been forwarded to more than one other payer, but format limitations permit only one of the secondary payers to be identified in this remittance advice.</t>
    </r>
  </si>
  <si>
    <r>
      <t>Alert: </t>
    </r>
    <r>
      <rPr>
        <b/>
        <sz val="10"/>
        <color rgb="FF21212B"/>
        <rFont val="Calibri"/>
        <family val="2"/>
      </rPr>
      <t>This claim/service was chosen for complex review.</t>
    </r>
  </si>
  <si>
    <r>
      <t>Alert: </t>
    </r>
    <r>
      <rPr>
        <b/>
        <sz val="10"/>
        <color rgb="FF21212B"/>
        <rFont val="Calibri"/>
        <family val="2"/>
      </rPr>
      <t>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t>
    </r>
  </si>
  <si>
    <r>
      <t>Alert: </t>
    </r>
    <r>
      <rPr>
        <b/>
        <sz val="10"/>
        <color rgb="FF21212B"/>
        <rFont val="Calibri"/>
        <family val="2"/>
      </rPr>
      <t>This is a split service and represents a portion of the units from the originally submitted service.</t>
    </r>
  </si>
  <si>
    <r>
      <t>Alert: </t>
    </r>
    <r>
      <rPr>
        <b/>
        <sz val="10"/>
        <color rgb="FF21212B"/>
        <rFont val="Calibri"/>
        <family val="2"/>
      </rPr>
      <t>Payments will cease for services rendered by this US Government debarred or excluded provider after the 30 day grace period as previously notified.</t>
    </r>
  </si>
  <si>
    <r>
      <t>Alert: </t>
    </r>
    <r>
      <rPr>
        <b/>
        <sz val="10"/>
        <color rgb="FF21212B"/>
        <rFont val="Calibri"/>
        <family val="2"/>
      </rPr>
      <t>Services for predetermination and services requesting payment are being processed separately.</t>
    </r>
  </si>
  <si>
    <r>
      <t>Alert: </t>
    </r>
    <r>
      <rPr>
        <b/>
        <sz val="10"/>
        <color rgb="FF21212B"/>
        <rFont val="Calibri"/>
        <family val="2"/>
      </rPr>
      <t>This represents your scheduled payment for this service. If treatment has been discontinued, please contact Customer Service.</t>
    </r>
  </si>
  <si>
    <r>
      <t>Alert: </t>
    </r>
    <r>
      <rPr>
        <b/>
        <sz val="10"/>
        <color rgb="FF21212B"/>
        <rFont val="Calibri"/>
        <family val="2"/>
      </rPr>
      <t>To obtain information on the process to file an appeal in Arizona, call the Department's Consumer Assistance Office at (602) 912-8444 or (800) 325-2548.</t>
    </r>
  </si>
  <si>
    <r>
      <t>Alert: </t>
    </r>
    <r>
      <rPr>
        <b/>
        <sz val="10"/>
        <color rgb="FF21212B"/>
        <rFont val="Calibri"/>
        <family val="2"/>
      </rPr>
      <t>The provider acting on the Member's behalf, may file an appeal with the Payer. The provider, acting on the Member's behalf, may file a complaint with the State Insurance Regulatory Authority without first filing an appeal, if the coverage decision involves an urgent condition for which care has not been rendered. The address may be obtained from the State Insurance Regulatory Authority.</t>
    </r>
  </si>
  <si>
    <r>
      <t>Alert: </t>
    </r>
    <r>
      <rPr>
        <b/>
        <sz val="10"/>
        <color rgb="FF21212B"/>
        <rFont val="Calibri"/>
        <family val="2"/>
      </rPr>
      <t>In the event you disagree with the Dental Advisor's opinion and have additional information relative to the case, you may submit radiographs to the Dental Advisor Unit at the subscriber's dental insurance carrier for a second Independent Dental Advisor Review.</t>
    </r>
  </si>
  <si>
    <r>
      <t>Alert: </t>
    </r>
    <r>
      <rPr>
        <b/>
        <sz val="10"/>
        <color rgb="FF21212B"/>
        <rFont val="Calibri"/>
        <family val="2"/>
      </rPr>
      <t>Under 32 CFR 199.13, a non-participating provider is not an appropriate appealing party. Therefore, if you disagree with the Dental Advisor's opinion, you may appeal the determination if appointed in writing, by the beneficiary, to act as his/her representative. Should you be appointed as a representative, submit a copy of this letter, a signed statement explaining the matter in which you disagree, and any radiographs and relevant information to the subscriber's Dental insurance carrier within 90 days from the date of this letter.</t>
    </r>
  </si>
  <si>
    <r>
      <t>Alert: </t>
    </r>
    <r>
      <rPr>
        <b/>
        <sz val="10"/>
        <color rgb="FF21212B"/>
        <rFont val="Calibri"/>
        <family val="2"/>
      </rPr>
      <t>You have not been designated as an authorized OCONUS provider therefore are not considered an appropriate appealing party. If the beneficiary has appointed you, in writing, to act as his/her representative and you disagree with the Dental Advisor's opinion, you may appeal by submitting a copy of this letter, a signed statement explaining the matter in which you disagree, and any relevant information to the subscriber's Dental insurance carrier within 90 days from the date of this letter.</t>
    </r>
  </si>
  <si>
    <r>
      <t>Alert: </t>
    </r>
    <r>
      <rPr>
        <b/>
        <sz val="10"/>
        <color rgb="FF21212B"/>
        <rFont val="Calibri"/>
        <family val="2"/>
      </rPr>
      <t>This payment was delayed for correction of provider's mailing address.</t>
    </r>
  </si>
  <si>
    <r>
      <t>Alert: </t>
    </r>
    <r>
      <rPr>
        <b/>
        <sz val="10"/>
        <color rgb="FF21212B"/>
        <rFont val="Calibri"/>
        <family val="2"/>
      </rPr>
      <t>Our records do not indicate that other insurance is on file. Please submit other insurance information for our records.</t>
    </r>
  </si>
  <si>
    <r>
      <t>Alert: </t>
    </r>
    <r>
      <rPr>
        <b/>
        <sz val="10"/>
        <color rgb="FF21212B"/>
        <rFont val="Calibri"/>
        <family val="2"/>
      </rPr>
      <t>The patient is responsible for the difference between the approved treatment and the elective treatment.</t>
    </r>
  </si>
  <si>
    <r>
      <t>Alert: </t>
    </r>
    <r>
      <rPr>
        <b/>
        <sz val="10"/>
        <color rgb="FF21212B"/>
        <rFont val="Calibri"/>
        <family val="2"/>
      </rPr>
      <t>Although your claim was paid, you have billed for a test/specialty not included in your Laboratory Certification. Your failure to correct the laboratory certification information will result in a denial of payment in the near future.</t>
    </r>
  </si>
  <si>
    <r>
      <t>Alert: </t>
    </r>
    <r>
      <rPr>
        <b/>
        <sz val="10"/>
        <color rgb="FF21212B"/>
        <rFont val="Calibri"/>
        <family val="2"/>
      </rPr>
      <t>We did not send this claim to patient's other insurer. They have indicated no additional payment can be made.</t>
    </r>
  </si>
  <si>
    <r>
      <t>Alert: </t>
    </r>
    <r>
      <rPr>
        <b/>
        <sz val="10"/>
        <color rgb="FF21212B"/>
        <rFont val="Calibri"/>
        <family val="2"/>
      </rPr>
      <t>This is a predetermination advisory message, when this service is submitted for payment additional documentation as specified in plan documents will be required to process benefits.</t>
    </r>
  </si>
  <si>
    <r>
      <t>Alert: </t>
    </r>
    <r>
      <rPr>
        <b/>
        <sz val="10"/>
        <color rgb="FF21212B"/>
        <rFont val="Calibri"/>
        <family val="2"/>
      </rPr>
      <t>Do not resubmit this claim/service.</t>
    </r>
  </si>
  <si>
    <r>
      <t>Alert: </t>
    </r>
    <r>
      <rPr>
        <b/>
        <sz val="10"/>
        <color rgb="FF21212B"/>
        <rFont val="Calibri"/>
        <family val="2"/>
      </rPr>
      <t>You may request a review in writing within the required time limits following receipt of this notice by following the instructions included in your contract or plan benefit documents.</t>
    </r>
  </si>
  <si>
    <r>
      <t>Alert: </t>
    </r>
    <r>
      <rPr>
        <b/>
        <sz val="10"/>
        <color rgb="FF21212B"/>
        <rFont val="Calibri"/>
        <family val="2"/>
      </rPr>
      <t>This service has been paid as a one-time exception to the plan's benefit restrictions.</t>
    </r>
  </si>
  <si>
    <r>
      <t>Alert: </t>
    </r>
    <r>
      <rPr>
        <b/>
        <sz val="10"/>
        <color rgb="FF21212B"/>
        <rFont val="Calibri"/>
        <family val="2"/>
      </rPr>
      <t>Patient is a Medicaid/Qualified Medicare Beneficiary.</t>
    </r>
  </si>
  <si>
    <r>
      <t>Alert: </t>
    </r>
    <r>
      <rPr>
        <b/>
        <sz val="10"/>
        <color rgb="FF21212B"/>
        <rFont val="Calibri"/>
        <family val="2"/>
      </rPr>
      <t>Specific federal/state/local program may cover this service through another payer.</t>
    </r>
  </si>
  <si>
    <r>
      <t>Alert: </t>
    </r>
    <r>
      <rPr>
        <b/>
        <sz val="10"/>
        <color rgb="FF21212B"/>
        <rFont val="Calibri"/>
        <family val="2"/>
      </rPr>
      <t>Patient eligible to apply for other coverage which may be primary.</t>
    </r>
  </si>
  <si>
    <r>
      <t>Alert: </t>
    </r>
    <r>
      <rPr>
        <b/>
        <sz val="10"/>
        <color rgb="FF21212B"/>
        <rFont val="Calibri"/>
        <family val="2"/>
      </rPr>
      <t>Additional information/explanation will be sent separately.</t>
    </r>
  </si>
  <si>
    <r>
      <t>Alert: </t>
    </r>
    <r>
      <rPr>
        <b/>
        <sz val="10"/>
        <color rgb="FF21212B"/>
        <rFont val="Calibri"/>
        <family val="2"/>
      </rPr>
      <t>You may appeal this decision.</t>
    </r>
  </si>
  <si>
    <r>
      <t>Alert: </t>
    </r>
    <r>
      <rPr>
        <b/>
        <sz val="10"/>
        <color rgb="FF21212B"/>
        <rFont val="Calibri"/>
        <family val="2"/>
      </rPr>
      <t>You may not appeal this decision.</t>
    </r>
  </si>
  <si>
    <r>
      <t>Alert: </t>
    </r>
    <r>
      <rPr>
        <b/>
        <sz val="10"/>
        <color rgb="FF21212B"/>
        <rFont val="Calibri"/>
        <family val="2"/>
      </rPr>
      <t>A payer providing supplemental or secondary coverage shall not require a claims determination for this service from a primary payer as a condition of making its own claims determination.</t>
    </r>
  </si>
  <si>
    <r>
      <t>Alert: </t>
    </r>
    <r>
      <rPr>
        <b/>
        <sz val="10"/>
        <color rgb="FF21212B"/>
        <rFont val="Calibri"/>
        <family val="2"/>
      </rPr>
      <t>See the payer's web site or contact the payer's Customer Service department to obtain forms and instructions for filing a provider dispute.</t>
    </r>
  </si>
  <si>
    <r>
      <t>Alert: </t>
    </r>
    <r>
      <rPr>
        <b/>
        <sz val="10"/>
        <color rgb="FF21212B"/>
        <rFont val="Calibri"/>
        <family val="2"/>
      </rPr>
      <t>There are no scheduled payments for this service. Submit a claim for each patient visit.</t>
    </r>
  </si>
  <si>
    <r>
      <t>Alert: </t>
    </r>
    <r>
      <rPr>
        <b/>
        <sz val="10"/>
        <color rgb="FF21212B"/>
        <rFont val="Calibri"/>
        <family val="2"/>
      </rPr>
      <t>Benefits have been estimated, when the actual services have been rendered, additional payment will be considered based on the submitted claim.</t>
    </r>
  </si>
  <si>
    <r>
      <t>Alert: </t>
    </r>
    <r>
      <rPr>
        <b/>
        <sz val="10"/>
        <color rgb="FF21212B"/>
        <rFont val="Calibri"/>
        <family val="2"/>
      </rPr>
      <t>The law permits exceptions to the refund requirement in two cases: - If you did not know, and could not have reasonably been expected to know, that we would not pay for this service; or - If you notified the patient in writing before providing the service that you believed that we were likely to deny the service, and the patient signed a statement agreeing to pay for the service.</t>
    </r>
  </si>
  <si>
    <r>
      <t>Alert: </t>
    </r>
    <r>
      <rPr>
        <b/>
        <sz val="10"/>
        <color rgb="FF21212B"/>
        <rFont val="Calibri"/>
        <family val="2"/>
      </rPr>
      <t>This decision may be reviewed if additional documentation as described in the contract or plan benefit documents is submitted.</t>
    </r>
  </si>
  <si>
    <r>
      <t>Alert: </t>
    </r>
    <r>
      <rPr>
        <b/>
        <sz val="10"/>
        <color rgb="FF21212B"/>
        <rFont val="Calibri"/>
        <family val="2"/>
      </rPr>
      <t>Coordination of benefits has not been calculated when estimating benefits for this pre-determination. Submit payment information from the primary payer with the secondary claim.</t>
    </r>
  </si>
  <si>
    <r>
      <t>Alert: </t>
    </r>
    <r>
      <rPr>
        <b/>
        <sz val="10"/>
        <color rgb="FF21212B"/>
        <rFont val="Calibri"/>
        <family val="2"/>
      </rPr>
      <t>in the near future we are implementing new policies/procedures that would affect this determination.</t>
    </r>
  </si>
  <si>
    <r>
      <t>Alert: </t>
    </r>
    <r>
      <rPr>
        <b/>
        <sz val="10"/>
        <color rgb="FF21212B"/>
        <rFont val="Calibri"/>
        <family val="2"/>
      </rPr>
      <t>According to our agreement, you must waive the deductible and/or coinsurance amounts.</t>
    </r>
  </si>
  <si>
    <r>
      <t>Alert: </t>
    </r>
    <r>
      <rPr>
        <b/>
        <sz val="10"/>
        <color rgb="FF21212B"/>
        <rFont val="Calibri"/>
        <family val="2"/>
      </rPr>
      <t>The claim information has been forwarded to a Consumer Spending Account processor for review; for example, flexible spending account or health savings account.</t>
    </r>
  </si>
  <si>
    <r>
      <t>Alert: </t>
    </r>
    <r>
      <rPr>
        <b/>
        <sz val="10"/>
        <color rgb="FF21212B"/>
        <rFont val="Calibri"/>
        <family val="2"/>
      </rPr>
      <t>Although this claim has been processed, it is deficient according to state legislation/regulation.</t>
    </r>
  </si>
  <si>
    <r>
      <t>Alert: </t>
    </r>
    <r>
      <rPr>
        <b/>
        <sz val="10"/>
        <color rgb="FF21212B"/>
        <rFont val="Calibri"/>
        <family val="2"/>
      </rPr>
      <t>title of this equipment must be transferred to the patient.</t>
    </r>
  </si>
  <si>
    <r>
      <t>Alert: </t>
    </r>
    <r>
      <rPr>
        <b/>
        <sz val="10"/>
        <color rgb="FF21212B"/>
        <rFont val="Calibri"/>
        <family val="2"/>
      </rPr>
      <t>Consult our contractual agreement for restrictions/billing/payment information related to these charges.</t>
    </r>
  </si>
  <si>
    <r>
      <t>Alert: </t>
    </r>
    <r>
      <rPr>
        <b/>
        <sz val="10"/>
        <color rgb="FF21212B"/>
        <rFont val="Calibri"/>
        <family val="2"/>
      </rPr>
      <t>Submit this claim to the patient's other insurer for potential payment of supplemental benefits. We did not forward the claim information.</t>
    </r>
  </si>
  <si>
    <r>
      <t>Alert: </t>
    </r>
    <r>
      <rPr>
        <b/>
        <sz val="10"/>
        <color rgb="FF21212B"/>
        <rFont val="Calibri"/>
        <family val="2"/>
      </rPr>
      <t>Electronically enabled providers should submit claims electronically.</t>
    </r>
  </si>
  <si>
    <r>
      <t>Alert: </t>
    </r>
    <r>
      <rPr>
        <b/>
        <sz val="10"/>
        <color rgb="FF21212B"/>
        <rFont val="Calibri"/>
        <family val="2"/>
      </rPr>
      <t>Adjustment based on a Recovery Audit.</t>
    </r>
  </si>
  <si>
    <r>
      <t>Alert: </t>
    </r>
    <r>
      <rPr>
        <b/>
        <sz val="10"/>
        <color rgb="FF21212B"/>
        <rFont val="Calibri"/>
        <family val="2"/>
      </rPr>
      <t>If the injury claim is accepted, these charges will be reconsidered.</t>
    </r>
  </si>
  <si>
    <r>
      <t>Alert: </t>
    </r>
    <r>
      <rPr>
        <b/>
        <sz val="10"/>
        <color rgb="FF21212B"/>
        <rFont val="Calibri"/>
        <family val="2"/>
      </rPr>
      <t>This facility has not filed the Election for High Cost Outlier form with the Division of Workers' Compensation.</t>
    </r>
  </si>
  <si>
    <r>
      <t>Alert: </t>
    </r>
    <r>
      <rPr>
        <b/>
        <sz val="10"/>
        <color rgb="FF21212B"/>
        <rFont val="Calibri"/>
        <family val="2"/>
      </rPr>
      <t>Claim/Service(s) subject to appeal process, see section 935 of Medicare Prescription Drug, Improvement, and Modernization Act of 2003 (MMA).</t>
    </r>
  </si>
  <si>
    <r>
      <t>Alert: </t>
    </r>
    <r>
      <rPr>
        <b/>
        <sz val="10"/>
        <color rgb="FF21212B"/>
        <rFont val="Calibri"/>
        <family val="2"/>
      </rPr>
      <t>A network provider may bill the member for this service if the member requested the service and agreed in writing, prior to receiving the service, to be financially responsible for the billed charge.</t>
    </r>
  </si>
  <si>
    <r>
      <t>Alert: </t>
    </r>
    <r>
      <rPr>
        <b/>
        <sz val="10"/>
        <color rgb="FF21212B"/>
        <rFont val="Calibri"/>
        <family val="2"/>
      </rPr>
      <t>This response includes only services that could be estimated in real-time. No estimate will be provided for the services that could not be estimated in real-time.</t>
    </r>
  </si>
  <si>
    <r>
      <t>Alert: </t>
    </r>
    <r>
      <rPr>
        <b/>
        <sz val="10"/>
        <color rgb="FF21212B"/>
        <rFont val="Calibri"/>
        <family val="2"/>
      </rPr>
      <t>This is an estimate of the member's liability based on the information available at the time the estimate was processed. Actual coverage and member liability amounts will be determined when the claim is processed. This is not a pre-authorization or a guarantee of payment.</t>
    </r>
  </si>
  <si>
    <r>
      <t>Alert: </t>
    </r>
    <r>
      <rPr>
        <b/>
        <sz val="10"/>
        <color rgb="FF21212B"/>
        <rFont val="Calibri"/>
        <family val="2"/>
      </rPr>
      <t>This real-time claim adjudication response represents the member responsibility to the provider for services reported. The member will receive an Explanation of Benefits electronically or in the mail. Contact the insurer if there are any questions.</t>
    </r>
  </si>
  <si>
    <r>
      <t>Alert: </t>
    </r>
    <r>
      <rPr>
        <b/>
        <sz val="10"/>
        <color rgb="FF21212B"/>
        <rFont val="Calibri"/>
        <family val="2"/>
      </rPr>
      <t>A current inquiry shows the member's Consumer Spending Account contains sufficient funds to cover the member liability for this claim/service. Actual payment from the Consumer Spending Account will depend on the availability of funds and determination of eligible services at the time of payment processing.</t>
    </r>
  </si>
  <si>
    <r>
      <t>Alert: </t>
    </r>
    <r>
      <rPr>
        <b/>
        <sz val="10"/>
        <color rgb="FF21212B"/>
        <rFont val="Calibri"/>
        <family val="2"/>
      </rPr>
      <t>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t>
    </r>
  </si>
  <si>
    <r>
      <t>Alert: </t>
    </r>
    <r>
      <rPr>
        <b/>
        <sz val="10"/>
        <color rgb="FF21212B"/>
        <rFont val="Calibri"/>
        <family val="2"/>
      </rPr>
      <t>Information on the availability of Consumer Spending Account funds to cover the member liability on this claim/service is not available at this time.</t>
    </r>
  </si>
  <si>
    <r>
      <t>Alert: </t>
    </r>
    <r>
      <rPr>
        <b/>
        <sz val="10"/>
        <color rgb="FF21212B"/>
        <rFont val="Calibri"/>
        <family val="2"/>
      </rPr>
      <t>This is the initial remit of a non-NCPDP claim originally submitted real-time without change to the adjudication.</t>
    </r>
  </si>
  <si>
    <r>
      <t>Alert: </t>
    </r>
    <r>
      <rPr>
        <b/>
        <sz val="10"/>
        <color rgb="FF21212B"/>
        <rFont val="Calibri"/>
        <family val="2"/>
      </rPr>
      <t>This is the initial remit of a non-NCPDP claim originally submitted real-time with a change to the adjudication.</t>
    </r>
  </si>
  <si>
    <r>
      <t>Alert: </t>
    </r>
    <r>
      <rPr>
        <b/>
        <sz val="10"/>
        <color rgb="FF21212B"/>
        <rFont val="Calibri"/>
        <family val="2"/>
      </rPr>
      <t>Payment made from a Consumer Spending Account.</t>
    </r>
  </si>
  <si>
    <r>
      <t>Alert: </t>
    </r>
    <r>
      <rPr>
        <b/>
        <sz val="10"/>
        <color rgb="FF21212B"/>
        <rFont val="Calibri"/>
        <family val="2"/>
      </rPr>
      <t>We processed appeals/waiver requests on your behalf and that request has been denied.</t>
    </r>
  </si>
  <si>
    <r>
      <t>Alert: </t>
    </r>
    <r>
      <rPr>
        <b/>
        <sz val="10"/>
        <color rgb="FF21212B"/>
        <rFont val="Calibri"/>
        <family val="2"/>
      </rPr>
      <t>Although this was paid, you have billed with a referring/ordering provider that does not match our system record. Unless corrected this will not be paid in the future.</t>
    </r>
  </si>
  <si>
    <r>
      <t>Alert: </t>
    </r>
    <r>
      <rPr>
        <b/>
        <sz val="10"/>
        <color rgb="FF21212B"/>
        <rFont val="Calibri"/>
        <family val="2"/>
      </rPr>
      <t>Patient's calendar year deductible has been met.</t>
    </r>
  </si>
  <si>
    <r>
      <t>Alert: </t>
    </r>
    <r>
      <rPr>
        <b/>
        <sz val="10"/>
        <color rgb="FF21212B"/>
        <rFont val="Calibri"/>
        <family val="2"/>
      </rPr>
      <t>Patient's calendar year out-of-pocket maximum has been met.</t>
    </r>
  </si>
  <si>
    <r>
      <t>Alert: </t>
    </r>
    <r>
      <rPr>
        <b/>
        <sz val="10"/>
        <color rgb="FF21212B"/>
        <rFont val="Calibri"/>
        <family val="2"/>
      </rPr>
      <t>You have not responded to requests to revalidate your provider/supplier enrollment information. Your failure to revalidate your enrollment information will result in a payment hold in the near future.</t>
    </r>
  </si>
  <si>
    <r>
      <t>Alert: </t>
    </r>
    <r>
      <rPr>
        <b/>
        <sz val="10"/>
        <color rgb="FF21212B"/>
        <rFont val="Calibri"/>
        <family val="2"/>
      </rPr>
      <t>Missing required provider/supplier issuance of advance patient notice of non-coverage. The patient is not liable for payment for this service.</t>
    </r>
  </si>
  <si>
    <r>
      <t>Alert: </t>
    </r>
    <r>
      <rPr>
        <b/>
        <sz val="10"/>
        <color rgb="FF21212B"/>
        <rFont val="Calibri"/>
        <family val="2"/>
      </rPr>
      <t>This non-payable reporting code requires a modifier. Future claims containing this non-payable reporting code must include an appropriate modifier for the claim to be processed.</t>
    </r>
  </si>
  <si>
    <r>
      <t>Alert: </t>
    </r>
    <r>
      <rPr>
        <b/>
        <sz val="10"/>
        <color rgb="FF21212B"/>
        <rFont val="Calibri"/>
        <family val="2"/>
      </rPr>
      <t>This procedure code requires functional reporting. Future claims containing this procedure code must include an applicable non-payable code and appropriate modifiers for the claim to be processed.</t>
    </r>
  </si>
  <si>
    <r>
      <t>Alert: </t>
    </r>
    <r>
      <rPr>
        <b/>
        <sz val="10"/>
        <color rgb="FF21212B"/>
        <rFont val="Calibri"/>
        <family val="2"/>
      </rPr>
      <t>Initial payment based on the Notice of Admission (NOA) under the Bundled Payment Model IV initiative.</t>
    </r>
  </si>
  <si>
    <r>
      <t>Alert: </t>
    </r>
    <r>
      <rPr>
        <b/>
        <sz val="10"/>
        <color rgb="FF21212B"/>
        <rFont val="Calibri"/>
        <family val="2"/>
      </rPr>
      <t>Payment will be issued quarterly by another payer/contractor.</t>
    </r>
  </si>
  <si>
    <r>
      <t>Alert: </t>
    </r>
    <r>
      <rPr>
        <b/>
        <sz val="10"/>
        <color rgb="FF21212B"/>
        <rFont val="Calibri"/>
        <family val="2"/>
      </rPr>
      <t>You have been overpaid and must refund the overpayment. The refund will be requested separately by another payer/contractor.</t>
    </r>
  </si>
  <si>
    <r>
      <t>Alert: </t>
    </r>
    <r>
      <rPr>
        <b/>
        <sz val="10"/>
        <color rgb="FF21212B"/>
        <rFont val="Calibri"/>
        <family val="2"/>
      </rPr>
      <t>Payment based on an appropriate level of care.</t>
    </r>
  </si>
  <si>
    <r>
      <t>Alert: </t>
    </r>
    <r>
      <rPr>
        <b/>
        <sz val="10"/>
        <color rgb="FF21212B"/>
        <rFont val="Calibri"/>
        <family val="2"/>
      </rPr>
      <t>Although this was paid, you have billed with an ordering provider that needs to update their enrollment record. Please verify that the ordering provider information you submitted on the claim is accurate and if it is, contact the ordering provider instructing them to update their enrollment record. Unless corrected, a claim with this ordering provider will not be paid in the future.</t>
    </r>
  </si>
  <si>
    <r>
      <t>Alert: </t>
    </r>
    <r>
      <rPr>
        <b/>
        <sz val="10"/>
        <color rgb="FF21212B"/>
        <rFont val="Calibri"/>
        <family val="2"/>
      </rPr>
      <t>Additional information is included in the 835 Healthcare Policy Identification Segment (loop 2110 Service Payment Information).</t>
    </r>
  </si>
  <si>
    <r>
      <t>Alert: </t>
    </r>
    <r>
      <rPr>
        <b/>
        <sz val="10"/>
        <color rgb="FF21212B"/>
        <rFont val="Calibri"/>
        <family val="2"/>
      </rPr>
      <t>This enrollee receiving advance payments of the premium tax credit is in the grace period of three consecutive months for non-payment of premium. Under 45 CFR 156.270, a Qualified Health Plan issuer must pay all appropriate claims for services rendered to the enrollee during the first month of the grace period and may pend claims for services rendered to the enrollee in the second and third months of the grace period.</t>
    </r>
  </si>
  <si>
    <r>
      <t>Alert: </t>
    </r>
    <r>
      <rPr>
        <b/>
        <sz val="10"/>
        <color rgb="FF21212B"/>
        <rFont val="Calibri"/>
        <family val="2"/>
      </rPr>
      <t>This enrollee is in the first month of the advance premium tax credit grace period.</t>
    </r>
  </si>
  <si>
    <r>
      <t>Alert: </t>
    </r>
    <r>
      <rPr>
        <b/>
        <sz val="10"/>
        <color rgb="FF21212B"/>
        <rFont val="Calibri"/>
        <family val="2"/>
      </rPr>
      <t>This claim will automatically be reprocessed if the enrollee pays their premiums.</t>
    </r>
  </si>
  <si>
    <r>
      <t>Alert: </t>
    </r>
    <r>
      <rPr>
        <b/>
        <sz val="10"/>
        <color rgb="FF21212B"/>
        <rFont val="Calibri"/>
        <family val="2"/>
      </rPr>
      <t>This procedure code is for quality reporting/informational purposes only.</t>
    </r>
  </si>
  <si>
    <r>
      <t>Alert: </t>
    </r>
    <r>
      <rPr>
        <b/>
        <sz val="10"/>
        <color rgb="FF21212B"/>
        <rFont val="Calibri"/>
        <family val="2"/>
      </rPr>
      <t>Consideration of payment will be made upon receipt of a final bill.</t>
    </r>
  </si>
  <si>
    <r>
      <t>Alert: </t>
    </r>
    <r>
      <rPr>
        <b/>
        <sz val="10"/>
        <color rgb="FF21212B"/>
        <rFont val="Calibri"/>
        <family val="2"/>
      </rPr>
      <t>Amount applied to Health Insurance Offset.</t>
    </r>
  </si>
  <si>
    <r>
      <t>Alert: </t>
    </r>
    <r>
      <rPr>
        <b/>
        <sz val="10"/>
        <color rgb="FF21212B"/>
        <rFont val="Calibri"/>
        <family val="2"/>
      </rPr>
      <t>Films/Images will not be returned.</t>
    </r>
  </si>
  <si>
    <r>
      <t>Alert: </t>
    </r>
    <r>
      <rPr>
        <b/>
        <sz val="10"/>
        <color rgb="FF21212B"/>
        <rFont val="Calibri"/>
        <family val="2"/>
      </rPr>
      <t>This reversal is due to a retroactive disenrollment.</t>
    </r>
  </si>
  <si>
    <r>
      <t>Alert: </t>
    </r>
    <r>
      <rPr>
        <b/>
        <sz val="10"/>
        <color rgb="FF21212B"/>
        <rFont val="Calibri"/>
        <family val="2"/>
      </rPr>
      <t>This reversal is due to a medical or utilization review decision.</t>
    </r>
  </si>
  <si>
    <r>
      <t>Alert: </t>
    </r>
    <r>
      <rPr>
        <b/>
        <sz val="10"/>
        <color rgb="FF21212B"/>
        <rFont val="Calibri"/>
        <family val="2"/>
      </rPr>
      <t>This reversal is due to a retroactive rate change.</t>
    </r>
  </si>
  <si>
    <r>
      <t>Alert: </t>
    </r>
    <r>
      <rPr>
        <b/>
        <sz val="10"/>
        <color rgb="FF21212B"/>
        <rFont val="Calibri"/>
        <family val="2"/>
      </rPr>
      <t>This reversal is due to a provider submitted appeal.</t>
    </r>
  </si>
  <si>
    <r>
      <t>Alert: </t>
    </r>
    <r>
      <rPr>
        <b/>
        <sz val="10"/>
        <color rgb="FF21212B"/>
        <rFont val="Calibri"/>
        <family val="2"/>
      </rPr>
      <t>This reversal is due to a patient submitted appeal.</t>
    </r>
  </si>
  <si>
    <r>
      <t>Alert: </t>
    </r>
    <r>
      <rPr>
        <b/>
        <sz val="10"/>
        <color rgb="FF21212B"/>
        <rFont val="Calibri"/>
        <family val="2"/>
      </rPr>
      <t>This reversal is due to an incorrect rate on the initial adjudication.</t>
    </r>
  </si>
  <si>
    <r>
      <t>Alert: </t>
    </r>
    <r>
      <rPr>
        <b/>
        <sz val="10"/>
        <color rgb="FF21212B"/>
        <rFont val="Calibri"/>
        <family val="2"/>
      </rPr>
      <t>This reversal is due to a cancellation of the claim by the provider.</t>
    </r>
  </si>
  <si>
    <r>
      <t>Alert: </t>
    </r>
    <r>
      <rPr>
        <b/>
        <sz val="10"/>
        <color rgb="FF21212B"/>
        <rFont val="Calibri"/>
        <family val="2"/>
      </rPr>
      <t>This reversal is due to a resubmission/change to the claim by the provider.</t>
    </r>
  </si>
  <si>
    <r>
      <t>Alert: </t>
    </r>
    <r>
      <rPr>
        <b/>
        <sz val="10"/>
        <color rgb="FF21212B"/>
        <rFont val="Calibri"/>
        <family val="2"/>
      </rPr>
      <t>This reversal is due to incorrect patient financial responsibility information on the initial adjudication.</t>
    </r>
  </si>
  <si>
    <r>
      <t>Alert: </t>
    </r>
    <r>
      <rPr>
        <b/>
        <sz val="10"/>
        <color rgb="FF21212B"/>
        <rFont val="Calibri"/>
        <family val="2"/>
      </rPr>
      <t>This reversal is due to a Coordination of Benefits or Third Party Liability Recovery retroactive adjustment.</t>
    </r>
  </si>
  <si>
    <r>
      <t>Alert: </t>
    </r>
    <r>
      <rPr>
        <b/>
        <sz val="10"/>
        <color rgb="FF21212B"/>
        <rFont val="Calibri"/>
        <family val="2"/>
      </rPr>
      <t>This reversal is due to a payer's retroactive contract incentive program adjustment.</t>
    </r>
  </si>
  <si>
    <r>
      <t>Alert: </t>
    </r>
    <r>
      <rPr>
        <b/>
        <sz val="10"/>
        <color rgb="FF21212B"/>
        <rFont val="Calibri"/>
        <family val="2"/>
      </rPr>
      <t>This reversal is due to non-payment of the health insurance premiums (Health Insurance Exchange or other) by the end of the premium payment grace period, resulting in loss of coverage.</t>
    </r>
  </si>
  <si>
    <r>
      <t>Alert: </t>
    </r>
    <r>
      <rPr>
        <b/>
        <sz val="10"/>
        <color rgb="FF21212B"/>
        <rFont val="Calibri"/>
        <family val="2"/>
      </rPr>
      <t>You may not appeal this decision but can resubmit this claim/service with corrected information if warranted.</t>
    </r>
  </si>
  <si>
    <r>
      <t>Alert: </t>
    </r>
    <r>
      <rPr>
        <b/>
        <sz val="10"/>
        <color rgb="FF21212B"/>
        <rFont val="Calibri"/>
        <family val="2"/>
      </rPr>
      <t>The patient overpaid you. You may need to issue the patient a refund for the difference between the patient's payment and the amount shown as patient responsibility on this notice.</t>
    </r>
  </si>
  <si>
    <r>
      <t>Alert: </t>
    </r>
    <r>
      <rPr>
        <b/>
        <sz val="10"/>
        <color rgb="FF21212B"/>
        <rFont val="Calibri"/>
        <family val="2"/>
      </rPr>
      <t>Under Federal law you cannot charge more than the limiting charge amount.</t>
    </r>
  </si>
  <si>
    <r>
      <t>Alert: </t>
    </r>
    <r>
      <rPr>
        <b/>
        <sz val="10"/>
        <color rgb="FF21212B"/>
        <rFont val="Calibri"/>
        <family val="2"/>
      </rPr>
      <t>Rebill urgent/emergent and ancillary services separately.</t>
    </r>
  </si>
  <si>
    <r>
      <t>Alert: </t>
    </r>
    <r>
      <rPr>
        <b/>
        <sz val="10"/>
        <color rgb="FF21212B"/>
        <rFont val="Calibri"/>
        <family val="2"/>
      </rPr>
      <t>Refer to your Third Party Processor Agreement for specific information on fees associated with this payment type.</t>
    </r>
  </si>
  <si>
    <r>
      <t>Alert: </t>
    </r>
    <r>
      <rPr>
        <b/>
        <sz val="10"/>
        <color rgb="FF21212B"/>
        <rFont val="Calibri"/>
        <family val="2"/>
      </rPr>
      <t>Patient is a Medicaid/ Qualified Medicare Beneficiary. Review your records for any wrongfully collected deductible. This amount may be billed to a subsequent payer.</t>
    </r>
  </si>
  <si>
    <r>
      <t>Alert: </t>
    </r>
    <r>
      <rPr>
        <b/>
        <sz val="10"/>
        <color rgb="FF21212B"/>
        <rFont val="Calibri"/>
        <family val="2"/>
      </rPr>
      <t>Patient is a Medicaid/ Qualified Medicare Beneficiary. Review your records for any wrongfully collected coinsurance. This amount may be billed to a subsequent payer.</t>
    </r>
  </si>
  <si>
    <r>
      <t>Alert: </t>
    </r>
    <r>
      <rPr>
        <b/>
        <sz val="10"/>
        <color rgb="FF21212B"/>
        <rFont val="Calibri"/>
        <family val="2"/>
      </rPr>
      <t>Patient is a Medicaid/ Qualified Medicare Beneficiary. Review your records for any wrongfully collected copayment. This amount may be billed to a subsequent payer.</t>
    </r>
  </si>
  <si>
    <r>
      <t>Alert: </t>
    </r>
    <r>
      <rPr>
        <b/>
        <sz val="10"/>
        <color rgb="FF21212B"/>
        <rFont val="Calibri"/>
        <family val="2"/>
      </rPr>
      <t>Under 42 CFR 410.43, an eligible Partial Hospitalization Program (PHP) patient/beneficiary requires a minimum of 20 hours of PHP services per week, as evidenced in the plan of care. PHP services must be furnished in accordance with the plan of care.</t>
    </r>
  </si>
  <si>
    <r>
      <t>Alert: </t>
    </r>
    <r>
      <rPr>
        <b/>
        <sz val="10"/>
        <color rgb="FF21212B"/>
        <rFont val="Calibri"/>
        <family val="2"/>
      </rPr>
      <t>The third-party administrator/review organization did not receive the required information.</t>
    </r>
  </si>
  <si>
    <r>
      <t>Alert: </t>
    </r>
    <r>
      <rPr>
        <b/>
        <sz val="10"/>
        <color rgb="FF21212B"/>
        <rFont val="Calibri"/>
        <family val="2"/>
      </rPr>
      <t>The claim/service was processed through the Outpatient Code Editor (OCE).</t>
    </r>
  </si>
  <si>
    <r>
      <t>Alert: </t>
    </r>
    <r>
      <rPr>
        <b/>
        <sz val="10"/>
        <color rgb="FF21212B"/>
        <rFont val="Calibri"/>
        <family val="2"/>
      </rPr>
      <t>The claim/service was processed through the Correct Code Editor (CCE).</t>
    </r>
  </si>
  <si>
    <r>
      <t>Alert: </t>
    </r>
    <r>
      <rPr>
        <b/>
        <sz val="10"/>
        <color rgb="FF21212B"/>
        <rFont val="Calibri"/>
        <family val="2"/>
      </rPr>
      <t>The fee schedule amount for this service was adjusted based on prior competitive bidding rates. For more information, contact your local contractor.</t>
    </r>
  </si>
  <si>
    <r>
      <t>Alert: </t>
    </r>
    <r>
      <rPr>
        <b/>
        <sz val="10"/>
        <color rgb="FF21212B"/>
        <rFont val="Calibri"/>
        <family val="2"/>
      </rPr>
      <t>Due to federal, state or local disaster declaration, this claim has been processed at the in-network level of benefit. At the conclusion or expiration of the disaster declaration, network payment rules will be reinstated.</t>
    </r>
  </si>
  <si>
    <r>
      <t>Alert: </t>
    </r>
    <r>
      <rPr>
        <b/>
        <sz val="10"/>
        <color rgb="FF21212B"/>
        <rFont val="Calibri"/>
        <family val="2"/>
      </rPr>
      <t>Applicable laboratories are required to collect and report private payor data and report that data to CMS between January 1, 2020 - March 31, 2020.</t>
    </r>
  </si>
  <si>
    <r>
      <t>Alert: </t>
    </r>
    <r>
      <rPr>
        <b/>
        <sz val="10"/>
        <color rgb="FF21212B"/>
        <rFont val="Calibri"/>
        <family val="2"/>
      </rPr>
      <t>Payment is suppressed due to a contracted funding.</t>
    </r>
  </si>
  <si>
    <r>
      <t>Alert: </t>
    </r>
    <r>
      <rPr>
        <b/>
        <sz val="10"/>
        <color rgb="FF21212B"/>
        <rFont val="Calibri"/>
        <family val="2"/>
      </rPr>
      <t>The charge[s] for this service was processed in accordance with Federal/ State, Balance Billing/ No Surprise Billing regulations. As such, any amount identified with OA, CO, or PI cannot be collected from the member and may be considered provider liability or be billable to a subsequent payer. Any amount the provider collected over the identified PR amount must be refunded to the patient within applicable Federal/State timeframes. Payment amounts are eligible for dispute pursuant to any Federal/State documented appeal/grievance process(es).</t>
    </r>
  </si>
  <si>
    <r>
      <t>Alert: </t>
    </r>
    <r>
      <rPr>
        <b/>
        <sz val="10"/>
        <color rgb="FF21212B"/>
        <rFont val="Calibri"/>
        <family val="2"/>
      </rPr>
      <t>Missing modifier was added.</t>
    </r>
  </si>
  <si>
    <r>
      <t>Alert: </t>
    </r>
    <r>
      <rPr>
        <b/>
        <sz val="10"/>
        <color rgb="FF21212B"/>
        <rFont val="Calibri"/>
        <family val="2"/>
      </rPr>
      <t>Service/procedure postponed due to a federal, state, or local mandate/disaster declaration. Any amounts applied to deductible or member liability will be applied to the prior plan year from which the procedure was cancelled.</t>
    </r>
  </si>
  <si>
    <r>
      <t>Alert: </t>
    </r>
    <r>
      <rPr>
        <b/>
        <sz val="10"/>
        <color rgb="FF21212B"/>
        <rFont val="Calibri"/>
        <family val="2"/>
      </rPr>
      <t>North Dakota Administrative Rule 92-01-02-50.3.</t>
    </r>
  </si>
  <si>
    <r>
      <t>Alert: </t>
    </r>
    <r>
      <rPr>
        <b/>
        <sz val="10"/>
        <color rgb="FF21212B"/>
        <rFont val="Calibri"/>
        <family val="2"/>
      </rPr>
      <t>Patient cannot be billed for charges.</t>
    </r>
  </si>
  <si>
    <r>
      <t>Alert: </t>
    </r>
    <r>
      <rPr>
        <b/>
        <sz val="10"/>
        <color rgb="FF21212B"/>
        <rFont val="Calibri"/>
        <family val="2"/>
      </rPr>
      <t>Nebraska Legislative LB997 July 24, 2020 - Out of Network Emergency Medical Care Act.</t>
    </r>
  </si>
  <si>
    <r>
      <t>Alert: </t>
    </r>
    <r>
      <rPr>
        <b/>
        <sz val="10"/>
        <color rgb="FF21212B"/>
        <rFont val="Calibri"/>
        <family val="2"/>
      </rPr>
      <t>If you have primary other health insurance (OHI) coverage that has denied services, you must exhaust all appeal levels with your primary OHI before we can consider your claim for reimbursement.</t>
    </r>
  </si>
  <si>
    <r>
      <t>Alert: </t>
    </r>
    <r>
      <rPr>
        <b/>
        <sz val="10"/>
        <color rgb="FF21212B"/>
        <rFont val="Calibri"/>
        <family val="2"/>
      </rPr>
      <t>State regulations relating to an Out of Network Medical Emergency Care Act were applied to the processing of this claim. Payment amounts are eligible for dispute following the state's documented appeal/ grievance/ arbitration process.</t>
    </r>
  </si>
  <si>
    <r>
      <t>Alert: </t>
    </r>
    <r>
      <rPr>
        <b/>
        <sz val="10"/>
        <color rgb="FF21212B"/>
        <rFont val="Calibri"/>
        <family val="2"/>
      </rPr>
      <t>The Federal No Surprise Billing Act was applied to the processing of this claim. Payment amounts are eligible for dispute pursuant to any Federal documented appeal/ grievance/ dispute resolution process(es).</t>
    </r>
  </si>
  <si>
    <r>
      <t>Alert: </t>
    </r>
    <r>
      <rPr>
        <b/>
        <sz val="10"/>
        <color rgb="FF21212B"/>
        <rFont val="Calibri"/>
        <family val="2"/>
      </rPr>
      <t>The Federal No Surprise Billing Act Qualified Payment Amount (QPA) was used to calculate the member cost share(s).</t>
    </r>
  </si>
  <si>
    <r>
      <t>Alert: </t>
    </r>
    <r>
      <rPr>
        <b/>
        <sz val="10"/>
        <color rgb="FF21212B"/>
        <rFont val="Calibri"/>
        <family val="2"/>
      </rPr>
      <t>Mismatch between the submitted Patient Liability/Share of Cost and the amount on record for this recipient.</t>
    </r>
  </si>
  <si>
    <r>
      <t>Alert: </t>
    </r>
    <r>
      <rPr>
        <b/>
        <sz val="10"/>
        <color rgb="FF21212B"/>
        <rFont val="Calibri"/>
        <family val="2"/>
      </rPr>
      <t>Member cost share is in compliance with the No Surprises Act, and is calculated using the lesser of the QPA or billed charge.</t>
    </r>
  </si>
  <si>
    <r>
      <t>Alert: </t>
    </r>
    <r>
      <rPr>
        <b/>
        <sz val="10"/>
        <color rgb="FF21212B"/>
        <rFont val="Calibri"/>
        <family val="2"/>
      </rPr>
      <t>This claim is subject to the No Surprises Act (NSA). The amount paid is the final out-of-network rate and was calculated based on an All Payer Model Agreement, in accordance with the NSA.</t>
    </r>
  </si>
  <si>
    <r>
      <t>Alert: </t>
    </r>
    <r>
      <rPr>
        <b/>
        <sz val="10"/>
        <color rgb="FF21212B"/>
        <rFont val="Calibri"/>
        <family val="2"/>
      </rPr>
      <t>This claim is subject to the No Surprises Act provisions that apply to emergency services.</t>
    </r>
  </si>
  <si>
    <r>
      <t>Alert: </t>
    </r>
    <r>
      <rPr>
        <b/>
        <sz val="10"/>
        <color rgb="FF21212B"/>
        <rFont val="Calibri"/>
        <family val="2"/>
      </rPr>
      <t>This claim is subject to the No Surprises Act provisions that apply to nonemergency services furnished by nonparticipating providers during a patient visit to a participating facility.</t>
    </r>
  </si>
  <si>
    <r>
      <t>Alert: </t>
    </r>
    <r>
      <rPr>
        <b/>
        <sz val="10"/>
        <color rgb="FF21212B"/>
        <rFont val="Calibri"/>
        <family val="2"/>
      </rPr>
      <t>This claim is subject to the No Surprises Act provisions that apply to services furnished by nonparticipating providers of air ambulance services.</t>
    </r>
  </si>
  <si>
    <r>
      <t>Alert: </t>
    </r>
    <r>
      <rPr>
        <b/>
        <sz val="10"/>
        <color rgb="FF21212B"/>
        <rFont val="Calibri"/>
        <family val="2"/>
      </rPr>
      <t>Cost sharing was calculated based on a specified state law, in accordance with the No Surprises Act.</t>
    </r>
  </si>
  <si>
    <r>
      <t>Alert: </t>
    </r>
    <r>
      <rPr>
        <b/>
        <sz val="10"/>
        <color rgb="FF21212B"/>
        <rFont val="Calibri"/>
        <family val="2"/>
      </rPr>
      <t>Cost sharing was calculated based on an All-Payer Model Agreement, in accordance with the No Surprises Act.</t>
    </r>
  </si>
  <si>
    <r>
      <t>Alert: </t>
    </r>
    <r>
      <rPr>
        <b/>
        <sz val="10"/>
        <color rgb="FF21212B"/>
        <rFont val="Calibri"/>
        <family val="2"/>
      </rPr>
      <t>Cost sharing was calculated based on the qualifying payment amount, in accordance with the No Surprises Act.</t>
    </r>
  </si>
  <si>
    <r>
      <t>Alert: </t>
    </r>
    <r>
      <rPr>
        <b/>
        <sz val="10"/>
        <color rgb="FF21212B"/>
        <rFont val="Calibri"/>
        <family val="2"/>
      </rPr>
      <t>In accordance with the No Surprises Act, cost sharing was based on the billed amount because the billed amount was lower than the qualifying payment amount.</t>
    </r>
  </si>
  <si>
    <r>
      <t>Alert: </t>
    </r>
    <r>
      <rPr>
        <b/>
        <sz val="10"/>
        <color rgb="FF21212B"/>
        <rFont val="Calibri"/>
        <family val="2"/>
      </rPr>
      <t>This initial payment was calculated based on a specified state law, in accordance with the No Surprises Act.</t>
    </r>
  </si>
  <si>
    <r>
      <t>Alert: </t>
    </r>
    <r>
      <rPr>
        <b/>
        <sz val="10"/>
        <color rgb="FF21212B"/>
        <rFont val="Calibri"/>
        <family val="2"/>
      </rPr>
      <t>This final payment was calculated based on a specified state law, in accordance with the No Surprises Act.</t>
    </r>
  </si>
  <si>
    <r>
      <t>Alert: </t>
    </r>
    <r>
      <rPr>
        <b/>
        <sz val="10"/>
        <color rgb="FF21212B"/>
        <rFont val="Calibri"/>
        <family val="2"/>
      </rPr>
      <t>This final payment was calculated based on an All-Payer Model Agreement, in accordance with the No Surprises Act.</t>
    </r>
  </si>
  <si>
    <r>
      <t>Alert: </t>
    </r>
    <r>
      <rPr>
        <b/>
        <sz val="10"/>
        <color rgb="FF21212B"/>
        <rFont val="Calibri"/>
        <family val="2"/>
      </rPr>
      <t>This final payment was determined through open negotiation, in accordance with the No Surprises Act.</t>
    </r>
  </si>
  <si>
    <r>
      <t>Alert: </t>
    </r>
    <r>
      <rPr>
        <b/>
        <sz val="10"/>
        <color rgb="FF21212B"/>
        <rFont val="Calibri"/>
        <family val="2"/>
      </rPr>
      <t>This final payment equals the amount selected as the out-of-network rate by a Federal Independent Dispute Resolution Entity, in accordance with the No Surprises Act.</t>
    </r>
  </si>
  <si>
    <r>
      <t>Alert: </t>
    </r>
    <r>
      <rPr>
        <b/>
        <sz val="10"/>
        <color rgb="FF21212B"/>
        <rFont val="Calibri"/>
        <family val="2"/>
      </rPr>
      <t>This item or service is covered under the plan. This is a notice of denial of payment provided in accordance with the No Surprises Act. The provider or facility may initiate open negotiation if they desire to negotiate a higher out-of-network rate than the amount paid by the patient in cost sharing.</t>
    </r>
  </si>
  <si>
    <r>
      <t>Alert: </t>
    </r>
    <r>
      <rPr>
        <b/>
        <sz val="10"/>
        <color rgb="FF21212B"/>
        <rFont val="Calibri"/>
        <family val="2"/>
      </rPr>
      <t>This initial payment is provided in accordance with the No Surprises Act. The provider or facility may initiate open negotiation if they desire to negotiate a higher out-of-network rate.</t>
    </r>
  </si>
  <si>
    <r>
      <t>Alert: </t>
    </r>
    <r>
      <rPr>
        <b/>
        <sz val="10"/>
        <color rgb="FF21212B"/>
        <rFont val="Calibri"/>
        <family val="2"/>
      </rPr>
      <t>The provider or facility specified that notice was provided and consent to balance bill obtained, but notice and consent was not provided and obtained in a manner consistent with applicable Federal law. Thus, cost sharing and the total amount paid have been calculated based on the requirements under the No Surprises Act, and balance billing is prohibited.</t>
    </r>
  </si>
  <si>
    <r>
      <t>Alert: </t>
    </r>
    <r>
      <rPr>
        <b/>
        <sz val="10"/>
        <color rgb="FF21212B"/>
        <rFont val="Calibri"/>
        <family val="2"/>
      </rPr>
      <t>The notice and consent to balance bill, and to be charged out-of-network cost sharing, that was obtained from the patient with regard to the billed services, is not permitted for these services. Thus, cost sharing and the total amount paid have been calculated based on the requirements under the No Surprises Act, and balance billing is prohibited.</t>
    </r>
  </si>
  <si>
    <r>
      <t>Alert: </t>
    </r>
    <r>
      <rPr>
        <b/>
        <sz val="10"/>
        <color rgb="FF21212B"/>
        <rFont val="Calibri"/>
        <family val="2"/>
      </rPr>
      <t>The out-of-network payment and cost sharing amounts were based on the plan's allowance because the provider or facility obtained the patient's consent to waive the balance billing protections under the No Surprises Act.</t>
    </r>
  </si>
  <si>
    <r>
      <t>Alert: </t>
    </r>
    <r>
      <rPr>
        <b/>
        <sz val="10"/>
        <color rgb="FF21212B"/>
        <rFont val="Calibri"/>
        <family val="2"/>
      </rPr>
      <t>Processed according to state law</t>
    </r>
  </si>
  <si>
    <r>
      <t>Alert: </t>
    </r>
    <r>
      <rPr>
        <b/>
        <sz val="10"/>
        <color rgb="FF21212B"/>
        <rFont val="Calibri"/>
        <family val="2"/>
      </rPr>
      <t>The No Surprises Act may apply to this claim. Please contact payer for instructions on how to submit information regarding whether or not the item or service was furnished during a patient visit to a participating facility.</t>
    </r>
  </si>
  <si>
    <r>
      <t>Alert: </t>
    </r>
    <r>
      <rPr>
        <b/>
        <sz val="10"/>
        <color rgb="FF21212B"/>
        <rFont val="Calibri"/>
        <family val="2"/>
      </rPr>
      <t>This claim was not processed in accordance with the No Surprises Act cost-sharing or out-of-network payment requirements. The payer disagrees with your determination that those requirements apply. You may contact the payer to find out why it disagrees. You may appeal this adverse determination on behalf of the patient through the payer’s internal appeals and external review processes.</t>
    </r>
  </si>
  <si>
    <r>
      <t>Alert: </t>
    </r>
    <r>
      <rPr>
        <b/>
        <sz val="10"/>
        <color rgb="FF21212B"/>
        <rFont val="Calibri"/>
        <family val="2"/>
      </rPr>
      <t>A Health Care Claim Request for Additional Information (277 RFAI) has been sent.</t>
    </r>
  </si>
  <si>
    <r>
      <t>Alert: </t>
    </r>
    <r>
      <rPr>
        <b/>
        <sz val="10"/>
        <color rgb="FF21212B"/>
        <rFont val="Calibri"/>
        <family val="2"/>
      </rPr>
      <t>An electronic request for additional information has been sent for this claim.</t>
    </r>
  </si>
  <si>
    <r>
      <t>Alert: </t>
    </r>
    <r>
      <rPr>
        <b/>
        <sz val="10"/>
        <color rgb="FF21212B"/>
        <rFont val="Calibri"/>
        <family val="2"/>
      </rPr>
      <t>This claim was originally processed in real-time, and we sent a real-time 835 response.</t>
    </r>
  </si>
  <si>
    <r>
      <t>Alert: </t>
    </r>
    <r>
      <rPr>
        <b/>
        <sz val="10"/>
        <color rgb="FF21212B"/>
        <rFont val="Calibri"/>
        <family val="2"/>
      </rPr>
      <t>These payments are made subject to a reservation of rights for the Payor to recoup or otherwise recover all or part of these payments based on any of the following: outcome of pending or future litigation/ new or updated state, federal or regulatory guidance/ any other actions that may affect the Payor's obligation to make these payments.</t>
    </r>
  </si>
  <si>
    <t>N115 — Service not covered unless criteria met</t>
  </si>
  <si>
    <t>N386 — Not covered in this setting</t>
  </si>
  <si>
    <t>N71 — Admission not medically necessary</t>
  </si>
  <si>
    <t>N425 — Authorization denied (medical necessity)</t>
  </si>
  <si>
    <t>N290 — Missing/invalid authorization</t>
  </si>
  <si>
    <t>N432 — Units exceed authorization</t>
  </si>
  <si>
    <t>N122 — Authorization absent</t>
  </si>
  <si>
    <t>N20 — Service not covered by payer</t>
  </si>
  <si>
    <t>N130 — Consult plan documents (benefit exclusion)</t>
  </si>
  <si>
    <t>N362 — Provider not eligible</t>
  </si>
  <si>
    <t>N574 — Service not covered for this provider type</t>
  </si>
  <si>
    <t>N22 — Coverage terminated</t>
  </si>
  <si>
    <t>N33 — No coverage for this service</t>
  </si>
  <si>
    <t>M144 — Included in global period</t>
  </si>
  <si>
    <t>N390 — Included in allowance</t>
  </si>
  <si>
    <t>N59 — Bundled service</t>
  </si>
  <si>
    <t>M15 — Separately billed services included</t>
  </si>
  <si>
    <t>N440 — Inpatient not medically necessary</t>
  </si>
  <si>
    <t>N522 — Level of care denied</t>
  </si>
  <si>
    <t>N538 — Service not payable in this level</t>
  </si>
  <si>
    <t>N130 — Consult benefit documents</t>
  </si>
  <si>
    <t>N20 — Service not covered</t>
  </si>
  <si>
    <t>N432 — Frequency limitation exceeded</t>
  </si>
  <si>
    <t>N362 — Provider not eligible (OON scenarios)</t>
  </si>
  <si>
    <t>N115 — Criteria not met (when patient liable allowed)</t>
  </si>
  <si>
    <t>N425 — Authorization denied (patient responsibility plans)</t>
  </si>
  <si>
    <t>N830 — Patient elected non-covered service</t>
  </si>
  <si>
    <t>N706 — Patient liability waiver on file</t>
  </si>
  <si>
    <t>N783 — ABN on file (Medicare context)</t>
  </si>
  <si>
    <t>N522 — Level of care not covered</t>
  </si>
  <si>
    <t>N54 — Coverage inactive</t>
  </si>
  <si>
    <t>Non-covered charge(s).</t>
  </si>
  <si>
    <t>Non-Covered Charge</t>
  </si>
  <si>
    <t>CO 96</t>
  </si>
  <si>
    <t>PR 96</t>
  </si>
  <si>
    <t>Code</t>
  </si>
  <si>
    <t>N50 | N52 — Missing Medical Information</t>
  </si>
  <si>
    <t>CARC CODE</t>
  </si>
  <si>
    <t>DENIAL REASON</t>
  </si>
  <si>
    <t>RARC / REMARKS</t>
  </si>
  <si>
    <t>MEANING &amp; EXAMPLES</t>
  </si>
  <si>
    <t>ROOT CAUSE</t>
  </si>
  <si>
    <t>RESOLUTION STEPS</t>
  </si>
  <si>
    <t>PREVENTION</t>
  </si>
  <si>
    <t>• Obtain Retro Authorization
• Appeal with Clinical Documentation
• Resubmit Corrected claim.</t>
  </si>
  <si>
    <t>• Authorization Tracking Systems
• Real-Time Eligibility Tools</t>
  </si>
  <si>
    <t>• Auth not requested 
• Wrong CPT authorized
• Units mismatch
• Expired authorization</t>
  </si>
  <si>
    <t>Column1</t>
  </si>
  <si>
    <t>Authorization required but not obtained or invalid.
• Surgery without prior auth
• Imaging without authorization
• Therapy visits exceeded approved units</t>
  </si>
  <si>
    <t>Authorization requested but payer denied medical necessity.
• Surgery denied pre-cert
• Imaging not approved
• Inpatient admission denied</t>
  </si>
  <si>
    <t>Claim lacks necessary documentation to determine coverage.
• Missing Operative Report
• Missing Notes
• Missing Lab Results</t>
  </si>
  <si>
    <t>Payer does not cover the service at all.
• Alternative medicine
• Certain screenings
• Non-covered vaccines
• Experimental procedures</t>
  </si>
  <si>
    <t>Procedure is covered only in specific POS (Place of Service).
• Procedure done outpatient but covered inpatient only
• Office procedure billed facility
• ASC vs hospital mismatch
• Diagnostic tests in wrong setting</t>
  </si>
  <si>
    <t>Provider type not eligible to perform service under policy.
• NP billing physician-only service
• Assistant surgeon not covered
• Out-of-network provider</t>
  </si>
  <si>
    <t>Service exceeds payer frequency limitation.
• Screening tests repeated too soon
• Therapy sessions beyond limit
• DME replacement early</t>
  </si>
  <si>
    <t>Service included in global surgical package, not separately covered.
• Post-op visits billed separately
• Dressing change after surgery
• Routine follow-up</t>
  </si>
  <si>
    <t>Service is excluded from patient’s benefit plan.
• Cosmetic procedures
• Fertility treatments
• Experimental therapy
• Routine dental under medical plan
• Non-covered DME</t>
  </si>
  <si>
    <t>Service may be covered only if medical necessity guidelines are met, but payer determined criteria were not satisfied.
• MRI without conservative therapy documentation
• Lab test without supporting diagnosis
• Sleep study without symptoms
• Therapy beyond allowed visits without justification</t>
  </si>
  <si>
    <t>• Clinical criteria not met
• Documentation insufficient
• Payer guideline mismatch</t>
  </si>
  <si>
    <t>• Documentation Not Submitted
• Medical Records Incomplete</t>
  </si>
  <si>
    <t>• Policy exclusion
• Contract limitation
• Wrong payer billed</t>
  </si>
  <si>
    <t>• POS error
• Facility mismatch
• Authorization tied to different setting
• Billing mistake</t>
  </si>
  <si>
    <t>• Credentialing issue
• Provider taxonomy mismatch
• Contract limitations</t>
  </si>
  <si>
    <t>• Frequency rules not checked
• Medical necessity documentation missing</t>
  </si>
  <si>
    <t>• Global period rules misunderstood
• Coding error3
• Modifier missing</t>
  </si>
  <si>
    <t>• Benefit exclusion
• Plan limitation
• Wrong assumption coverage exists</t>
  </si>
  <si>
    <t>• Diagnosis not supporting CPT
• Missing documentation
• Provider notes insufficient
• Medical policy not followed</t>
  </si>
  <si>
    <t>• Appeal with clinical documentation
• Peer-to-peer review
• Medical director review</t>
  </si>
  <si>
    <t>• Submit records
• Reopen claim
• Appeal</t>
  </si>
  <si>
    <t>• Verify if secondary payer exists
• Bill patient
• Write-off if necessary</t>
  </si>
  <si>
    <t>• Correct POS
• Rebill claim
• Appeal with medical justification if setting required</t>
  </si>
  <si>
    <t>• Appeal with justification
• Medical records submission
• Patient responsibility if valid</t>
  </si>
  <si>
    <t>• Correct billing provider
• Appeal with credential proof
• Write-off if contract exclusion</t>
  </si>
  <si>
    <t>• Add modifier if appropriate (24, 25, 57)
• Otherwise contractual adjustment</t>
  </si>
  <si>
    <t>• Verify benefits
• Bill patient if consent obtained
• Write-off if contractual</t>
  </si>
  <si>
    <t>• Review medical records
• Compare payer policy (LCD/NCD)
• Correct diagnosis if appropriate
• Appeal with documentation</t>
  </si>
  <si>
    <t>• Strong clinical submission
• Pre-cert review team</t>
  </si>
  <si>
    <t>• Documentation checklist
• EMR integration</t>
  </si>
  <si>
    <t>• Coverage verification before service
• Insurance discovery tools</t>
  </si>
  <si>
    <t>• POS validation during charge entry
• Authorization linked to location</t>
  </si>
  <si>
    <t>• Credentialing validation
• NPI taxonomy audits</t>
  </si>
  <si>
    <t>• Frequency tracking tools
• Eligibility verification</t>
  </si>
  <si>
    <t>• Global period coding education
• Automated edits</t>
  </si>
  <si>
    <t>• Pre-service benefit verification
• Cost estimation tools
• Patient financial counseling</t>
  </si>
  <si>
    <t>• Medical necessity edits in EMR
• Provider education
• Coding audits</t>
  </si>
  <si>
    <t>• Authorization not requested by scheduling or provider office
• Front-end verification failure
• Authorization obtained for wrong CPT or service
• Units or dates not matching authorization
• Communication gap between provider and authorization team</t>
  </si>
  <si>
    <t>• Request retro authorization (if payer allows)
• Submit appeal with medical necessity documentation
• Provide clinical records and justification
• Correct claim with valid authorization number and rebill
• Write-off if authorization cannot be obtained and payer denies</t>
  </si>
  <si>
    <t>• Authorization units not verified before service
• Provider performed additional services without requesting extension
• Scheduling or clinical team unaware of authorization limits
• Documentation supports more units but authorization not updated
• Authorization expired or partially utilized without tracking</t>
  </si>
  <si>
    <t>The number of units billed exceeds the quantity approved in the prior authorization. The payer will only reimburse up to the authorized units, and the additional units are considered non-covered.
• Therapy visits billed beyond approved number of sessions
• Imaging or procedures performed more times than authorized
• DME quantity exceeding authorized limits
• Inpatient days exceeding approved length of stay
• Injection series administered beyond authorized doses</t>
  </si>
  <si>
    <t>Authorization required for the service, but no prior authorization was obtained before the service was performed.
• Surgery performed without obtaining prior authorization
• Imaging services completed without pre-certification
• Therapy initiated without payer approval
• Hospital admission without authorization on file
• Procedures performed after authorization expired</t>
  </si>
  <si>
    <t>• Pre-service authorization workflow and checklist
• Real-time eligibility and authorization tools
• Authorization tracking system with alerts
• Staff training and accountability monitoring
• Scheduling holds until authorization confirmed</t>
  </si>
  <si>
    <t>• Verify authorization details (units, dates, CPT)
• Request authorization extension or additional units (if allowed)
• Submit appeal with medical necessity documentation
• Rebill claim with corrected authorized units if error
• Adjust/write-off excess units if payer denies</t>
  </si>
  <si>
    <t>• Authorization tracking system with unit monitoring
• Pre-service verification of remaining authorized units
• Alerts when authorization limits are near exhaustion
• Clinical staff education on authorization constraints
• Regular reconciliation between services rendered and approved units</t>
  </si>
  <si>
    <t>CO 16</t>
  </si>
  <si>
    <t>Lack of Information</t>
  </si>
  <si>
    <t>M119 — Missing/incomplete/invalid/ deactivated/withdrawn National Drug Code (NDC).</t>
  </si>
  <si>
    <t>The claim includes a drug or medication charge that requires a valid National Drug Code (NDC), but the submitted NDC is missing, incorrect, inactive, deactivated, or not recognized by the payer system. Because of this, the drug line item is denied or considered non-covered.
• Injectable medication billed without NDC number
• NDC entered with incorrect format (missing digits or wrong units)
• NDC submitted that has been discontinued or withdrawn
• Billing outdated NDC after manufacturer change
• Units of measure not matching NDC quantity
• J-code billed without required NDC information</t>
  </si>
  <si>
    <t>• NDC not captured during charge entry
• Incorrect NDC format (11-digit conversion errors)
• Outdated or discontinued NDC used
• Billing staff unaware of NDC requirement
• Units mismatch between CPT/J-code and NDC
• Drug database not updated in system</t>
  </si>
  <si>
    <t>• Verify correct NDC from medication label or pharmacy record
• Correct NDC format (11-digit 5-4-2 format with leading zeros)
• Confirm units and quantity billed match NDC requirements
• Rebill corrected claim with valid NDC information
• Appeal if payer error suspected
• Write-off only if drug not covered under policy</t>
  </si>
  <si>
    <t>• Maintain updated NDC drug database
• Barcode or medication label capture workflow
• Billing system validation edits for NDC format
• Staff training on NDC billing requirements
• Pre-bill audit for drug claims
• Pharmacy and billing coordination</t>
  </si>
  <si>
    <t>• Verify network status of all providers involved in care
• Educate billing teams on No Surprises Act requirements
• Implement compliance checks for protected services</t>
  </si>
  <si>
    <t>• Review EOB to identify allowable patient responsibility (PR amount only)
• Bill secondary payer if applicable
• Appeal through federal/state grievance process if payment incorrect</t>
  </si>
  <si>
    <t>• Out-of-network provider involvement in protected service setting
• Contract status mismatch (provider vs facility network)</t>
  </si>
  <si>
    <t>The claim was processed according to Federal or State balance billing and No Surprises Act regulations. The provider cannot bill the patient for amounts assigned under OA, CO, or PI group codes. Only the PR (patient responsibility) portion, if any, may be billed.
• Emergency services provided at an out-of-network facility
• Out-of-network provider treating patient at in-network hospital
• Surprise billing scenario (anesthesiology, radiology, pathology)
• Air ambulance services subject to federal protections
• State-regulated balance billing protections applied</t>
  </si>
  <si>
    <t>An Advance Beneficiary Notice (ABN) was obtained and is on file prior to the service being rendered. Medicare determined the service is not covered, but because the patient was properly notified in advance, financial liability may be transferred to the patient.
• Screening service not covered by Medicare frequency rules
• Procedure denied due to medical necessity, but ABN obtained
• Laboratory tests not meeting Medicare coverage criteria
• DME items considered non-covered with signed ABN
• Preventive services outside Medicare benefit limitations
• Services performed after Medicare utilization limits reached</t>
  </si>
  <si>
    <t>• Service does not meet Medicare medical necessity requirements
• Benefit frequency exceeded under Medicare policy
• Service excluded from Medicare coverage
• Diagnosis does not support medical necessity
• Medicare policy limitations triggered
• Important: The denial itself is not caused by the ABN — the ABN only determines who pays.</t>
  </si>
  <si>
    <t>• Verify ABN validity (signed, dated, correct service listed)
• Transfer balance to patient responsibility (PR)
• Bill patient according to Medicare guidelines
• Bill secondary insurance if applicable
• Appeal only if denial believed incorrect
• If ABN invalid → Provider may become financially liable.</t>
  </si>
  <si>
    <t>• Obtain ABN prior to service when coverage uncertain
• Staff training on Medicare medical necessity rules
• ABN workflow integrated into registration process
• Coverage verification tools for Medicare policies
• Documentation confirming patient informed consent</t>
  </si>
  <si>
    <t>CO 18</t>
  </si>
  <si>
    <t>Duplicate</t>
  </si>
  <si>
    <t>UID</t>
  </si>
  <si>
    <t>N522 — Duplicate of a claim processed, or to be processed, as a crossover claim.</t>
  </si>
  <si>
    <t>M1 — X-ray not taken within the past 12 months or near enough to the start of treatment.</t>
  </si>
  <si>
    <t>M10 — Equipment purchases are limited to the first or the tenth month of medical necessity.</t>
  </si>
  <si>
    <t>M100 — We do not pay for an oral anti-emetic drug that is not administered for use immediately before, at, or within 48 hours of administration of a covered chemotherapy drug.</t>
  </si>
  <si>
    <t>M102 — Service not performed on equipment approved by the FDA for this purpose.</t>
  </si>
  <si>
    <t>M103 — Information supplied supports a break in therapy. However, the medical information we have for this patient does not support the need for this item as billed. We have approved payment for this item at a reduced level, and a new capped rental period will begin with the delivery of this equipment.</t>
  </si>
  <si>
    <t>M104 — Information supplied supports a break in therapy. A new capped rental period will begin with delivery of the equipment. This is the maximum approved under the fee schedule for this item or service.</t>
  </si>
  <si>
    <t>M105 — Information supplied does not support a break in therapy. The medical information we have for this patient does not support the need for this item as billed. We have approved payment for this item at a reduced level, and a new capped rental period will not begin.</t>
  </si>
  <si>
    <t>M107 — Payment reduced as 90-day rolling average hematocrit for ESRD patient exceeded 36.5%.</t>
  </si>
  <si>
    <t>M109 — We have provided you with a bundled payment for a teleconsultation. You must send 25 percent of the teleconsultation payment to the referring practitioner.</t>
  </si>
  <si>
    <t>M11 — DME, orthotics and prosthetics must be billed to the DME carrier who services the patient's zip code.</t>
  </si>
  <si>
    <t>M111 — We do not pay for chiropractic manipulative treatment when the patient refuses to have an x-ray taken.</t>
  </si>
  <si>
    <t>M112 — Reimbursement for this item is based on the single payment amount required under the DMEPOS Competitive Bidding Program for the area where the patient resides.</t>
  </si>
  <si>
    <t>M113 — Our records indicate that this patient began using this item/service prior to the current contract period for the DMEPOS Competitive Bidding Program.</t>
  </si>
  <si>
    <t>M114 — This service was processed in accordance with rules and guidelines under the DMEPOS Competitive Bidding Program or a Demonstration Project. For more information regarding these projects, contact your local contractor.</t>
  </si>
  <si>
    <t>M115 — This item is denied when provided to this patient by a non-contract or non-demonstration supplier.</t>
  </si>
  <si>
    <t>M116 — Processed under a demonstration project or program. Project or program is ending and additional services may not be paid under this project or program.</t>
  </si>
  <si>
    <t>M117 — Not covered unless submitted via electronic claim.</t>
  </si>
  <si>
    <t>M12 — Diagnostic tests performed by a physician must indicate whether purchased services are included on the claim.</t>
  </si>
  <si>
    <t>M121 — We pay for this service only when performed with a covered cryosurgical ablation.</t>
  </si>
  <si>
    <t>M122 — Missing/incomplete/invalid level of subluxation.</t>
  </si>
  <si>
    <t>M123 — Missing/incomplete/invalid name, strength, or dosage of the drug furnished.</t>
  </si>
  <si>
    <t>M124 — Missing indication of whether the patient owns the equipment that requires the part or supply.</t>
  </si>
  <si>
    <t>M125 — Missing/incomplete/invalid information on the period of time for which the service/supply/equipment will be needed.</t>
  </si>
  <si>
    <t>M126 — Missing/incomplete/invalid individual lab codes included in the test.</t>
  </si>
  <si>
    <t>M127 — Missing patient medical record for this service.</t>
  </si>
  <si>
    <t>M129 — Missing/incomplete/invalid indicator of x-ray availability for review.</t>
  </si>
  <si>
    <t>M13 — Only one initial visit is covered per specialty per medical group.</t>
  </si>
  <si>
    <t>M130 — Missing invoice or statement certifying the actual cost of the lens, less discounts, and/or the type of intraocular lens used.</t>
  </si>
  <si>
    <t>M131 — Missing physician financial relationship form.</t>
  </si>
  <si>
    <t>M132 — Missing pacemaker registration form.</t>
  </si>
  <si>
    <t>M133 — Claim did not identify who performed the purchased diagnostic test or the amount you were charged for the test.</t>
  </si>
  <si>
    <t>M134 — Performed by a facility/supplier in which the provider has a financial interest.</t>
  </si>
  <si>
    <t>M135 — Missing/incomplete/invalid plan of treatment.</t>
  </si>
  <si>
    <t>M136 — Missing/incomplete/invalid indication that the service was supervised or evaluated by a physician.</t>
  </si>
  <si>
    <t>M137 — Part B coinsurance under a demonstration project or pilot program.</t>
  </si>
  <si>
    <t>M138 — Patient identified as a demonstration participant but the patient was not enrolled in the demonstration at the time services were rendered. Coverage is limited to demonstration participants.</t>
  </si>
  <si>
    <t>M139 — Denied services exceed the coverage limit for the demonstration.</t>
  </si>
  <si>
    <t>M14 — No separate payment for an injection administered during an office visit, and no payment for a full office visit if the patient only received an injection.</t>
  </si>
  <si>
    <t>M141 — Missing physician certified plan of care.</t>
  </si>
  <si>
    <t>M142 — Missing American Diabetes Association Certificate of Recognition.</t>
  </si>
  <si>
    <t>M143 — The provider must update license information with the payer.</t>
  </si>
  <si>
    <t>M144 — Pre-/post-operative care payment is included in the allowance for the surgery/procedure.</t>
  </si>
  <si>
    <t>M15 — Separately billed services/tests have been bundled as they are considered components of the same procedure. Separate payment is not allowed.</t>
  </si>
  <si>
    <t>M16 — Alert: Please see our web site, mailings, or bulletins for more details concerning this policy/procedure/decision.</t>
  </si>
  <si>
    <t>M17 — Alert: Payment approved as you did not know, and could not reasonably have been expected to know, that this would not normally have been covered for this patient. In the future, you will be liable for charges for the same service(s) under the same or similar conditions.</t>
  </si>
  <si>
    <t>M18 — Certain services may be approved for home use. Neither a hospital nor a Skilled Nursing Facility (SNF) is considered to be a patient's home.</t>
  </si>
  <si>
    <t>M19 — Missing oxygen certification/re-certification.</t>
  </si>
  <si>
    <t>M2 — Not paid separately when the patient is an inpatient.</t>
  </si>
  <si>
    <t>M20 — Missing/incomplete/invalid HCPCS.</t>
  </si>
  <si>
    <t>M21 — Missing/incomplete/invalid place of residence for this service/item provided in a home.</t>
  </si>
  <si>
    <t>M22 — Missing/incomplete/invalid number of miles traveled.</t>
  </si>
  <si>
    <t>M23 — Missing invoice.</t>
  </si>
  <si>
    <t>M24 — Missing/incomplete/invalid number of doses per vial.</t>
  </si>
  <si>
    <t>M25 — 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</si>
  <si>
    <t>M26 — The information furnished does not substantiate the need for this level of service. If you have collected any amount from the patient for this level of service/any amount that exceeds the limiting charge for the less extensive service, the law requires you to refund that amount to the patient within 30 days of receiving this notice.</t>
  </si>
  <si>
    <t>M27 — Alert: The patient has been relieved of liability of payment of these items and services under the limitation of liability provision of the law. The provider is ultimately liable for the patient's waived charges, including any charges for coinsurance, since the items or services were not reasonable and necessary or constituted custodial care, and you knew or could reasonably have been expected to know, that they were not covered. You may appeal this determination. You may ask for an appeal regarding both the coverage determination and the issue of whether you exercised due care. The appeal request must be filed within 120 days of the date you receive this notice. You must make the request through this office.</t>
  </si>
  <si>
    <t>M28 — This does not qualify for payment under Part B when Part A coverage is exhausted or not otherwise available.</t>
  </si>
  <si>
    <t>M29 — Missing operative note/report.</t>
  </si>
  <si>
    <t>M3 — Equipment is the same or similar to equipment already being used.</t>
  </si>
  <si>
    <t>M30 — Missing pathology report.</t>
  </si>
  <si>
    <t>M31 — Missing radiology report.</t>
  </si>
  <si>
    <t>M32 — Alert: This is a conditional payment made pending a decision on this service by the patient's primary payer. This payment may be subject to refund upon your receipt of any additional payment for this service from another payer. You must contact this office immediately upon receipt of an additional payment for this service.</t>
  </si>
  <si>
    <t>M36 — This is the 11th rental month. We cannot pay for this until you indicate that the patient has been given the option of changing the rental to a purchase.</t>
  </si>
  <si>
    <t>M37 — Not covered when the patient is under age 35.</t>
  </si>
  <si>
    <t>M38 — Alert: The patient is liable for the charges for this service as they were informed in writing before the service was furnished that we would not pay for it and the patient agreed to be responsible for the charges.</t>
  </si>
  <si>
    <t>M39 — Alert: The patient is not liable for payment of this service as the advance notice of non-coverage you provided the patient did not comply with program requirements.</t>
  </si>
  <si>
    <t>M4 — Alert: This is the last monthly installment payment for this durable medical equipment.</t>
  </si>
  <si>
    <t>M40 — Claim must be assigned and must be filed by the practitioner's employer.</t>
  </si>
  <si>
    <t>M41 — We do not pay for this as the patient has no legal obligation to pay for this.</t>
  </si>
  <si>
    <t>M42 — The medical necessity form must be personally signed by the attending physician.</t>
  </si>
  <si>
    <t>M44 — Missing/incomplete/invalid condition code.</t>
  </si>
  <si>
    <t>M45 — Missing/incomplete/invalid occurrence code(s).</t>
  </si>
  <si>
    <t>M46 — Missing/incomplete/invalid occurrence span code(s).</t>
  </si>
  <si>
    <t>M47 — Missing/incomplete/invalid Payer Claim Control Number. Other terms exist for this element including, but not limited to, Internal Control Number (ICN), Claim Control Number (CCN), Document Control Number (DCN).</t>
  </si>
  <si>
    <t>M49 — Missing/incomplete/invalid value code(s) or amount(s).</t>
  </si>
  <si>
    <t>M5 — Monthly rental payments can continue until the earlier of the 15th month from the first rental month, or the month when the equipment is no longer needed.</t>
  </si>
  <si>
    <t>M50 — Missing/incomplete/invalid revenue code(s).</t>
  </si>
  <si>
    <t>M51 — Missing/incomplete/invalid procedure code(s).</t>
  </si>
  <si>
    <t>M52 — Missing/incomplete/invalid 'from' date(s) of service.</t>
  </si>
  <si>
    <t>M53 — Missing/incomplete/invalid days or units of service.</t>
  </si>
  <si>
    <t>M54 — Missing/incomplete/invalid total charges.</t>
  </si>
  <si>
    <t>M55 — We do not pay for self-administered anti-emetic drugs that are not administered with a covered oral anti-cancer drug.</t>
  </si>
  <si>
    <t>M56 — Missing/incomplete/invalid payer identifier.</t>
  </si>
  <si>
    <t>M59 — Missing/incomplete/invalid 'to' date(s) of service.</t>
  </si>
  <si>
    <t>M6 — Alert: You must furnish and service this item for any period of medical need for the remainder of the reasonable useful lifetime of the equipment.</t>
  </si>
  <si>
    <t>M60 — Missing Certificate of Medical Necessity.</t>
  </si>
  <si>
    <t>M61 — We cannot pay for this as the approval period for the FDA clinical trial has expired.</t>
  </si>
  <si>
    <t>M62 — Missing/incomplete/invalid treatment authorization code.</t>
  </si>
  <si>
    <t>M64 — Missing/incomplete/invalid other diagnosis.</t>
  </si>
  <si>
    <t>M65 — One interpreting physician charge can be submitted per claim when a purchased diagnostic test is indicated. Please submit a separate claim for each interpreting physician.</t>
  </si>
  <si>
    <t>M66 — 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t>
  </si>
  <si>
    <t>M67 — Missing/incomplete/invalid other procedure code(s).</t>
  </si>
  <si>
    <t>M69 — Paid at the regular rate as you did not submit documentation to justify the modified procedure code.</t>
  </si>
  <si>
    <t>M7 — No rental payments after the item is purchased, returned or after the total of issued rental payments equals the purchase price.</t>
  </si>
  <si>
    <t>M70 — Alert: The NDC code submitted for this service was translated to a HCPCS code for processing, but please continue to submit the NDC on future claims for this item.</t>
  </si>
  <si>
    <t>M71 — Total payment reduced due to overlap of tests billed.</t>
  </si>
  <si>
    <t>M73 — The HPSA/Physician Scarcity bonus can only be paid on the professional component of this service. Rebill as separate professional and technical components.</t>
  </si>
  <si>
    <t>M74 — This service does not qualify for a HPSA/Physician Scarcity bonus payment.</t>
  </si>
  <si>
    <t>M75 — Multiple automated multichannel tests performed on the same day combined for payment.</t>
  </si>
  <si>
    <t>M76 — Missing/incomplete/invalid diagnosis or condition.</t>
  </si>
  <si>
    <t>M77 — Missing/incomplete/invalid/inappropriate place of service.</t>
  </si>
  <si>
    <t>M79 — Missing/incomplete/invalid charge.</t>
  </si>
  <si>
    <t>M8 — We do not accept blood gas tests results when the test was conducted by a medical supplier or taken while the patient is on oxygen.</t>
  </si>
  <si>
    <t>M80 — Not covered when performed during the same session/date as a previously processed service for the patient.</t>
  </si>
  <si>
    <t>M81 — You are required to code to the highest level of specificity.</t>
  </si>
  <si>
    <t>M82 — Service is not covered when patient is under age 50.</t>
  </si>
  <si>
    <t>M83 — Service is not covered unless the patient is classified as at high risk.</t>
  </si>
  <si>
    <t>M84 — Medical code sets used must be the codes in effect at the time of service.</t>
  </si>
  <si>
    <t>M85 — Subjected to review of physician evaluation and management services.</t>
  </si>
  <si>
    <t>M86 — Service denied because payment already made for same/similar procedure within set time frame.</t>
  </si>
  <si>
    <t>M87 — Claim/service(s) subjected to CFO-CAP prepayment review.</t>
  </si>
  <si>
    <t>M89 — Not covered more than once under age 40.</t>
  </si>
  <si>
    <t>M9 — Alert: This is the tenth rental month. You must offer the patient the choice of changing the rental to a purchase agreement.</t>
  </si>
  <si>
    <t>M90 — Not covered more than once in a 12 month period.</t>
  </si>
  <si>
    <t>M91 — Lab procedures with different CLIA certification numbers must be billed on separate claims.</t>
  </si>
  <si>
    <t>M93 — Information supplied supports a break in therapy. A new capped rental period began with delivery of this equipment.</t>
  </si>
  <si>
    <t>M94 — Information supplied does not support a break in therapy. A new capped rental period will not begin.</t>
  </si>
  <si>
    <t>M95 — Services subjected to Home Health Initiative medical review/cost report audit.</t>
  </si>
  <si>
    <t>M96 — The technical component of a service furnished to an inpatient may only be billed by that inpatient facility. You must contact the inpatient facility for technical component reimbursement. If not already billed, you should bill us for the professional component only.</t>
  </si>
  <si>
    <t>M97 — Not paid to practitioner when provided to patient in this place of service. Payment included in the reimbursement issued the facility.</t>
  </si>
  <si>
    <t>M99 — Missing/incomplete/invalid Universal Product Number/Serial Number.</t>
  </si>
  <si>
    <t>MA01 — Alert: 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</si>
  <si>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MA02 — Alert: If you do not agree with this determination, you have the right to appeal. You must file a written request for an appeal within 180 days of the date you receive this notice.</t>
  </si>
  <si>
    <t>MA04 — Secondary payment cannot be considered without the identity of or payment information from the primary payer. The information was either not reported or was illegible.</t>
  </si>
  <si>
    <t>MA07 — Alert: The claim information has also been forwarded to Medicaid for review.</t>
  </si>
  <si>
    <t>MA08 — Alert: Claim information was not forwarded because the supplemental coverage is not with a Medigap plan, or you do not participate in Medicare.</t>
  </si>
  <si>
    <t>MA09 — Alert: Claim submitted as unassigned but processed as assigned in accordance with our current assignment/participation agreement.</t>
  </si>
  <si>
    <t>MA10 — Alert: The patient's payment was in excess of the amount owed. You must refund the overpayment to the patient.</t>
  </si>
  <si>
    <t>MA100 — Missing/incomplete/invalid date of current illness or symptoms.</t>
  </si>
  <si>
    <t>MA103 — Hemophilia Add On.</t>
  </si>
  <si>
    <t>MA106 — PIP (Periodic Interim Payment) claim.</t>
  </si>
  <si>
    <t>MA107 — Paper claim contains more than three separate data items in field 19.</t>
  </si>
  <si>
    <t>MA108 — Paper claim contains more than one data item in field 23.</t>
  </si>
  <si>
    <t>MA109 — Claim processed in accordance with ambulatory surgical guidelines.</t>
  </si>
  <si>
    <t>MA110 — Missing/incomplete/invalid information on whether the diagnostic test(s) were performed by an outside entity or if no purchased tests are included on the claim.</t>
  </si>
  <si>
    <t>MA111 — Missing/incomplete/invalid purchase price of the test(s) and/or the performing laboratory's name and address.</t>
  </si>
  <si>
    <t>MA112 — Missing/incomplete/invalid group practice information.</t>
  </si>
  <si>
    <t>MA113 — 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t>
  </si>
  <si>
    <t>MA114 — Missing/incomplete/invalid information on where the services were furnished.</t>
  </si>
  <si>
    <t>MA115 — Missing/incomplete/invalid physical location (name and address, or PIN) where the service(s) were rendered in a Health Professional Shortage Area (HPSA).</t>
  </si>
  <si>
    <t>MA116 — Did not complete the statement 'Homebound' on the claim to validate whether laboratory services were performed at home or in an institution.</t>
  </si>
  <si>
    <t>MA117 — This claim has been assessed a $1.00 user fee.</t>
  </si>
  <si>
    <t>MA118 — Alert: No Medicare payment issued for this claim for services or supplies furnished to a Medicare-eligible veteran through a facility of the Department of Veterans Affairs. Coinsurance and/or deductible are applicable.</t>
  </si>
  <si>
    <t>MA12 — You have not established that you have the right under the law to bill for services furnished by the person(s) that furnished this (these) service(s).</t>
  </si>
  <si>
    <t>MA120 — Missing/incomplete/invalid CLIA certification number.</t>
  </si>
  <si>
    <t>MA121 — Missing/incomplete/invalid x-ray date.</t>
  </si>
  <si>
    <t>MA122 — Missing/incomplete/invalid initial treatment date.</t>
  </si>
  <si>
    <t>MA123 — Your center was not selected to participate in this study, therefore, we cannot pay for these services.</t>
  </si>
  <si>
    <t>MA125 — Per legislation governing this program, payment constitutes payment in full.</t>
  </si>
  <si>
    <t>MA126 — Pancreas transplant not covered unless kidney transplant performed.</t>
  </si>
  <si>
    <t>MA128 — Missing/incomplete/invalid FDA approval number.</t>
  </si>
  <si>
    <t>MA13 — Alert: You may be subject to penalties if you bill the patient for amounts not reported with the PR (patient responsibility) group code.</t>
  </si>
  <si>
    <t>MA130 — Your claim contains incomplete and/or invalid information, and no appeal rights are afforded because the claim is unprocessable. Please submit a new claim with the complete/correct information.</t>
  </si>
  <si>
    <t>MA131 — Physician already paid for services in conjunction with this demonstration claim. You must have the physician withdraw that claim and refund the payment before we can process your claim.</t>
  </si>
  <si>
    <t>MA132 — Adjustment to the pre-demonstration rate.</t>
  </si>
  <si>
    <t>MA133 — Claim overlaps inpatient stay. Rebill only those services rendered outside the inpatient stay.</t>
  </si>
  <si>
    <t>MA134 — Missing/incomplete/invalid provider number of the facility where the patient resides.</t>
  </si>
  <si>
    <t>MA14 — Alert: The patient is a member of an employer-sponsored prepaid health plan. Services from outside that health plan are not covered. However, as you were not previously notified of this, we are paying this time. In the future, we will not pay you for non-plan services.</t>
  </si>
  <si>
    <t>MA15 — Alert: Your claim has been separated to expedite handling. You will receive a separate notice for the other services reported.</t>
  </si>
  <si>
    <t>MA16 — The patient is covered by the Black Lung Program. Send this claim to the Department of Labor, Federal Black Lung Program, P.O. Box 828, Lanham-Seabrook MD 20703.</t>
  </si>
  <si>
    <t>MA17 — We are the primary payer and have paid at the primary rate. You must contact the patient's other insurer to refund any excess it may have paid due to its erroneous primary payment.</t>
  </si>
  <si>
    <t>MA18 — Alert: The claim information is also being forwarded to the patient's supplemental insurer. Send any questions regarding supplemental benefits to them.</t>
  </si>
  <si>
    <t>MA19 — Alert: Information was not sent to the Medigap insurer due to incorrect/invalid information you submitted concerning that insurer. Please verify your information and submit your secondary claim directly to that insurer.</t>
  </si>
  <si>
    <t>MA20 — Skilled Nursing Facility (SNF) stay not covered when care is primarily related to the use of an urethral catheter for convenience or the control of incontinence.</t>
  </si>
  <si>
    <t>MA21 — SSA records indicate mismatch with name and sex.</t>
  </si>
  <si>
    <t>MA22 — Payment of less than $1.00 suppressed.</t>
  </si>
  <si>
    <t>MA23 — Demand bill approved as result of medical review.</t>
  </si>
  <si>
    <t>MA24 — Christian Science Sanitarium/ Skilled Nursing Facility (SNF) bill in the same benefit period.</t>
  </si>
  <si>
    <t>MA25 — A patient may not elect to change a hospice provider more than once in a benefit period.</t>
  </si>
  <si>
    <t>MA26 — Alert: Our records indicate that you were previously informed of this rule.</t>
  </si>
  <si>
    <t>MA27 — Missing/incomplete/invalid entitlement number or name shown on the claim.</t>
  </si>
  <si>
    <t>MA28 — Alert: Receipt of this notice by a physician or supplier who did not accept assignment is for information only and does not make the physician or supplier a party to the determination. No additional rights to appeal this decision, above those rights already provided for by regulation/instruction, are conferred by receipt of this notice.</t>
  </si>
  <si>
    <t>MA30 — Missing/incomplete/invalid type of bill.</t>
  </si>
  <si>
    <t>MA31 — Missing/incomplete/invalid beginning and ending dates of the period billed.</t>
  </si>
  <si>
    <t>MA32 — Missing/incomplete/invalid number of covered days during the billing period.</t>
  </si>
  <si>
    <t>MA33 — Missing/incomplete/invalid non-covered days during the billing period.</t>
  </si>
  <si>
    <t>MA34 — Missing/incomplete/invalid number of coinsurance days during the billing period.</t>
  </si>
  <si>
    <t>MA35 — Missing/incomplete/invalid number of lifetime reserve days.</t>
  </si>
  <si>
    <t>MA36 — Missing/incomplete/invalid patient name.</t>
  </si>
  <si>
    <t>MA37 — Missing/incomplete/invalid patient's address.</t>
  </si>
  <si>
    <t>MA39 — Missing/incomplete/invalid gender.</t>
  </si>
  <si>
    <t>MA40 — Missing/incomplete/invalid admission date.</t>
  </si>
  <si>
    <t>MA41 — Missing/incomplete/invalid admission type.</t>
  </si>
  <si>
    <t>MA42 — Missing/incomplete/invalid admission source.</t>
  </si>
  <si>
    <t>MA43 — Missing/incomplete/invalid patient status.</t>
  </si>
  <si>
    <t>MA44 — Alert: No appeal rights. Adjudicative decision based on law.</t>
  </si>
  <si>
    <t>MA45 — Alert: As previously advised, a portion or all of your payment is being held in a special account.</t>
  </si>
  <si>
    <t>MA46 — Alert: The new information was considered but additional payment will not be issued.</t>
  </si>
  <si>
    <t>MA47 — Our records show you have opted out of Medicare, agreeing with the patient not to bill Medicare for services/tests/supplies furnished. As result, we cannot pay this claim. The patient is responsible for payment.</t>
  </si>
  <si>
    <t>MA48 — Missing/incomplete/invalid name or address of responsible party or primary payer.</t>
  </si>
  <si>
    <t>MA50 — Missing/incomplete/invalid Investigational Device Exemption number or Clinical Trial number.</t>
  </si>
  <si>
    <t>MA53 — Missing/incomplete/invalid Competitive Bidding Demonstration Project identification.</t>
  </si>
  <si>
    <t>MA54 — Physician certification or election consent for hospice care not received timely.</t>
  </si>
  <si>
    <t>MA55 — Not covered as patient received medical health care services, automatically revoking his/her election to receive religious non-medical health care services.</t>
  </si>
  <si>
    <t>MA56 — 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</si>
  <si>
    <t>MA57 — Patient submitted written request to revoke his/her election for religious non-medical health care services.</t>
  </si>
  <si>
    <t>MA58 — Missing/incomplete/invalid release of information indicator.</t>
  </si>
  <si>
    <t>MA59 — Alert: The patient overpaid you for these services. You must issue the patient a refund within 30 days for the difference between his/her payment and the total amount shown as patient responsibility on this notice.</t>
  </si>
  <si>
    <t>MA60 — Missing/incomplete/invalid patient relationship to insured.</t>
  </si>
  <si>
    <t>MA61 — Missing/incomplete/invalid social security number.</t>
  </si>
  <si>
    <t>MA62 — Alert: This is a telephone review decision.</t>
  </si>
  <si>
    <t>MA63 — Missing/incomplete/invalid principal diagnosis.</t>
  </si>
  <si>
    <t>MA64 — Our records indicate that we should be the third payer for this claim. We cannot process this claim until we have received payment information from the primary and secondary payers.</t>
  </si>
  <si>
    <t>MA65 — Missing/incomplete/invalid admitting diagnosis.</t>
  </si>
  <si>
    <t>MA66 — Missing/incomplete/invalid principal procedure code.</t>
  </si>
  <si>
    <t>MA67 — Alert: Correction to a prior claim.</t>
  </si>
  <si>
    <t>MA68 — Alert: We did not crossover this claim because the secondary insurance information on the claim was incomplete. Please supply complete information or use the PLANID of the insurer to assure correct and timely routing of the claim.</t>
  </si>
  <si>
    <t>MA69 — Missing/incomplete/invalid remarks.</t>
  </si>
  <si>
    <t>MA70 — Missing/incomplete/invalid provider representative signature.</t>
  </si>
  <si>
    <t>MA71 — Missing/incomplete/invalid provider representative signature date.</t>
  </si>
  <si>
    <t>MA72 — Alert: The patient overpaid you for these assigned services. You must issue the patient a refund within 30 days for the difference between his/her payment to you and the total of the amount shown as patient responsibility and as paid to the patient on this notice.</t>
  </si>
  <si>
    <t>MA73 — Informational remittance associated with a Medicare demonstration. No payment issued under fee-for-service Medicare as patient has elected managed care.</t>
  </si>
  <si>
    <t>MA74 — Alert: This payment replaces an earlier payment for this claim that was either lost, damaged or returned.</t>
  </si>
  <si>
    <t>MA75 — Missing/incomplete/invalid patient or authorized representative signature.</t>
  </si>
  <si>
    <t>MA76 — Missing/incomplete/invalid provider identifier for home health agency or hospice when physician is performing care plan oversight services.</t>
  </si>
  <si>
    <t>MA77 — Alert: The patient overpaid you. You must issue the patient a refund within 30 days for the difference between the patient's payment less the total of our and other payer payments and the amount shown as patient responsibility on this notice.</t>
  </si>
  <si>
    <t>MA79 — Billed in excess of interim rate.</t>
  </si>
  <si>
    <t>MA80 — Informational notice. No payment issued for this claim with this notice. Payment issued to the hospital by its intermediary for all services for this encounter under a demonstration project.</t>
  </si>
  <si>
    <t>MA81 — Missing/incomplete/invalid provider/supplier signature.</t>
  </si>
  <si>
    <t>MA83 — Did not indicate whether we are the primary or secondary payer.</t>
  </si>
  <si>
    <t>MA84 — 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t>
  </si>
  <si>
    <t>MA88 — Missing/incomplete/invalid insured's address and/or telephone number for the primary payer.</t>
  </si>
  <si>
    <t>MA89 — Missing/incomplete/invalid patient's relationship to the insured for the primary payer.</t>
  </si>
  <si>
    <t>MA90 — Missing/incomplete/invalid employment status code for the primary insured.</t>
  </si>
  <si>
    <t>MA91 — Alert: This determination is the result of the appeal you filed.</t>
  </si>
  <si>
    <t>MA92 — Missing plan information for other insurance.</t>
  </si>
  <si>
    <t>MA93 — Non-PIP (Periodic Interim Payment) claim.</t>
  </si>
  <si>
    <t>MA94 — Did not enter the statement 'Attending physician not hospice employee' on the claim form to certify that the rendering physician is not an employee of the hospice.</t>
  </si>
  <si>
    <t>MA96 — Claim rejected. Coded as a Medicare Managed Care Demonstration but patient is not enrolled in a Medicare managed care plan.</t>
  </si>
  <si>
    <t>MA97 — Missing/incomplete/invalid Medicare Managed Care Demonstration contract number or clinical trial registry number.</t>
  </si>
  <si>
    <t>MA99 — Missing/incomplete/invalid Medigap information.</t>
  </si>
  <si>
    <t>N1 — Alert: You may appeal this decision in writing within the required time limits following receipt of this notice by following the instructions included in your contract, plan benefit documents or jurisdiction statutes. Refer to the URL provided in the ERA for the payer website to access the appeals process guidelines.</t>
  </si>
  <si>
    <t>N10 — Adjustment based on the findings of a review organization/professional consult/manual adjudication/medical advisor/dental advisor/peer review.</t>
  </si>
  <si>
    <t>N103 — Records indicate this patient was a prisoner or in custody of a Federal, State, or local authority when the service was rendered. This payer does not cover items and services furnished to an individual while he or she is in custody under a penal statute or rule, unless under State or local law, the individual is personally liable for the cost of his or her health care while in custody and the State or local government pursues the collection of such debt in the same way and with the same vigor as the collection of its other debts. The provider can collect from the Federal/State/ Local Authority as appropriate.</t>
  </si>
  <si>
    <t>N104 — This claim/service is not payable under our claims jurisdiction area. You can identify the correct Medicare contractor to process this claim/service through the CMS website at www.cms.gov.</t>
  </si>
  <si>
    <t>N105 — This is a misdirected claim/service for an RRB beneficiary. Submit paper claims to the RRB carrier: Palmetto GBA, P.O. Box 10066, Augusta, GA 30999. Call 888-355-9165 for RRB EDI information for electronic claims processing.</t>
  </si>
  <si>
    <t>N106 — Payment for services furnished to Skilled Nursing Facility (SNF) inpatients (except for excluded services) can only be made to the SNF. You must request payment from the SNF rather than the patient for this service.</t>
  </si>
  <si>
    <t>N107 — Services furnished to Skilled Nursing Facility (SNF) inpatients must be billed on the inpatient claim. They cannot be billed separately as outpatient services.</t>
  </si>
  <si>
    <t>N108 — Missing/incomplete/invalid upgrade information.</t>
  </si>
  <si>
    <t>N109 — Alert: This claim/service was chosen for complex review.</t>
  </si>
  <si>
    <t>N11 — Denial reversed because of medical review.</t>
  </si>
  <si>
    <t>N110 — This facility is not certified for film mammography.</t>
  </si>
  <si>
    <t>N111 — No appeal right except duplicate claim/service issue. This service was included in a claim that has been previously billed and adjudicated.</t>
  </si>
  <si>
    <t>N112 — This claim is excluded from your electronic remittance advice.</t>
  </si>
  <si>
    <t>N113 — Only one initial visit is covered per physician, group practice or provider.</t>
  </si>
  <si>
    <t>N114 — 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t>
  </si>
  <si>
    <t>N115 — 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</si>
  <si>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N116 — Alert: 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t>
  </si>
  <si>
    <t>N117 — This service is paid only once in a patient's lifetime.</t>
  </si>
  <si>
    <t>N118 — This service is not paid if billed more than once every 28 days.</t>
  </si>
  <si>
    <t>N119 — This service is not paid if billed once every 28 days, and the patient has spent 5 or more consecutive days in any inpatient or Skilled /nursing Facility (SNF) within those 28 days.</t>
  </si>
  <si>
    <t>N12 — Policy provides coverage supplemental to Medicare. As the member does not appear to be enrolled in the applicable part of Medicare, the member is responsible for payment of the portion of the charge that would have been covered by Medicare.</t>
  </si>
  <si>
    <t>N120 — Payment is subject to home health prospective payment system partial episode payment adjustment. Patient was transferred/discharged/readmitted during payment episode.</t>
  </si>
  <si>
    <t>N121 — Medicare Part B does not pay for items or services provided by this type of practitioner for beneficiaries in a Medicare Part A covered Skilled Nursing Facility (SNF) stay.</t>
  </si>
  <si>
    <t>N122 — Add-on code cannot be billed by itself.</t>
  </si>
  <si>
    <t>N123 — Alert: This is a split service and represents a portion of the units from the originally submitted service.</t>
  </si>
  <si>
    <t>N124 — Payment has been denied for the/made only for a less extensive service/item because the information furnished does not substantiate the need for the (more extensive) service/item. The patient is liable for the charges for this service/item as you informed the patient in writing before the service/item was furnished that we would not pay for it, and the patient agreed to pay.</t>
  </si>
  <si>
    <t>N125 — 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t>
  </si>
  <si>
    <t>N126 — Social Security Records indicate that this individual has been deported. This payer does not cover items and services furnished to individuals who have been deported.</t>
  </si>
  <si>
    <t>N127 — This is a misdirected claim/service for a United Mine Workers of America (UMWA) beneficiary. Please submit claims to them.</t>
  </si>
  <si>
    <t>N128 — This amount represents the prior to coverage portion of the allowance.</t>
  </si>
  <si>
    <t>N129 — Not eligible due to the patient's age.</t>
  </si>
  <si>
    <t>N13 — Payment based on professional/technical component modifier(s).</t>
  </si>
  <si>
    <t>N130 — Consult plan benefit documents/guidelines for information about restrictions for this service.</t>
  </si>
  <si>
    <t>N131 — Total payments under multiple contracts cannot exceed the allowance for this service.</t>
  </si>
  <si>
    <t>N132 — Alert: Payments will cease for services rendered by this US Government debarred or excluded provider after the 30 day grace period as previously notified.</t>
  </si>
  <si>
    <t>N133 — Alert: Services for predetermination and services requesting payment are being processed separately.</t>
  </si>
  <si>
    <t>N134 — Alert: This represents your scheduled payment for this service. If treatment has been discontinued, please contact Customer Service.</t>
  </si>
  <si>
    <t>N135 — Record fees are the patient's responsibility and limited to the specified co-payment.</t>
  </si>
  <si>
    <t>N136 — Alert: To obtain information on the process to file an appeal in Arizona, call the Department's Consumer Assistance Office at (602) 912-8444 or (800) 325-2548.</t>
  </si>
  <si>
    <t>N137 — Alert: The provider acting on the Member's behalf, may file an appeal with the Payer. The provider, acting on the Member's behalf, may file a complaint with the State Insurance Regulatory Authority without first filing an appeal, if the coverage decision involves an urgent condition for which care has not been rendered. The address may be obtained from the State Insurance Regulatory Authority.</t>
  </si>
  <si>
    <t>N138 — Alert: In the event you disagree with the Dental Advisor's opinion and have additional information relative to the case, you may submit radiographs to the Dental Advisor Unit at the subscriber's dental insurance carrier for a second Independent Dental Advisor Review.</t>
  </si>
  <si>
    <t>N139 — Alert: Under 32 CFR 199.13, a non-participating provider is not an appropriate appealing party. Therefore, if you disagree with the Dental Advisor's opinion, you may appeal the determination if appointed in writing, by the beneficiary, to act as his/her representative. Should you be appointed as a representative, submit a copy of this letter, a signed statement explaining the matter in which you disagree, and any radiographs and relevant information to the subscriber's Dental insurance carrier within 90 days from the date of this letter.</t>
  </si>
  <si>
    <t>N140 — Alert: You have not been designated as an authorized OCONUS provider therefore are not considered an appropriate appealing party. If the beneficiary has appointed you, in writing, to act as his/her representative and you disagree with the Dental Advisor's opinion, you may appeal by submitting a copy of this letter, a signed statement explaining the matter in which you disagree, and any relevant information to the subscriber's Dental insurance carrier within 90 days from the date of this letter.</t>
  </si>
  <si>
    <t>N141 — The patient was not residing in a long-term care facility during all or part of the service dates billed.</t>
  </si>
  <si>
    <t>N142 — The original claim was denied. Resubmit a new claim, not a replacement claim.</t>
  </si>
  <si>
    <t>N143 — The patient was not in a hospice program during all or part of the service dates billed.</t>
  </si>
  <si>
    <t>N144 — The rate changed during the dates of service billed.</t>
  </si>
  <si>
    <t>N146 — Missing screening document.</t>
  </si>
  <si>
    <t>N147 — Long term care case mix or per diem rate cannot be determined because the patient ID number is missing, incomplete, or invalid on the assignment request.</t>
  </si>
  <si>
    <t>N148 — Missing/incomplete/invalid date of last menstrual period.</t>
  </si>
  <si>
    <t>N149 — Rebill all applicable services on a single claim.</t>
  </si>
  <si>
    <t>N15 — Services for a newborn must be billed separately.</t>
  </si>
  <si>
    <t>N150 — Missing/incomplete/invalid model number.</t>
  </si>
  <si>
    <t>N151 — Telephone contact services will not be paid until the face-to-face contact requirement has been met.</t>
  </si>
  <si>
    <t>N152 — Missing/incomplete/invalid replacement claim information.</t>
  </si>
  <si>
    <t>N153 — Missing/incomplete/invalid room and board rate.</t>
  </si>
  <si>
    <t>N154 — Alert: This payment was delayed for correction of provider's mailing address.</t>
  </si>
  <si>
    <t>N155 — Alert: Our records do not indicate that other insurance is on file. Please submit other insurance information for our records.</t>
  </si>
  <si>
    <t>N156 — Alert: The patient is responsible for the difference between the approved treatment and the elective treatment.</t>
  </si>
  <si>
    <t>N157 — Transportation to/from this destination is not covered.</t>
  </si>
  <si>
    <t>N158 — Transportation in a vehicle other than an ambulance is not covered.</t>
  </si>
  <si>
    <t>N159 — Payment denied/reduced because mileage is not covered when the patient is not in the ambulance.</t>
  </si>
  <si>
    <t>N16 — Family/member Out-of-Pocket maximum has been met. Payment based on a higher percentage.</t>
  </si>
  <si>
    <t>N160 — The patient must choose an option before a payment can be made for this procedure/ equipment/ supply/ service.</t>
  </si>
  <si>
    <t>N161 — This drug/service/supply is covered only when the associated service is covered.</t>
  </si>
  <si>
    <t>N162 — Alert: Although your claim was paid, you have billed for a test/specialty not included in your Laboratory Certification. Your failure to correct the laboratory certification information will result in a denial of payment in the near future.</t>
  </si>
  <si>
    <t>N163 — Medical record does not support code billed per the code definition.</t>
  </si>
  <si>
    <t>N167 — Charges exceed the post-transplant coverage limit.</t>
  </si>
  <si>
    <t>N170 — A new/revised/renewed certificate of medical necessity is needed.</t>
  </si>
  <si>
    <t>N171 — Payment for repair or replacement is not covered or has exceeded the purchase price.</t>
  </si>
  <si>
    <t>N172 — The patient is not liable for the denied/adjusted charge(s) for receiving any updated service/item.</t>
  </si>
  <si>
    <t>N173 — No qualifying hospital stay dates were provided for this episode of care.</t>
  </si>
  <si>
    <t>N174 — This is not a covered service/procedure/ equipment/bed, however patient liability is limited to amounts shown in the adjustments under group 'PR'.</t>
  </si>
  <si>
    <t>N175 — Missing review organization approval.</t>
  </si>
  <si>
    <t>N176 — Services provided aboard a ship are covered only when the ship is of United States registry and is in United States waters. In addition, a doctor licensed to practice in the United States must provide the service.</t>
  </si>
  <si>
    <t>N177 — Alert: We did not send this claim to patient's other insurer. They have indicated no additional payment can be made.</t>
  </si>
  <si>
    <t>N178 — Missing pre-operative images/visual field results.</t>
  </si>
  <si>
    <t>N179 — Additional information has been requested from the member. The charges will be reconsidered upon receipt of that information.</t>
  </si>
  <si>
    <t>N180 — This item or service does not meet the criteria for the category under which it was billed.</t>
  </si>
  <si>
    <t>N181 — Additional information is required from another provider involved in this service.</t>
  </si>
  <si>
    <t>N182 — This claim/service must be billed according to the schedule for this plan.</t>
  </si>
  <si>
    <t>N183 — Alert: This is a predetermination advisory message, when this service is submitted for payment additional documentation as specified in plan documents will be required to process benefits.</t>
  </si>
  <si>
    <t>N184 — Rebill technical and professional components separately.</t>
  </si>
  <si>
    <t>N185 — Alert: Do not resubmit this claim/service.</t>
  </si>
  <si>
    <t>N186 — Non-Availability Statement (NAS) required for this service. Contact the nearest Military Treatment Facility (MTF) for assistance.</t>
  </si>
  <si>
    <t>N187 — Alert: You may request a review in writing within the required time limits following receipt of this notice by following the instructions included in your contract or plan benefit documents.</t>
  </si>
  <si>
    <t>N188 — The approved level of care does not match the procedure code submitted.</t>
  </si>
  <si>
    <t>N189 — Alert: This service has been paid as a one-time exception to the plan's benefit restrictions.</t>
  </si>
  <si>
    <t>N19 — Procedure code incidental to primary procedure.</t>
  </si>
  <si>
    <t>N190 — Missing contract indicator.</t>
  </si>
  <si>
    <t>N191 — The provider must update insurance information directly with payer.</t>
  </si>
  <si>
    <t>N192 — Alert: Patient is a Medicaid/Qualified Medicare Beneficiary.</t>
  </si>
  <si>
    <t>N193 — Alert: Specific federal/state/local program may cover this service through another payer.</t>
  </si>
  <si>
    <t>N194 — Technical component not paid if provider does not own the equipment used.</t>
  </si>
  <si>
    <t>N195 — The technical component must be billed separately.</t>
  </si>
  <si>
    <t>N196 — Alert: Patient eligible to apply for other coverage which may be primary.</t>
  </si>
  <si>
    <t>N197 — The subscriber must update insurance information directly with payer.</t>
  </si>
  <si>
    <t>N198 — Rendering provider must be affiliated with the pay-to provider.</t>
  </si>
  <si>
    <t>N199 — Additional payment/recoupment approved based on payer-initiated review/audit.</t>
  </si>
  <si>
    <t>N2 — This allowance has been made in accordance with the most appropriate course of treatment provision of the plan.</t>
  </si>
  <si>
    <t>N20 — Service not payable with other service rendered on the same date.</t>
  </si>
  <si>
    <t>N200 — The professional component must be billed separately.</t>
  </si>
  <si>
    <t>N202 — Alert: Additional information/explanation will be sent separately.</t>
  </si>
  <si>
    <t>N203 — Missing/incomplete/invalid anesthesia time/units.</t>
  </si>
  <si>
    <t>N204 — Services under review for possible pre-existing condition. Send medical records for prior 12 months</t>
  </si>
  <si>
    <t>N205 — Information provided was illegible.</t>
  </si>
  <si>
    <t>N206 — The supporting documentation does not match the information sent on the claim.</t>
  </si>
  <si>
    <t>N207 — Missing/incomplete/invalid weight.</t>
  </si>
  <si>
    <t>N208 — Missing/incomplete/invalid DRG code.</t>
  </si>
  <si>
    <t>N209 — Missing/incomplete/invalid taxpayer identification number (TIN).</t>
  </si>
  <si>
    <t>N21 — Alert: Your line item has been separated into multiple lines to expedite handling.</t>
  </si>
  <si>
    <t>N210 — Alert: You may appeal this decision.</t>
  </si>
  <si>
    <t>N211 — Alert: You may not appeal this decision.</t>
  </si>
  <si>
    <t>N212 — Charges processed under a Point of Service benefit.</t>
  </si>
  <si>
    <t>N213 — Missing/incomplete/invalid facility/discrete unit DRG/DRG exempt status information.</t>
  </si>
  <si>
    <t>N214 — Missing/incomplete/invalid history of the related initial surgical procedure(s).</t>
  </si>
  <si>
    <t>N215 — Alert: A payer providing supplemental or secondary coverage shall not require a claims determination for this service from a primary payer as a condition of making its own claims determination.</t>
  </si>
  <si>
    <t>N216 — We do not offer coverage for this type of service or the patient is not enrolled in this portion of our benefit package.</t>
  </si>
  <si>
    <t>N217 — We pay only one site of service per provider per claim.</t>
  </si>
  <si>
    <t>N218 — You must furnish and service this item for as long as the patient continues to need it. We can pay for maintenance and/or servicing for the time period specified in the contract or coverage manual.</t>
  </si>
  <si>
    <t>N219 — Payment based on previous payer's allowed amount.</t>
  </si>
  <si>
    <t>N22 — Alert: This procedure code was added/changed because it more accurately describes the services rendered.</t>
  </si>
  <si>
    <t>N220 — Alert: See the payer's web site or contact the payer's Customer Service department to obtain forms and instructions for filing a provider dispute.</t>
  </si>
  <si>
    <t>N221 — Missing Admitting History and Physical report.</t>
  </si>
  <si>
    <t>N222 — Incomplete/invalid Admitting History and Physical report.</t>
  </si>
  <si>
    <t>N223 — Missing documentation of benefit to the patient during initial treatment period.</t>
  </si>
  <si>
    <t>N224 — Incomplete/invalid documentation of benefit to the patient during initial treatment period.</t>
  </si>
  <si>
    <t>N226 — Incomplete/invalid American Diabetes Association Certificate of Recognition.</t>
  </si>
  <si>
    <t>N227 — Incomplete/invalid Certificate of Medical Necessity.</t>
  </si>
  <si>
    <t>N228 — Incomplete/invalid consent form.</t>
  </si>
  <si>
    <t>N229 — Incomplete/invalid contract indicator.</t>
  </si>
  <si>
    <t>N23 — Alert: Patient liability may be affected due to coordination of benefits with other carriers and/or maximum benefit provisions.</t>
  </si>
  <si>
    <t>N230 — Incomplete/invalid indication of whether the patient owns the equipment that requires the part or supply.</t>
  </si>
  <si>
    <t>N231 — Incomplete/invalid invoice or statement certifying the actual cost of the lens, less discounts, and/or the type of intraocular lens used.</t>
  </si>
  <si>
    <t>N232 — Incomplete/invalid itemized bill/statement.</t>
  </si>
  <si>
    <t>N233 — Incomplete/invalid operative note/report.</t>
  </si>
  <si>
    <t>N234 — Incomplete/invalid oxygen certification/re-certification.</t>
  </si>
  <si>
    <t>N235 — Incomplete/invalid pacemaker registration form.</t>
  </si>
  <si>
    <t>N236 — Incomplete/invalid pathology report.</t>
  </si>
  <si>
    <t>N237 — Incomplete/invalid patient medical record for this service.</t>
  </si>
  <si>
    <t>N238 — Incomplete/invalid physician certified plan of care.</t>
  </si>
  <si>
    <t>N239 — Incomplete/invalid physician financial relationship form.</t>
  </si>
  <si>
    <t>N24 — Missing/incomplete/invalid Electronic Funds Transfer (EFT) banking information.</t>
  </si>
  <si>
    <t>N240 — Incomplete/invalid radiology report.</t>
  </si>
  <si>
    <t>N241 — Incomplete/invalid review organization approval.</t>
  </si>
  <si>
    <t>N242 — Incomplete/invalid radiology film(s)/image(s).</t>
  </si>
  <si>
    <t>N243 — Incomplete/invalid/not approved screening document.</t>
  </si>
  <si>
    <t>N244 — Incomplete/Invalid pre-operative images/visual field results.</t>
  </si>
  <si>
    <t>N245 — Incomplete/invalid plan information for other insurance.</t>
  </si>
  <si>
    <t>N246 — State regulated patient payment limitations apply to this service.</t>
  </si>
  <si>
    <t>N247 — Missing/incomplete/invalid assistant surgeon taxonomy.</t>
  </si>
  <si>
    <t>N248 — Missing/incomplete/invalid assistant surgeon name.</t>
  </si>
  <si>
    <t>N249 — Missing/incomplete/invalid assistant surgeon primary identifier.</t>
  </si>
  <si>
    <t>N25 — This company has been contracted by your benefit plan to provide administrative claims payment services only. This company does not assume financial risk or obligation with respect to claims processed on behalf of your benefit plan.</t>
  </si>
  <si>
    <t>N250 — Missing/incomplete/invalid assistant surgeon secondary identifier.</t>
  </si>
  <si>
    <t>N251 — Missing/incomplete/invalid attending provider taxonomy.</t>
  </si>
  <si>
    <t>N252 — Missing/incomplete/invalid attending provider name.</t>
  </si>
  <si>
    <t>N253 — Missing/incomplete/invalid attending provider primary identifier.</t>
  </si>
  <si>
    <t>N254 — Missing/incomplete/invalid attending provider secondary identifier.</t>
  </si>
  <si>
    <t>N255 — Missing/incomplete/invalid billing provider taxonomy.</t>
  </si>
  <si>
    <t>N256 — Missing/incomplete/invalid billing provider/supplier name.</t>
  </si>
  <si>
    <t>N257 — Missing/incomplete/invalid billing provider/supplier primary identifier.</t>
  </si>
  <si>
    <t>N258 — Missing/incomplete/invalid billing provider/supplier address.</t>
  </si>
  <si>
    <t>N259 — Missing/incomplete/invalid billing provider/supplier secondary identifier.</t>
  </si>
  <si>
    <t>N26 — Missing itemized bill/statement.</t>
  </si>
  <si>
    <t>N260 — Missing/incomplete/invalid billing provider/supplier contact information.</t>
  </si>
  <si>
    <t>N261 — Missing/incomplete/invalid operating provider name.</t>
  </si>
  <si>
    <t>N262 — Missing/incomplete/invalid operating provider primary identifier.</t>
  </si>
  <si>
    <t>N263 — Missing/incomplete/invalid operating provider secondary identifier.</t>
  </si>
  <si>
    <t>N264 — Missing/incomplete/invalid ordering provider name.</t>
  </si>
  <si>
    <t>N265 — Missing/incomplete/invalid ordering provider primary identifier.</t>
  </si>
  <si>
    <t>N266 — Missing/incomplete/invalid ordering provider address.</t>
  </si>
  <si>
    <t>N267 — Missing/incomplete/invalid ordering provider secondary identifier.</t>
  </si>
  <si>
    <t>N268 — Missing/incomplete/invalid ordering provider contact information.</t>
  </si>
  <si>
    <t>N269 — Missing/incomplete/invalid other provider name.</t>
  </si>
  <si>
    <t>N27 — Missing/incomplete/invalid treatment number.</t>
  </si>
  <si>
    <t>N270 — Missing/incomplete/invalid other provider primary identifier.</t>
  </si>
  <si>
    <t>N271 — Missing/incomplete/invalid other provider secondary identifier.</t>
  </si>
  <si>
    <t>N272 — Missing/incomplete/invalid other payer attending provider identifier.</t>
  </si>
  <si>
    <t>N273 — Missing/incomplete/invalid other payer operating provider identifier.</t>
  </si>
  <si>
    <t>N274 — Missing/incomplete/invalid other payer other provider identifier.</t>
  </si>
  <si>
    <t>N275 — Missing/incomplete/invalid other payer purchased service provider identifier.</t>
  </si>
  <si>
    <t>N276 — Missing/incomplete/invalid other payer referring provider identifier.</t>
  </si>
  <si>
    <t>N277 — Missing/incomplete/invalid other payer rendering provider identifier.</t>
  </si>
  <si>
    <t>N278 — Missing/incomplete/invalid other payer service facility provider identifier.</t>
  </si>
  <si>
    <t>N279 — Missing/incomplete/invalid pay-to provider name.</t>
  </si>
  <si>
    <t>N28 — Consent form requirements not fulfilled.</t>
  </si>
  <si>
    <t>N280 — Missing/incomplete/invalid pay-to provider primary identifier.</t>
  </si>
  <si>
    <t>N281 — Missing/incomplete/invalid pay-to provider address.</t>
  </si>
  <si>
    <t>N282 — Missing/incomplete/invalid pay-to provider secondary identifier.</t>
  </si>
  <si>
    <t>N283 — Missing/incomplete/invalid purchased service provider identifier.</t>
  </si>
  <si>
    <t>N284 — Missing/incomplete/invalid referring provider taxonomy.</t>
  </si>
  <si>
    <t>N285 — Missing/incomplete/invalid referring provider name.</t>
  </si>
  <si>
    <t>N286 — Missing/incomplete/invalid referring provider primary identifier.</t>
  </si>
  <si>
    <t>N287 — Missing/incomplete/invalid referring provider secondary identifier.</t>
  </si>
  <si>
    <t>N288 — Missing/incomplete/invalid rendering provider taxonomy.</t>
  </si>
  <si>
    <t>N289 — Missing/incomplete/invalid rendering provider name.</t>
  </si>
  <si>
    <t>N290 — Missing/incomplete/invalid rendering provider primary identifier.</t>
  </si>
  <si>
    <t>N291 — Missing/incomplete/invalid rendering provider secondary identifier.</t>
  </si>
  <si>
    <t>N292 — Missing/incomplete/invalid service facility name.</t>
  </si>
  <si>
    <t>N293 — Missing/incomplete/invalid service facility primary identifier.</t>
  </si>
  <si>
    <t>N294 — Missing/incomplete/invalid service facility primary address.</t>
  </si>
  <si>
    <t>N295 — Missing/incomplete/invalid service facility secondary identifier.</t>
  </si>
  <si>
    <t>N296 — Missing/incomplete/invalid supervising provider name.</t>
  </si>
  <si>
    <t>N297 — Missing/incomplete/invalid supervising provider primary identifier.</t>
  </si>
  <si>
    <t>N298 — Missing/incomplete/invalid supervising provider secondary identifier.</t>
  </si>
  <si>
    <t>N299 — Missing/incomplete/invalid occurrence date(s).</t>
  </si>
  <si>
    <t>N3 — Missing consent form.</t>
  </si>
  <si>
    <t>N30 — Patient ineligible for this service.</t>
  </si>
  <si>
    <t>N300 — Missing/incomplete/invalid occurrence span date(s).</t>
  </si>
  <si>
    <t>N301 — Missing/incomplete/invalid procedure date(s).</t>
  </si>
  <si>
    <t>N302 — Missing/incomplete/invalid other procedure date(s).</t>
  </si>
  <si>
    <t>N303 — Missing/incomplete/invalid principal procedure date.</t>
  </si>
  <si>
    <t>N304 — Missing/incomplete/invalid dispensed date.</t>
  </si>
  <si>
    <t>N305 — Missing/incomplete/invalid injury/accident date.</t>
  </si>
  <si>
    <t>N306 — Missing/incomplete/invalid acute manifestation date.</t>
  </si>
  <si>
    <t>N307 — Missing/incomplete/invalid adjudication or payment date.</t>
  </si>
  <si>
    <t>N308 — Missing/incomplete/invalid appliance placement date.</t>
  </si>
  <si>
    <t>N309 — Missing/incomplete/invalid assessment date.</t>
  </si>
  <si>
    <t>N31 — Missing/incomplete/invalid prescribing provider identifier.</t>
  </si>
  <si>
    <t>N310 — Missing/incomplete/invalid assumed or relinquished care date.</t>
  </si>
  <si>
    <t>N311 — Missing/incomplete/invalid authorized to return to work date.</t>
  </si>
  <si>
    <t>N312 — Missing/incomplete/invalid begin therapy date.</t>
  </si>
  <si>
    <t>N313 — Missing/incomplete/invalid certification revision date.</t>
  </si>
  <si>
    <t>N314 — Missing/incomplete/invalid diagnosis date.</t>
  </si>
  <si>
    <t>N315 — Missing/incomplete/invalid disability from date.</t>
  </si>
  <si>
    <t>N316 — Missing/incomplete/invalid disability to date.</t>
  </si>
  <si>
    <t>N317 — Missing/incomplete/invalid discharge hour.</t>
  </si>
  <si>
    <t>N318 — Missing/incomplete/invalid discharge or end of care date.</t>
  </si>
  <si>
    <t>N319 — Missing/incomplete/invalid hearing or vision prescription date.</t>
  </si>
  <si>
    <t>N32 — Claim must be submitted by the provider who rendered the service.</t>
  </si>
  <si>
    <t>N320 — Missing/incomplete/invalid Home Health Certification Period.</t>
  </si>
  <si>
    <t>N321 — Missing/incomplete/invalid last admission period.</t>
  </si>
  <si>
    <t>N322 — Missing/incomplete/invalid last certification date.</t>
  </si>
  <si>
    <t>N323 — Missing/incomplete/invalid last contact date.</t>
  </si>
  <si>
    <t>N324 — Missing/incomplete/invalid last seen/visit date.</t>
  </si>
  <si>
    <t>N325 — Missing/incomplete/invalid last worked date.</t>
  </si>
  <si>
    <t>N326 — Missing/incomplete/invalid last x-ray date.</t>
  </si>
  <si>
    <t>N327 — Missing/incomplete/invalid other insured birth date.</t>
  </si>
  <si>
    <t>N328 — Missing/incomplete/invalid Oxygen Saturation Test date.</t>
  </si>
  <si>
    <t>N329 — Missing/incomplete/invalid patient birth date.</t>
  </si>
  <si>
    <t>N33 — No record of health check prior to initiation of treatment.</t>
  </si>
  <si>
    <t>N330 — Missing/incomplete/invalid patient death date.</t>
  </si>
  <si>
    <t>N331 — Missing/incomplete/invalid physician order date.</t>
  </si>
  <si>
    <t>N332 — Missing/incomplete/invalid prior hospital discharge date.</t>
  </si>
  <si>
    <t>N333 — Missing/incomplete/invalid prior placement date.</t>
  </si>
  <si>
    <t>N334 — Missing/incomplete/invalid re-evaluation date.</t>
  </si>
  <si>
    <t>N335 — Missing/incomplete/invalid referral date.</t>
  </si>
  <si>
    <t>N336 — Missing/incomplete/invalid replacement date.</t>
  </si>
  <si>
    <t>N337 — Missing/incomplete/invalid secondary diagnosis date.</t>
  </si>
  <si>
    <t>N338 — Missing/incomplete/invalid shipped date.</t>
  </si>
  <si>
    <t>N339 — Missing/incomplete/invalid similar illness or symptom date.</t>
  </si>
  <si>
    <t>N34 — Incorrect claim form/format for this service.</t>
  </si>
  <si>
    <t>N340 — Missing/incomplete/invalid subscriber birth date.</t>
  </si>
  <si>
    <t>N341 — Missing/incomplete/invalid surgery date.</t>
  </si>
  <si>
    <t>N342 — Missing/incomplete/invalid test performed date.</t>
  </si>
  <si>
    <t>N343 — Missing/incomplete/invalid Transcutaneous Electrical Nerve Stimulator (TENS) trial start date.</t>
  </si>
  <si>
    <t>N344 — Missing/incomplete/invalid Transcutaneous Electrical Nerve Stimulator (TENS) trial end date.</t>
  </si>
  <si>
    <t>N345 — Date range not valid with units submitted.</t>
  </si>
  <si>
    <t>N346 — Missing/incomplete/invalid oral cavity designation code.</t>
  </si>
  <si>
    <t>N347 — Your claim for a referred or purchased service cannot be paid because payment has already been made for this same service to another provider by a payment contractor representing the payer.</t>
  </si>
  <si>
    <t>N348 — You chose that this service/supply/drug would be rendered/supplied and billed by a different practitioner/supplier.</t>
  </si>
  <si>
    <t>N349 — The administration method and drug must be reported to adjudicate this service.</t>
  </si>
  <si>
    <t>N35 — Program integrity/utilization review decision.</t>
  </si>
  <si>
    <t>N350 — Missing/incomplete/invalid description of service for a Not Otherwise Classified (NOC) code or for an Unlisted/By Report procedure.</t>
  </si>
  <si>
    <t>N351 — Service date outside of the approved treatment plan service dates.</t>
  </si>
  <si>
    <t>N352 — Alert: There are no scheduled payments for this service. Submit a claim for each patient visit.</t>
  </si>
  <si>
    <t>N353 — Alert: Benefits have been estimated, when the actual services have been rendered, additional payment will be considered based on the submitted claim.</t>
  </si>
  <si>
    <t>N354 — Incomplete/invalid invoice.</t>
  </si>
  <si>
    <t>N355 — Alert: The law permits exceptions to the refund requirement in two cases: - If you did not know, and could not have reasonably been expected to know, that we would not pay for this service; or - If you notified the patient in writing before providing the service that you believed that we were likely to deny the service, and the patient signed a statement agreeing to pay for the service.</t>
  </si>
  <si>
    <t>N356 — Not covered when performed with, or subsequent to, a non-covered service.</t>
  </si>
  <si>
    <t>N357 — Time frame requirements between this service/procedure/supply and a related service/procedure/supply have not been met.</t>
  </si>
  <si>
    <t>N358 — Alert: This decision may be reviewed if additional documentation as described in the contract or plan benefit documents is submitted.</t>
  </si>
  <si>
    <t>N359 — Missing/incomplete/invalid height.</t>
  </si>
  <si>
    <t>N36 — Claim must meet primary payer's processing requirements before we can consider payment.</t>
  </si>
  <si>
    <t>N360 — Alert: Coordination of benefits has not been calculated when estimating benefits for this pre-determination. Submit payment information from the primary payer with the secondary claim.</t>
  </si>
  <si>
    <t>N362 — The number of Days or Units of Service exceeds our acceptable maximum.</t>
  </si>
  <si>
    <t>N363 — Alert: in the near future we are implementing new policies/procedures that would affect this determination.</t>
  </si>
  <si>
    <t>N364 — Alert: According to our agreement, you must waive the deductible and/or coinsurance amounts.</t>
  </si>
  <si>
    <t>N366 — Requested information not provided. The claim will be reopened if the information previously requested is submitted within one year after the date of this denial notice.</t>
  </si>
  <si>
    <t>N367 — Alert: The claim information has been forwarded to a Consumer Spending Account processor for review; for example, flexible spending account or health savings account.</t>
  </si>
  <si>
    <t>N368 — You must appeal the determination of the previously adjudicated claim.</t>
  </si>
  <si>
    <t>N369 — Alert: Although this claim has been processed, it is deficient according to state legislation/regulation.</t>
  </si>
  <si>
    <t>N37 — Missing/incomplete/invalid tooth number/letter.</t>
  </si>
  <si>
    <t>N370 — Billing exceeds the rental months covered/approved by the payer.</t>
  </si>
  <si>
    <t>N371 — Alert: title of this equipment must be transferred to the patient.</t>
  </si>
  <si>
    <t>N372 — Only reasonable and necessary maintenance/service charges are covered.</t>
  </si>
  <si>
    <t>N373 — It has been determined that another payer paid the services as primary when they were not the primary payer. Therefore, we are refunding to the payer that paid as primary on your behalf.</t>
  </si>
  <si>
    <t>N374 — Primary Medicare Part A insurance has been exhausted and a Part B Remittance Advice is required.</t>
  </si>
  <si>
    <t>N375 — Missing/incomplete/invalid questionnaire/information required to determine dependent eligibility.</t>
  </si>
  <si>
    <t>N376 — Subscriber/patient is assigned to active military duty, therefore primary coverage may be TRICARE.</t>
  </si>
  <si>
    <t>N377 — Payment based on a processed replacement claim.</t>
  </si>
  <si>
    <t>N378 — Missing/incomplete/invalid prescription quantity.</t>
  </si>
  <si>
    <t>N379 — Claim level information does not match line level information.</t>
  </si>
  <si>
    <t>N380 — The original claim has been processed, submit a corrected claim.</t>
  </si>
  <si>
    <t>N381 — Alert: Consult our contractual agreement for restrictions/billing/payment information related to these charges.</t>
  </si>
  <si>
    <t>N382 — Missing/incomplete/invalid patient identifier.</t>
  </si>
  <si>
    <t>N383 — Not covered when deemed cosmetic.</t>
  </si>
  <si>
    <t>N384 — Records indicate that the referenced body part/tooth has been removed in a previous procedure.</t>
  </si>
  <si>
    <t>N385 — Notification of admission was not timely according to published plan procedures.</t>
  </si>
  <si>
    <t>N386 — 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</si>
  <si>
    <t>N387 — Alert: Submit this claim to the patient's other insurer for potential payment of supplemental benefits. We did not forward the claim information.</t>
  </si>
  <si>
    <t>N388 — Missing/incomplete/invalid prescription number.</t>
  </si>
  <si>
    <t>N389 — Duplicate prescription number submitted.</t>
  </si>
  <si>
    <t>N39 — Procedure code is not compatible with tooth number/letter.</t>
  </si>
  <si>
    <t>N390 — This service/report cannot be billed separately.</t>
  </si>
  <si>
    <t>N391 — Missing emergency department records.</t>
  </si>
  <si>
    <t>N392 — Incomplete/invalid emergency department records.</t>
  </si>
  <si>
    <t>N393 — Missing progress notes/report.</t>
  </si>
  <si>
    <t>N394 — Incomplete/invalid progress notes/report.</t>
  </si>
  <si>
    <t>N395 — Missing laboratory report.</t>
  </si>
  <si>
    <t>N396 — Incomplete/invalid laboratory report.</t>
  </si>
  <si>
    <t>N397 — Benefits are not available for incomplete service(s)/undelivered item(s).</t>
  </si>
  <si>
    <t>N398 — Missing elective consent form.</t>
  </si>
  <si>
    <t>N399 — Incomplete/invalid elective consent form.</t>
  </si>
  <si>
    <t>N4 — Missing/Incomplete/Invalid prior Insurance Carrier(s) EOB.</t>
  </si>
  <si>
    <t>N40 — Missing radiology film(s)/image(s).</t>
  </si>
  <si>
    <t>N400 — Alert: Electronically enabled providers should submit claims electronically.</t>
  </si>
  <si>
    <t>N401 — Missing periodontal charting.</t>
  </si>
  <si>
    <t>N402 — Incomplete/invalid periodontal charting.</t>
  </si>
  <si>
    <t>N403 — Missing facility certification.</t>
  </si>
  <si>
    <t>N404 — Incomplete/invalid facility certification.</t>
  </si>
  <si>
    <t>N405 — This service is only covered when the donor's insurer(s) do not provide coverage for the service.</t>
  </si>
  <si>
    <t>N406 — This service is only covered when the recipient's insurer(s) do not provide coverage for the service.</t>
  </si>
  <si>
    <t>N407 — You are not an approved submitter for this transmission format.</t>
  </si>
  <si>
    <t>N408 — This payer does not cover deductibles assessed by a previous payer.</t>
  </si>
  <si>
    <t>N409 — This service is related to an accidental injury and is not covered unless provided within a specific time frame from the date of the accident.</t>
  </si>
  <si>
    <t>N410 — Not covered unless the prescription changes.</t>
  </si>
  <si>
    <t>N411 — This service is allowed one time in a 6-month period.</t>
  </si>
  <si>
    <t>N412 — This service is allowed 2 times in a 12-month period.</t>
  </si>
  <si>
    <t>N413 — This service is allowed 2 times in a benefit year.</t>
  </si>
  <si>
    <t>N414 — This service is allowed 4 times in a 12-month period.</t>
  </si>
  <si>
    <t>N415 — This service is allowed 1 time in an 18-month period.</t>
  </si>
  <si>
    <t>N416 — This service is allowed 1 time in a 3-year period.</t>
  </si>
  <si>
    <t>N417 — This service is allowed 1 time in a 5-year period.</t>
  </si>
  <si>
    <t>N418 — Misrouted claim. See the payer's claim submission instructions.</t>
  </si>
  <si>
    <t>N419 — Claim payment was the result of a payer's retroactive adjustment due to a retroactive rate change.</t>
  </si>
  <si>
    <t>N42 — Missing mental health assessment.</t>
  </si>
  <si>
    <t>N420 — Claim payment was the result of a payer's retroactive adjustment due to a Coordination of Benefits or Third Party Liability Recovery.</t>
  </si>
  <si>
    <t>N421 — Claim payment was the result of a payer's retroactive adjustment due to a review organization decision.</t>
  </si>
  <si>
    <t>N422 — Claim payment was the result of a payer's retroactive adjustment due to a payer's contract incentive program.</t>
  </si>
  <si>
    <t>N423 — Claim payment was the result of a payer's retroactive adjustment due to a non standard program.</t>
  </si>
  <si>
    <t>N424 — Patient does not reside in the geographic area required for this type of payment.</t>
  </si>
  <si>
    <t>N425 — Statutorily excluded service(s).</t>
  </si>
  <si>
    <t>N426 — No coverage when self-administered.</t>
  </si>
  <si>
    <t>N427 — Payment for eyeglasses or contact lenses can be made only after cataract surgery.</t>
  </si>
  <si>
    <t>N428 — Not covered when performed in this place of service.</t>
  </si>
  <si>
    <t>N429 — Not covered when considered routine.</t>
  </si>
  <si>
    <t>N43 — Bed hold or leave days exceeded.</t>
  </si>
  <si>
    <t>N430 — Procedure code is inconsistent with the units billed.</t>
  </si>
  <si>
    <t>N431 — Not covered with this procedure.</t>
  </si>
  <si>
    <t>N432 — Alert: Adjustment based on a Recovery Audit.</t>
  </si>
  <si>
    <t>N433 — Resubmit this claim using only your National Provider Identifier (NPI).</t>
  </si>
  <si>
    <t>N434 — Missing/Incomplete/Invalid Present on Admission indicator.</t>
  </si>
  <si>
    <t>N435 — Exceeds number/frequency approved /allowed within time period without support documentation.</t>
  </si>
  <si>
    <t>N436 — The injury claim has not been accepted and a mandatory medical reimbursement has been made.</t>
  </si>
  <si>
    <t>N437 — Alert: If the injury claim is accepted, these charges will be reconsidered.</t>
  </si>
  <si>
    <t>N438 — This jurisdiction only accepts paper claims.</t>
  </si>
  <si>
    <t>N439 — Missing anesthesia physical status report/indicators.</t>
  </si>
  <si>
    <t>N440 — Incomplete/invalid anesthesia physical status report/indicators.</t>
  </si>
  <si>
    <t>N441 — This missed/cancelled appointment is not covered.</t>
  </si>
  <si>
    <t>N442 — Payment based on an alternate fee schedule.</t>
  </si>
  <si>
    <t>N443 — Missing/incomplete/invalid total time or begin/end time.</t>
  </si>
  <si>
    <t>N444 — Alert: This facility has not filed the Election for High Cost Outlier form with the Division of Workers' Compensation.</t>
  </si>
  <si>
    <t>N445 — Missing document for actual cost or paid amount.</t>
  </si>
  <si>
    <t>N446 — Incomplete/invalid document for actual cost or paid amount.</t>
  </si>
  <si>
    <t>N447 — Payment is based on a generic equivalent as required documentation was not provided.</t>
  </si>
  <si>
    <t>N448 — This drug/service/supply is not included in the fee schedule or contracted/legislated fee arrangement.</t>
  </si>
  <si>
    <t>N449 — Payment based on a comparable drug/service/supply.</t>
  </si>
  <si>
    <t>N45 — Payment based on authorized amount.</t>
  </si>
  <si>
    <t>N450 — Covered only when performed by the primary treating physician or the designee.</t>
  </si>
  <si>
    <t>N451 — Missing Admission Summary Report.</t>
  </si>
  <si>
    <t>N452 — Incomplete/invalid Admission Summary Report.</t>
  </si>
  <si>
    <t>N453 — Missing Consultation Report.</t>
  </si>
  <si>
    <t>N454 — Incomplete/invalid Consultation Report.</t>
  </si>
  <si>
    <t>N455 — Missing Physician Order.</t>
  </si>
  <si>
    <t>N456 — Incomplete/invalid Physician Order.</t>
  </si>
  <si>
    <t>N457 — Missing Diagnostic Report.</t>
  </si>
  <si>
    <t>N458 — Incomplete/invalid Diagnostic Report.</t>
  </si>
  <si>
    <t>N459 — Missing Discharge Summary.</t>
  </si>
  <si>
    <t>N46 — Missing/incomplete/invalid admission hour.</t>
  </si>
  <si>
    <t>N460 — Incomplete/invalid Discharge Summary.</t>
  </si>
  <si>
    <t>N461 — Missing Nursing Notes.</t>
  </si>
  <si>
    <t>N462 — Incomplete/invalid Nursing Notes.</t>
  </si>
  <si>
    <t>N463 — Missing support data for claim.</t>
  </si>
  <si>
    <t>N464 — Incomplete/invalid support data for claim.</t>
  </si>
  <si>
    <t>N465 — Missing Physical Therapy Notes/Report.</t>
  </si>
  <si>
    <t>N466 — Incomplete/invalid Physical Therapy Notes/Report.</t>
  </si>
  <si>
    <t>N467 — Missing Tests and Analysis Report.</t>
  </si>
  <si>
    <t>N468 — Incomplete/invalid Report of Tests and Analysis Report.</t>
  </si>
  <si>
    <t>N469 — Alert: Claim/Service(s) subject to appeal process, see section 935 of Medicare Prescription Drug, Improvement, and Modernization Act of 2003 (MMA).</t>
  </si>
  <si>
    <t>N47 — Claim conflicts with another inpatient stay.</t>
  </si>
  <si>
    <t>N470 — This payment will complete the mandatory medical reimbursement limit.</t>
  </si>
  <si>
    <t>N471 — Missing/incomplete/invalid HIPPS Rate Code.</t>
  </si>
  <si>
    <t>N472 — Payment for this service has been issued to another provider.</t>
  </si>
  <si>
    <t>N473 — Missing certification.</t>
  </si>
  <si>
    <t>N474 — Incomplete/invalid certification.</t>
  </si>
  <si>
    <t>N475 — Missing completed referral form.</t>
  </si>
  <si>
    <t>N476 — Incomplete/invalid completed referral form.</t>
  </si>
  <si>
    <t>N477 — Missing Dental Models.</t>
  </si>
  <si>
    <t>N478 — Incomplete/invalid Dental Models.</t>
  </si>
  <si>
    <t>N479 — Missing Explanation of Benefits (Coordination of Benefits or Medicare Secondary Payer).</t>
  </si>
  <si>
    <t>N48 — Claim information does not agree with information received from other insurance carrier.</t>
  </si>
  <si>
    <t>N480 — Incomplete/invalid Explanation of Benefits (Coordination of Benefits or Medicare Secondary Payer).</t>
  </si>
  <si>
    <t>N481 — Missing Models.</t>
  </si>
  <si>
    <t>N482 — Incomplete/invalid Models.</t>
  </si>
  <si>
    <t>N485 — Missing Physical Therapy Certification.</t>
  </si>
  <si>
    <t>N486 — Incomplete/invalid Physical Therapy Certification.</t>
  </si>
  <si>
    <t>N487 — Missing Prosthetics or Orthotics Certification.</t>
  </si>
  <si>
    <t>N488 — Incomplete/invalid Prosthetics or Orthotics Certification.</t>
  </si>
  <si>
    <t>N489 — Missing referral form.</t>
  </si>
  <si>
    <t>N49 — Court ordered coverage information needs validation.</t>
  </si>
  <si>
    <t>N490 — Incomplete/invalid referral form.</t>
  </si>
  <si>
    <t>N491 — Missing/Incomplete/Invalid Exclusionary Rider Condition.</t>
  </si>
  <si>
    <t>N492 — Alert: A network provider may bill the member for this service if the member requested the service and agreed in writing, prior to receiving the service, to be financially responsible for the billed charge.</t>
  </si>
  <si>
    <t>N493 — Missing Doctor First Report of Injury.</t>
  </si>
  <si>
    <t>N494 — Incomplete/invalid Doctor First Report of Injury.</t>
  </si>
  <si>
    <t>N495 — Missing Supplemental Medical Report.</t>
  </si>
  <si>
    <t>N496 — Incomplete/invalid Supplemental Medical Report.</t>
  </si>
  <si>
    <t>N497 — Missing Medical Permanent Impairment or Disability Report.</t>
  </si>
  <si>
    <t>N498 — Incomplete/invalid Medical Permanent Impairment or Disability Report.</t>
  </si>
  <si>
    <t>N499 — Missing Medical Legal Report.</t>
  </si>
  <si>
    <t>N5 — EOB received from previous payer. Claim not on file.</t>
  </si>
  <si>
    <t>N50 — Missing/incomplete/invalid discharge information.</t>
  </si>
  <si>
    <t>N500 — Incomplete/invalid Medical Legal Report.</t>
  </si>
  <si>
    <t>N501 — Missing Vocational Report.</t>
  </si>
  <si>
    <t>N502 — Incomplete/invalid Vocational Report.</t>
  </si>
  <si>
    <t>N503 — Missing Work Status Report.</t>
  </si>
  <si>
    <t>N504 — Incomplete/invalid Work Status Report.</t>
  </si>
  <si>
    <t>N505 — Alert: This response includes only services that could be estimated in real-time. No estimate will be provided for the services that could not be estimated in real-time.</t>
  </si>
  <si>
    <t>N506 — Alert: This is an estimate of the member's liability based on the information available at the time the estimate was processed. Actual coverage and member liability amounts will be determined when the claim is processed. This is not a pre-authorization or a guarantee of payment.</t>
  </si>
  <si>
    <t>N507 — Plan distance requirements have not been met.</t>
  </si>
  <si>
    <t>N508 — Alert: This real-time claim adjudication response represents the member responsibility to the provider for services reported. The member will receive an Explanation of Benefits electronically or in the mail. Contact the insurer if there are any questions.</t>
  </si>
  <si>
    <t>N509 — Alert: A current inquiry shows the member's Consumer Spending Account contains sufficient funds to cover the member liability for this claim/service. Actual payment from the Consumer Spending Account will depend on the availability of funds and determination of eligible services at the time of payment processing.</t>
  </si>
  <si>
    <t>N51 — Electronic interchange agreement not on file for provider/submitter.</t>
  </si>
  <si>
    <t>N510 — Alert: 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t>
  </si>
  <si>
    <t>N511 — Alert: Information on the availability of Consumer Spending Account funds to cover the member liability on this claim/service is not available at this time.</t>
  </si>
  <si>
    <t>N512 — Alert: This is the initial remit of a non-NCPDP claim originally submitted real-time without change to the adjudication.</t>
  </si>
  <si>
    <t>N513 — Alert: This is the initial remit of a non-NCPDP claim originally submitted real-time with a change to the adjudication.</t>
  </si>
  <si>
    <t>N516 — Records indicate a mismatch between the submitted NPI and EIN.</t>
  </si>
  <si>
    <t>N517 — Resubmit a new claim with the requested information.</t>
  </si>
  <si>
    <t>N518 — No separate payment for accessories when furnished for use with oxygen equipment.</t>
  </si>
  <si>
    <t>N519 — Invalid combination of HCPCS modifiers.</t>
  </si>
  <si>
    <t>N52 — Patient not enrolled in the billing provider's managed care plan on the date of service.</t>
  </si>
  <si>
    <t>N520 — Alert: Payment made from a Consumer Spending Account.</t>
  </si>
  <si>
    <t>N521 — Mismatch between the submitted provider information and the provider information stored in our system.</t>
  </si>
  <si>
    <t>N523 — The limitation on outlier payments defined by this payer for this service period has been met. The outlier payment otherwise applicable to this claim has not been paid.</t>
  </si>
  <si>
    <t>N524 — Based on policy this payment constitutes payment in full.</t>
  </si>
  <si>
    <t>N525 — These services are not covered when performed within the global period of another service.</t>
  </si>
  <si>
    <t>N526 — Not qualified for recovery based on employer size.</t>
  </si>
  <si>
    <t>N527 — We processed this claim as the primary payer prior to receiving the recovery demand.</t>
  </si>
  <si>
    <t>N528 — Patient is entitled to benefits for Institutional Services only.</t>
  </si>
  <si>
    <t>N529 — Patient is entitled to benefits for Professional Services only.</t>
  </si>
  <si>
    <t>N53 — Missing/incomplete/invalid point of pick-up address.</t>
  </si>
  <si>
    <t>N530 — Not Qualified for Recovery based on enrollment information.</t>
  </si>
  <si>
    <t>N531 — Not qualified for recovery based on direct payment of premium.</t>
  </si>
  <si>
    <t>N532 — Not qualified for recovery based on disability and working status.</t>
  </si>
  <si>
    <t>N533 — Services performed in an Indian Health Services facility under a self-insured tribal Group Health Plan.</t>
  </si>
  <si>
    <t>N534 — This is an individual policy, the employer does not participate in plan sponsorship.</t>
  </si>
  <si>
    <t>N535 — Payment is adjusted when procedure is performed in this place of service based on the submitted procedure code and place of service.</t>
  </si>
  <si>
    <t>N536 — We are not changing the prior payer's determination of patient responsibility, which you may collect, as this service is not covered by us.</t>
  </si>
  <si>
    <t>N537 — We have examined claims history and no records of the services have been found.</t>
  </si>
  <si>
    <t>N538 — A facility is responsible for payment to outside providers who furnish these services/supplies/drugs to its patients/residents.</t>
  </si>
  <si>
    <t>N539 — Alert: We processed appeals/waiver requests on your behalf and that request has been denied.</t>
  </si>
  <si>
    <t>N54 — Claim information is inconsistent with pre-certified/authorized services.</t>
  </si>
  <si>
    <t>N540 — Payment adjusted based on the interrupted stay policy.</t>
  </si>
  <si>
    <t>N541 — Mismatch between the submitted insurance type code and the information stored in our system.</t>
  </si>
  <si>
    <t>N542 — Missing income verification.</t>
  </si>
  <si>
    <t>N543 — Incomplete/invalid income verification.</t>
  </si>
  <si>
    <t>N544 — Alert: Although this was paid, you have billed with a referring/ordering provider that does not match our system record. Unless corrected this will not be paid in the future.</t>
  </si>
  <si>
    <t>N545 — Payment reduced based on status as an unsuccessful eprescriber per the Electronic Prescribing (eRx) Incentive Program.</t>
  </si>
  <si>
    <t>N546 — Payment represents a previous reduction based on the Electronic Prescribing (eRx) Incentive Program.</t>
  </si>
  <si>
    <t>N547 — A refund request (Frequency Type Code 8) was processed previously.</t>
  </si>
  <si>
    <t>N548 — Alert: Patient's calendar year deductible has been met.</t>
  </si>
  <si>
    <t>N549 — Alert: Patient's calendar year out-of-pocket maximum has been met.</t>
  </si>
  <si>
    <t>N55 — Procedures for billing with group/referring/performing providers were not followed.</t>
  </si>
  <si>
    <t>N550 — Alert: You have not responded to requests to revalidate your provider/supplier enrollment information. Your failure to revalidate your enrollment information will result in a payment hold in the near future.</t>
  </si>
  <si>
    <t>N551 — Payment adjusted based on the Ambulatory Surgical Center (ASC) Quality Reporting Program.</t>
  </si>
  <si>
    <t>N552 — Payment adjusted to reverse a previous withhold/bonus amount.</t>
  </si>
  <si>
    <t>N554 — Missing/Incomplete/Invalid Family Planning Indicator.</t>
  </si>
  <si>
    <t>N555 — Missing medication list.</t>
  </si>
  <si>
    <t>N556 — Incomplete/invalid medication list.</t>
  </si>
  <si>
    <t>N557 — This claim/service is not payable under our service area. The claim must be filed to the Payer/Plan in whose service area the specimen was collected.</t>
  </si>
  <si>
    <t>N558 — This claim/service is not payable under our service area. The claim must be filed to the Payer/Plan in whose service area the equipment was received.</t>
  </si>
  <si>
    <t>N559 — This claim/service is not payable under our service area. The claim must be filed to the Payer/Plan in whose service area the Ordering Physician is located.</t>
  </si>
  <si>
    <t>N56 — Procedure code billed is not correct/valid for the services billed or the date of service billed.</t>
  </si>
  <si>
    <t>N560 — The pilot program requires an interim or final claim within 60 days of the Notice of Admission. A claim was not received.</t>
  </si>
  <si>
    <t>N561 — The bundled claim originally submitted for this episode of care includes related readmissions. You may resubmit the original claim to receive a corrected payment based on this readmission.</t>
  </si>
  <si>
    <t>N562 — The provider number of your incoming claim does not match the provider number on the processed Notice of Admission (NOA) for this bundled payment.</t>
  </si>
  <si>
    <t>N563 — Alert: Missing required provider/supplier issuance of advance patient notice of non-coverage. The patient is not liable for payment for this service.</t>
  </si>
  <si>
    <t>N564 — Patient did not meet the inclusion criteria for the demonstration project or pilot program.</t>
  </si>
  <si>
    <t>N565 — Alert: This non-payable reporting code requires a modifier. Future claims containing this non-payable reporting code must include an appropriate modifier for the claim to be processed.</t>
  </si>
  <si>
    <t>N566 — Alert: This procedure code requires functional reporting. Future claims containing this procedure code must include an applicable non-payable code and appropriate modifiers for the claim to be processed.</t>
  </si>
  <si>
    <t>N567 — Not covered when considered preventative.</t>
  </si>
  <si>
    <t>N568 — Alert: Initial payment based on the Notice of Admission (NOA) under the Bundled Payment Model IV initiative.</t>
  </si>
  <si>
    <t>N569 — Not covered when performed for the reported diagnosis.</t>
  </si>
  <si>
    <t>N57 — Missing/incomplete/invalid prescribing date.</t>
  </si>
  <si>
    <t>N570 — Missing/incomplete/invalid credentialing data.</t>
  </si>
  <si>
    <t>N571 — Alert: Payment will be issued quarterly by another payer/contractor.</t>
  </si>
  <si>
    <t>N572 — This procedure is not payable unless appropriate non-payable reporting codes and associated modifiers are submitted.</t>
  </si>
  <si>
    <t>N573 — Alert: You have been overpaid and must refund the overpayment. The refund will be requested separately by another payer/contractor.</t>
  </si>
  <si>
    <t>N574 — Our records indicate the ordering/referring provider is of a type/specialty that cannot order or refer. Please verify that the claim ordering/referring provider information is accurate or contact the ordering/referring provider.</t>
  </si>
  <si>
    <t>N575 — Mismatch between the submitted ordering/referring provider name and the ordering/referring provider name stored in our records.</t>
  </si>
  <si>
    <t>N576 — Services not related to the specific incident/claim/accident/loss being reported.</t>
  </si>
  <si>
    <t>N577 — Personal Injury Protection (PIP) Coverage.</t>
  </si>
  <si>
    <t>N578 — Coverages do not apply to this loss.</t>
  </si>
  <si>
    <t>N579 — Medical Payments Coverage (MPC).</t>
  </si>
  <si>
    <t>N58 — Missing/incomplete/invalid patient liability amount.</t>
  </si>
  <si>
    <t>N580 — Determination based on the provisions of the insurance policy.</t>
  </si>
  <si>
    <t>N581 — Investigation of coverage eligibility is pending.</t>
  </si>
  <si>
    <t>N582 — Benefits suspended pending the patient's cooperation.</t>
  </si>
  <si>
    <t>N583 — Patient was not an occupant of our insured vehicle and therefore, is not an eligible injured person.</t>
  </si>
  <si>
    <t>N584 — Not covered based on the insured's noncompliance with policy or statutory conditions.</t>
  </si>
  <si>
    <t>N585 — Benefits are no longer available based on a final injury settlement.</t>
  </si>
  <si>
    <t>N586 — The injured party does not qualify for benefits.</t>
  </si>
  <si>
    <t>N587 — Policy benefits have been exhausted.</t>
  </si>
  <si>
    <t>N588 — The patient has instructed that medical claims/bills are not to be paid.</t>
  </si>
  <si>
    <t>N589 — Coverage is excluded to any person injured as a result of operating a motor vehicle while in an intoxicated condition or while the ability to operate such a vehicle is impaired by the use of a drug.</t>
  </si>
  <si>
    <t>N59 — Alert: Please refer to your provider manual for additional program and provider information.</t>
  </si>
  <si>
    <t>N590 — Missing independent medical exam detailing the cause of injuries sustained and medical necessity of services rendered.</t>
  </si>
  <si>
    <t>N591 — Payment based on an Independent Medical Examination (IME) or Utilization Review (UR).</t>
  </si>
  <si>
    <t>N592 — Adjusted because this is not the initial prescription or exceeds the amount allowed for the initial prescription.</t>
  </si>
  <si>
    <t>N593 — Not covered based on failure to attend a scheduled Independent Medical Exam (IME).</t>
  </si>
  <si>
    <t>N594 — Records reflect the injured party did not complete an Application for Benefits for this loss.</t>
  </si>
  <si>
    <t>N595 — Records reflect the injured party did not complete an Assignment of Benefits for this loss.</t>
  </si>
  <si>
    <t>N596 — Records reflect the injured party did not complete a Medical Authorization for this loss.</t>
  </si>
  <si>
    <t>N597 — Adjusted based on a medical/dental provider's apportionment of care between related injuries and other unrelated medical/dental conditions/injuries.</t>
  </si>
  <si>
    <t>N598 — Health care policy coverage is primary.</t>
  </si>
  <si>
    <t>N599 — Our payment for this service is based upon a reasonable amount pursuant to both the terms and conditions of the policy of insurance under which the subject claim is being made as well as the Florida No-Fault Statute, which permits, when determining a reasonable charge for a service, an insurer to consider usual and customary charges and payments accepted by the provider, reimbursement levels in the community and various federal and state fee schedules applicable to automobile and other insurance coverages, and other information relevant to the reasonableness of the reimbursement for the service. The payment for this service is based upon 200% of the Participating Level of Medicare Part B fee schedule for the locale in which the services were rendered.</t>
  </si>
  <si>
    <t>N6 — Under FEHB law (U.S.C. 8904(b)), we cannot pay more for covered care than the amount Medicare would have allowed if the patient were enrolled in Medicare Part A and/or Medicare Part B.</t>
  </si>
  <si>
    <t>N600 — Adjusted based on the applicable fee schedule for the region in which the service was rendered.</t>
  </si>
  <si>
    <t>N601 — In accordance with Hawaii Administrative Rules, Title 16, Chapter 23 Motor Vehicle Insurance Law payment is recommended based on Medicare Resource Based Relative Value Scale System applicable to Hawaii.</t>
  </si>
  <si>
    <t>N602 — Adjusted based on the Redbook maximum allowance.</t>
  </si>
  <si>
    <t>N603 — This fee is calculated according to the New Jersey medical fee schedules for Automobile Personal Injury Protection and Motor Bus Medical Expense Insurance Coverage.</t>
  </si>
  <si>
    <t>N604 — In accordance with New York No-Fault Law, Regulation 68, this base fee was calculated according to the New York Workers' Compensation Board Schedule of Medical Fees, pursuant to Regulation 83 and / or Appendix 17-C of 11 NYCRR.</t>
  </si>
  <si>
    <t>N605 — This fee was calculated based upon New York All Patients Refined Diagnosis Related Groups (APR-DRG), pursuant to Regulation 68.</t>
  </si>
  <si>
    <t>N606 — The Oregon allowed amount for this procedure is based upon the Workers Compensation Fee Schedule (OAR 436-009). The allowed amount has been calculated in accordance with Section 4 of ORS 742.524.</t>
  </si>
  <si>
    <t>N607 — Service provided for non-compensable condition(s).</t>
  </si>
  <si>
    <t>N608 — The fee schedule amount allowed is calculated at 110% of the Medicare Fee Schedule for this region, specialty and type of service. This fee is calculated in compliance with Act 6.</t>
  </si>
  <si>
    <t>N609 — 80% of the provider's billed amount is being recommended for payment according to Act 6.</t>
  </si>
  <si>
    <t>N61 — Rebill services on separate claims.</t>
  </si>
  <si>
    <t>N610 — Alert: Payment based on an appropriate level of care.</t>
  </si>
  <si>
    <t>N611 — Claim in litigation. Contact insurer for more information.</t>
  </si>
  <si>
    <t>N612 — Medical provider not authorized/certified to provide treatment to injured workers in this jurisdiction.</t>
  </si>
  <si>
    <t>N613 — Alert: Although this was paid, you have billed with an ordering provider that needs to update their enrollment record. Please verify that the ordering provider information you submitted on the claim is accurate and if it is, contact the ordering provider instructing them to update their enrollment record. Unless corrected, a claim with this ordering provider will not be paid in the future.</t>
  </si>
  <si>
    <t>N614 — Alert: Additional information is included in the 835 Healthcare Policy Identification Segment (loop 2110 Service Payment Information).</t>
  </si>
  <si>
    <t>N615 — Alert: This enrollee receiving advance payments of the premium tax credit is in the grace period of three consecutive months for non-payment of premium. Under 45 CFR 156.270, a Qualified Health Plan issuer must pay all appropriate claims for services rendered to the enrollee during the first month of the grace period and may pend claims for services rendered to the enrollee in the second and third months of the grace period.</t>
  </si>
  <si>
    <t>N616 — Alert: This enrollee is in the first month of the advance premium tax credit grace period.</t>
  </si>
  <si>
    <t>N617 — This enrollee is in the second or third month of the advance premium tax credit grace period.</t>
  </si>
  <si>
    <t>N618 — Alert: This claim will automatically be reprocessed if the enrollee pays their premiums.</t>
  </si>
  <si>
    <t>N619 — Coverage terminated for non-payment of premium.</t>
  </si>
  <si>
    <t>N62 — Dates of service span multiple rate periods. Resubmit separate claims.</t>
  </si>
  <si>
    <t>N620 — Alert: This procedure code is for quality reporting/informational purposes only.</t>
  </si>
  <si>
    <t>N621 — Charges for Jurisdiction required forms, reports, or chart notes are not payable.</t>
  </si>
  <si>
    <t>N622 — Not covered based on the date of injury/accident.</t>
  </si>
  <si>
    <t>N623 — Not covered when deemed unscientific/unproven/outmoded/experimental/excessive/inappropriate.</t>
  </si>
  <si>
    <t>N624 — The associated Workers' Compensation claim has been withdrawn.</t>
  </si>
  <si>
    <t>N625 — Missing/Incomplete/Invalid Workers' Compensation Claim Number.</t>
  </si>
  <si>
    <t>N626 — New or established patient E/M codes are not payable with chiropractic care codes.</t>
  </si>
  <si>
    <t>N628 — Out-patient follow up visits on the same date of service as a scheduled test or treatment is disallowed.</t>
  </si>
  <si>
    <t>N629 — Reviews/documentation/notes/summaries/reports/charts not requested.</t>
  </si>
  <si>
    <t>N63 — Rebill services on separate claim lines.</t>
  </si>
  <si>
    <t>N630 — Referral not authorized by attending physician.</t>
  </si>
  <si>
    <t>N631 — Medical Fee Schedule does not list this code. An allowance was made for a comparable service.</t>
  </si>
  <si>
    <t>N633 — Additional anesthesia time units are not allowed.</t>
  </si>
  <si>
    <t>N634 — The allowance is calculated based on anesthesia time units.</t>
  </si>
  <si>
    <t>N635 — The Allowance is calculated based on the anesthesia base units plus time.</t>
  </si>
  <si>
    <t>N636 — Adjusted because this is reimbursable only once per injury.</t>
  </si>
  <si>
    <t>N637 — Consultations are not allowed once treatment has been rendered by the same provider.</t>
  </si>
  <si>
    <t>N638 — Reimbursement has been made according to the home health fee schedule.</t>
  </si>
  <si>
    <t>N639 — Reimbursement has been made according to the inpatient rehabilitation facilities fee schedule.</t>
  </si>
  <si>
    <t>N64 — The 'from' and 'to' dates must be different.</t>
  </si>
  <si>
    <t>N640 — Exceeds number/frequency approved/allowed within time period.</t>
  </si>
  <si>
    <t>N641 — Reimbursement has been based on the number of body areas rated.</t>
  </si>
  <si>
    <t>N642 — Adjusted when billed as individual tests instead of as a panel.</t>
  </si>
  <si>
    <t>N643 — The services billed are considered Not Covered or Non-Covered (NC) in the applicable state fee schedule.</t>
  </si>
  <si>
    <t>N644 — Reimbursement has been made according to the bilateral procedure rule.</t>
  </si>
  <si>
    <t>N645 — Mark-up allowance.</t>
  </si>
  <si>
    <t>N646 — Reimbursement has been adjusted based on the guidelines for an assistant.</t>
  </si>
  <si>
    <t>N647 — Adjusted based on diagnosis-related group (DRG).</t>
  </si>
  <si>
    <t>N648 — Adjusted based on Stop Loss.</t>
  </si>
  <si>
    <t>N649 — Payment based on invoice.</t>
  </si>
  <si>
    <t>N65 — Procedure code or procedure rate count cannot be determined, or was not on file, for the date of service/provider.</t>
  </si>
  <si>
    <t>N650 — This policy was not in effect for this date of loss. No coverage is available.</t>
  </si>
  <si>
    <t>N651 — No Personal Injury Protection/Medical Payments Coverage on the policy at the time of the loss.</t>
  </si>
  <si>
    <t>N652 — The date of service is before the date of loss.</t>
  </si>
  <si>
    <t>N653 — The date of injury does not match the reported date of loss.</t>
  </si>
  <si>
    <t>N654 — Adjusted based on achievement of maximum medical improvement (MMI).</t>
  </si>
  <si>
    <t>N655 — Payment based on provider's geographic region.</t>
  </si>
  <si>
    <t>N656 — An interest payment is being made because benefits are being paid outside the statutory requirement.</t>
  </si>
  <si>
    <t>N657 — This should be billed with the appropriate code for these services.</t>
  </si>
  <si>
    <t>N658 — The billed service(s) are not considered medical expenses.</t>
  </si>
  <si>
    <t>N659 — This item is exempt from sales tax.</t>
  </si>
  <si>
    <t>N660 — Sales tax has been included in the reimbursement.</t>
  </si>
  <si>
    <t>N661 — Documentation does not support that the services rendered were medically necessary.</t>
  </si>
  <si>
    <t>N662 — Alert: Consideration of payment will be made upon receipt of a final bill.</t>
  </si>
  <si>
    <t>N663 — Adjusted based on an agreed amount.</t>
  </si>
  <si>
    <t>N664 — Adjusted based on a legal settlement.</t>
  </si>
  <si>
    <t>N665 — Services by an unlicensed provider are not reimbursable.</t>
  </si>
  <si>
    <t>N666 — Only one evaluation and management code at this service level is covered during the course of care.</t>
  </si>
  <si>
    <t>N667 — Missing prescription.</t>
  </si>
  <si>
    <t>N668 — Incomplete/invalid prescription.</t>
  </si>
  <si>
    <t>N669 — Adjusted based on the Medicare fee schedule.</t>
  </si>
  <si>
    <t>N67 — 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t>
  </si>
  <si>
    <t>N670 — This service code has been identified as the primary procedure code subject to the Medicare Multiple Procedure Payment Reduction (MPPR) rule.</t>
  </si>
  <si>
    <t>N671 — Payment based on a jurisdiction cost-charge ratio.</t>
  </si>
  <si>
    <t>N672 — Alert: Amount applied to Health Insurance Offset.</t>
  </si>
  <si>
    <t>N673 — Reimbursement has been calculated based on an outpatient per diem or an outpatient factor and/or fee schedule amount.</t>
  </si>
  <si>
    <t>N674 — Not covered unless a pre-requisite procedure/service has been provided.</t>
  </si>
  <si>
    <t>N675 — Additional information is required from the injured party.</t>
  </si>
  <si>
    <t>N676 — Service does not qualify for payment under the Outpatient Facility Fee Schedule.</t>
  </si>
  <si>
    <t>N677 — Alert: Films/Images will not be returned.</t>
  </si>
  <si>
    <t>N678 — Missing post-operative images/visual field results.</t>
  </si>
  <si>
    <t>N679 — Incomplete/Invalid post-operative images/visual field results.</t>
  </si>
  <si>
    <t>N68 — 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t>
  </si>
  <si>
    <t>N680 — Missing/Incomplete/Invalid date of previous dental extractions.</t>
  </si>
  <si>
    <t>N681 — Missing/Incomplete/Invalid full arch series.</t>
  </si>
  <si>
    <t>N682 — Missing/Incomplete/Invalid history of prior periodontal therapy/maintenance.</t>
  </si>
  <si>
    <t>N683 — Missing/Incomplete/Invalid prior treatment documentation.</t>
  </si>
  <si>
    <t>N684 — Payment denied as this is a specialty claim submitted as a general claim.</t>
  </si>
  <si>
    <t>N685 — Missing/Incomplete/Invalid Prosthesis, Crown or Inlay Code.</t>
  </si>
  <si>
    <t>N686 — Missing/incomplete/Invalid questionnaire needed to complete payment determination.</t>
  </si>
  <si>
    <t>N687 — Alert: This reversal is due to a retroactive disenrollment.</t>
  </si>
  <si>
    <t>N688 — Alert: This reversal is due to a medical or utilization review decision.</t>
  </si>
  <si>
    <t>N689 — Alert: This reversal is due to a retroactive rate change.</t>
  </si>
  <si>
    <t>N69 — Alert: PPS (Prospective Payment System) code changed by claims processing system.</t>
  </si>
  <si>
    <t>N690 — Alert: This reversal is due to a provider submitted appeal.</t>
  </si>
  <si>
    <t>N691 — Alert: This reversal is due to a patient submitted appeal.</t>
  </si>
  <si>
    <t>N692 — Alert: This reversal is due to an incorrect rate on the initial adjudication.</t>
  </si>
  <si>
    <t>N693 — Alert: This reversal is due to a cancellation of the claim by the provider.</t>
  </si>
  <si>
    <t>N694 — Alert: This reversal is due to a resubmission/change to the claim by the provider.</t>
  </si>
  <si>
    <t>N695 — Alert: This reversal is due to incorrect patient financial responsibility information on the initial adjudication.</t>
  </si>
  <si>
    <t>N696 — Alert: This reversal is due to a Coordination of Benefits or Third Party Liability Recovery retroactive adjustment.</t>
  </si>
  <si>
    <t>N697 — Alert: This reversal is due to a payer's retroactive contract incentive program adjustment.</t>
  </si>
  <si>
    <t>N698 — Alert: This reversal is due to non-payment of the health insurance premiums (Health Insurance Exchange or other) by the end of the premium payment grace period, resulting in loss of coverage.</t>
  </si>
  <si>
    <t>N699 — Payment adjusted based on the Physician Quality Reporting System (PQRS) Incentive Program.</t>
  </si>
  <si>
    <t>N7 — Alert: Processing of this claim/service has included consideration under Major Medical provisions.</t>
  </si>
  <si>
    <t>N70 — Consolidated billing and payment applies.</t>
  </si>
  <si>
    <t>N700 — Payment adjusted based on the Electronic Health Records (EHR) Incentive Program.</t>
  </si>
  <si>
    <t>N701 — Payment adjusted based on the Value-based Payment Modifier.</t>
  </si>
  <si>
    <t>N702 — Decision based on review of previously adjudicated claims or for claims in process for the same/similar type of services.</t>
  </si>
  <si>
    <t>N703 — This service is incompatible with previously adjudicated claims or claims in process.</t>
  </si>
  <si>
    <t>N704 — Alert: You may not appeal this decision but can resubmit this claim/service with corrected information if warranted.</t>
  </si>
  <si>
    <t>N705 — Incomplete/invalid documentation.</t>
  </si>
  <si>
    <t>N706 — Missing documentation.</t>
  </si>
  <si>
    <t>N707 — Incomplete/invalid orders.</t>
  </si>
  <si>
    <t>N708 — Missing orders.</t>
  </si>
  <si>
    <t>N709 — Incomplete/invalid notes.</t>
  </si>
  <si>
    <t>N71 — Your unassigned claim for a drug or biological, clinical diagnostic laboratory services or ambulance service was processed as an assigned claim. You are required by law to accept assignment for these types of claims.</t>
  </si>
  <si>
    <t>N710 — Missing notes.</t>
  </si>
  <si>
    <t>N711 — Incomplete/invalid summary.</t>
  </si>
  <si>
    <t>N712 — Missing summary.</t>
  </si>
  <si>
    <t>N713 — Incomplete/invalid report.</t>
  </si>
  <si>
    <t>N714 — Missing report.</t>
  </si>
  <si>
    <t>N715 — Incomplete/invalid chart.</t>
  </si>
  <si>
    <t>N716 — Missing chart.</t>
  </si>
  <si>
    <t>N717 — Incomplete/Invalid documentation of face-to-face examination.</t>
  </si>
  <si>
    <t>N718 — Missing documentation of face-to-face examination.</t>
  </si>
  <si>
    <t>N719 — Penalty applied based on plan requirements not being met.</t>
  </si>
  <si>
    <t>N72 — PPS (Prospective Payment System) code changed by medical reviewers. Not supported by clinical records.</t>
  </si>
  <si>
    <t>N720 — Alert: The patient overpaid you. You may need to issue the patient a refund for the difference between the patient's payment and the amount shown as patient responsibility on this notice.</t>
  </si>
  <si>
    <t>N721 — This service is only covered when performed as part of a clinical trial.</t>
  </si>
  <si>
    <t>N722 — Patient must use Workers' Compensation Set-Aside (WCSA) funds to pay for the medical service or item.</t>
  </si>
  <si>
    <t>N723 — Patient must use Liability set-aside (LSA) funds to pay for the medical service or item.</t>
  </si>
  <si>
    <t>N724 — Patient must use No-Fault set-aside (NFSA) funds to pay for the medical service or item.</t>
  </si>
  <si>
    <t>N725 — A liability insurer has reported having ongoing responsibility for medical services (ORM) for this diagnosis.</t>
  </si>
  <si>
    <t>N726 — A conditional payment is not allowed.</t>
  </si>
  <si>
    <t>N727 — A no-fault insurer has reported having ongoing responsibility for medical services (ORM) for this diagnosis.</t>
  </si>
  <si>
    <t>N728 — A workers' compensation insurer has reported having ongoing responsibility for medical services (ORM) for this diagnosis.</t>
  </si>
  <si>
    <t>N729 — Missing patient medical/dental record for this service.</t>
  </si>
  <si>
    <t>N730 — Incomplete/invalid patient medical/dental record for this service.</t>
  </si>
  <si>
    <t>N731 — Incomplete/Invalid mental health assessment.</t>
  </si>
  <si>
    <t>N732 — Services performed at an unlicensed facility are not reimbursable.</t>
  </si>
  <si>
    <t>N733 — Regulatory surcharges are paid directly to the state.</t>
  </si>
  <si>
    <t>N734 — The patient is eligible for these medical services only when unable to work or perform normal activities due to an illness or injury.</t>
  </si>
  <si>
    <t>N736 — Incomplete/invalid Sleep Study Report.</t>
  </si>
  <si>
    <t>N737 — Missing Sleep Study Report.</t>
  </si>
  <si>
    <t>N738 — Incomplete/invalid Vein Study Report.</t>
  </si>
  <si>
    <t>N739 — Missing Vein Study Report.</t>
  </si>
  <si>
    <t>N74 — Resubmit with multiple claims, each claim covering services provided in only one calendar month.</t>
  </si>
  <si>
    <t>N740 — The member's Consumer Spending Account does not contain sufficient funds to cover the member's liability for this claim/service.</t>
  </si>
  <si>
    <t>N741 — This is a site neutral payment.</t>
  </si>
  <si>
    <t>N743 — Adjusted because the services may be related to an employment accident.</t>
  </si>
  <si>
    <t>N744 — Adjusted because the services may be related to an auto/other accident.</t>
  </si>
  <si>
    <t>N745 — Missing Ambulance Report.</t>
  </si>
  <si>
    <t>N746 — Incomplete/invalid Ambulance Report.</t>
  </si>
  <si>
    <t>N747 — This is a misdirected claim/service. Submit the claim to the payer/plan where the patient resides.</t>
  </si>
  <si>
    <t>N748 — Adjusted because the related hospital charges have not been received.</t>
  </si>
  <si>
    <t>N749 — Missing Blood Gas Report.</t>
  </si>
  <si>
    <t>N75 — Missing/incomplete/invalid tooth surface information.</t>
  </si>
  <si>
    <t>N750 — Incomplete/invalid Blood Gas Report.</t>
  </si>
  <si>
    <t>N751 — Adjusted because the patient is covered under a Medicare Part D plan.</t>
  </si>
  <si>
    <t>N752 — Missing/incomplete/invalid HIPPS Treatment Authorization Code (TAC).</t>
  </si>
  <si>
    <t>N753 — Missing/incomplete/invalid Attachment Control Number.</t>
  </si>
  <si>
    <t>N754 — Missing/incomplete/invalid Referring Provider or Other Source Qualifier on the 1500 Claim Form.</t>
  </si>
  <si>
    <t>N755 — Missing/incomplete/invalid ICD Indicator.</t>
  </si>
  <si>
    <t>N756 — Missing/incomplete/invalid point of drop-off address.</t>
  </si>
  <si>
    <t>N757 — Adjusted based on the Federal Indian Fees schedule (MLR).</t>
  </si>
  <si>
    <t>N758 — Adjusted based on the prior authorization decision.</t>
  </si>
  <si>
    <t>N759 — Payment adjusted based on the National Electrical Manufacturers Association (NEMA) Standard XR-29-2013.</t>
  </si>
  <si>
    <t>N76 — Missing/incomplete/invalid number of riders.</t>
  </si>
  <si>
    <t>N760 — This facility is not authorized to receive payment for the service(s).</t>
  </si>
  <si>
    <t>N761 — This provider is not authorized to receive payment for the service(s).</t>
  </si>
  <si>
    <t>N762 — This facility is not certified for Tomosynthesis (3-D) mammography.</t>
  </si>
  <si>
    <t>N763 — The demonstration code is not appropriate for this claim; resubmit without a demonstration code.</t>
  </si>
  <si>
    <t>N764 — Missing/incomplete/invalid Hematocrit (HCT) value.</t>
  </si>
  <si>
    <t>N765 — This payer does not cover coinsurance assessed by a previous payer.</t>
  </si>
  <si>
    <t>N766 — This payer does not cover co-payment assessed by a previous payer.</t>
  </si>
  <si>
    <t>N767 — The Medicaid state requires provider to be enrolled in the member's Medicaid state program prior to any claim benefits being processed.</t>
  </si>
  <si>
    <t>N768 — Incomplete/invalid initial evaluation report.</t>
  </si>
  <si>
    <t>N769 — A lateral diagnosis is required.</t>
  </si>
  <si>
    <t>N77 — Missing/incomplete/invalid designated provider number.</t>
  </si>
  <si>
    <t>N770 — The adjustment request received from the provider has been processed. Your original claim has been adjusted based on the information received.</t>
  </si>
  <si>
    <t>N771 — Alert: Under Federal law you cannot charge more than the limiting charge amount.</t>
  </si>
  <si>
    <t>N772 — Alert: Rebill urgent/emergent and ancillary services separately.</t>
  </si>
  <si>
    <t>N773 — Drug supplied not obtained from specialty vendor.</t>
  </si>
  <si>
    <t>N774 — Alert: Refer to your Third Party Processor Agreement for specific information on fees associated with this payment type.</t>
  </si>
  <si>
    <t>N775 — Payment adjusted based on x-ray radiograph on film.</t>
  </si>
  <si>
    <t>N776 — This service is not a covered Telehealth service.</t>
  </si>
  <si>
    <t>N777 — Missing Assignment of Benefits Indicator.</t>
  </si>
  <si>
    <t>N778 — Missing Primary Care Physician Information.</t>
  </si>
  <si>
    <t>N779 — Replacement/Void claims cannot be submitted until the original claim has finalized. Please resubmit once payment or denial is received.</t>
  </si>
  <si>
    <t>N78 — The necessary components of the child and teen checkup (EPSDT) were not completed.</t>
  </si>
  <si>
    <t>N780 — Missing/incomplete/invalid end therapy date.</t>
  </si>
  <si>
    <t>N781 — Alert: Patient is a Medicaid/ Qualified Medicare Beneficiary. Review your records for any wrongfully collected deductible. This amount may be billed to a subsequent payer.</t>
  </si>
  <si>
    <t>N782 — Alert: Patient is a Medicaid/ Qualified Medicare Beneficiary. Review your records for any wrongfully collected coinsurance. This amount may be billed to a subsequent payer.</t>
  </si>
  <si>
    <t>N783 — Alert: Patient is a Medicaid/ Qualified Medicare Beneficiary. Review your records for any wrongfully collected copayment. This amount may be billed to a subsequent payer.</t>
  </si>
  <si>
    <t>N784 — Missing comprehensive procedure code.</t>
  </si>
  <si>
    <t>N785 — Missing current radiology film/images.</t>
  </si>
  <si>
    <t>N786 — Benefit limitation for the orthodontic active and/or retention phase of treatment.</t>
  </si>
  <si>
    <t>N787 — Alert: Under 42 CFR 410.43, an eligible Partial Hospitalization Program (PHP) patient/beneficiary requires a minimum of 20 hours of PHP services per week, as evidenced in the plan of care. PHP services must be furnished in accordance with the plan of care.</t>
  </si>
  <si>
    <t>N788 — Alert: The third-party administrator/review organization did not receive the required information.</t>
  </si>
  <si>
    <t>N789 — Clinical Trial is not a covered benefit.</t>
  </si>
  <si>
    <t>N79 — Service billed is not compatible with patient location information.</t>
  </si>
  <si>
    <t>N790 — Provider/supplier not accredited for product/service.</t>
  </si>
  <si>
    <t>N791 — Missing history &amp; physical report.</t>
  </si>
  <si>
    <t>N792 — Incomplete/invalid history &amp; physical report.</t>
  </si>
  <si>
    <t>N794 — Payment adjusted based on type of technology used.</t>
  </si>
  <si>
    <t>N795 — Item must be resubmitted as a purchase.</t>
  </si>
  <si>
    <t>N796 — Missing/incomplete/invalid Hemoglobin (Hb or Hgb) value.</t>
  </si>
  <si>
    <t>N797 — Missing/incomplete/invalid date qualifier.</t>
  </si>
  <si>
    <t>N798 — Submit a void request for the original claim and resubmit a new claim.</t>
  </si>
  <si>
    <t>N799 — Submitted identifier must be an individual identifier, not group identifier.</t>
  </si>
  <si>
    <t>N8 — Crossover claim denied by previous payer and complete claim data not forwarded. Resubmit this claim to this payer to provide adequate data for adjudication.</t>
  </si>
  <si>
    <t>N80 — Missing/incomplete/invalid prenatal screening information.</t>
  </si>
  <si>
    <t>N800 — Only one service date is allowed per claim.</t>
  </si>
  <si>
    <t>N801 — Services performed in a Medicare participating or CAH facility under a self-insured tribal Group Health Plan, in accordance with Federal Regulation 42 CFR 136.</t>
  </si>
  <si>
    <t>N802 — This claim/service is not payable under our service area. The claim must be filed to the Payer/Plan in whose service area the Rendering Physician is located.</t>
  </si>
  <si>
    <t>N803 — Submission of the claim for the service rendered is the responsibility of the Contracted Medical Group or Hospital.</t>
  </si>
  <si>
    <t>N804 — Alert: The claim/service was processed through the Outpatient Code Editor (OCE).</t>
  </si>
  <si>
    <t>N805 — Alert: The claim/service was processed through the Correct Code Editor (CCE).</t>
  </si>
  <si>
    <t>N806 — Payment is included in the Global transplant allowance.</t>
  </si>
  <si>
    <t>N807 — Payment adjustment based on the Merit-based Incentive Payment System (MIPS).</t>
  </si>
  <si>
    <t>N808 — Not covered for this provider type / provider specialty.</t>
  </si>
  <si>
    <t>N809 — Alert: The fee schedule amount for this service was adjusted based on prior competitive bidding rates. For more information, contact your local contractor.</t>
  </si>
  <si>
    <t>N81 — Procedure billed is not compatible with tooth surface code.</t>
  </si>
  <si>
    <t>N810 — Alert: Due to federal, state or local disaster declaration, this claim has been processed at the in-network level of benefit. At the conclusion or expiration of the disaster declaration, network payment rules will be reinstated.</t>
  </si>
  <si>
    <t>N811 — Missing Federal Sequestration Reduction from Prior Payer.</t>
  </si>
  <si>
    <t>N812 — The start service date through end service date cannot span greater than 18 months.</t>
  </si>
  <si>
    <t>N815 — Missing/Incomplete/Invalid NDC Unit Count</t>
  </si>
  <si>
    <t>N816 — Missing/Incomplete/Invalid NDC Unit of Measure</t>
  </si>
  <si>
    <t>N817 — Alert: Applicable laboratories are required to collect and report private payor data and report that data to CMS between January 1, 2020 - March 31, 2020.</t>
  </si>
  <si>
    <t>N818 — Claims Dates of Service do not match Electronic Visit Verification System.</t>
  </si>
  <si>
    <t>N819 — Patient not enrolled in Electronic Visit Verification System.</t>
  </si>
  <si>
    <t>N82 — Provider must accept insurance payment as payment in full when a third party payer contract specifies full reimbursement.</t>
  </si>
  <si>
    <t>N820 — Electronic Visit Verification System units do not meet requirements of visit.</t>
  </si>
  <si>
    <t>N821 — Electronic Visit Verification System visit not found.</t>
  </si>
  <si>
    <t>N822 — Missing procedure modifier(s).</t>
  </si>
  <si>
    <t>N823 — Incomplete/Invalid procedure modifier(s).</t>
  </si>
  <si>
    <t>N824 — Electronic Visit Verification (EVV) data must be submitted through EVV Vendor.</t>
  </si>
  <si>
    <t>N825 — Early intervention guidelines were not met.</t>
  </si>
  <si>
    <t>N826 — Patient did not meet the inclusion criteria for the Medicare Shared Savings Program.</t>
  </si>
  <si>
    <t>N827 — Missing/Incomplete/Invalid Federal Information Processing Standard (FIPS) Code.</t>
  </si>
  <si>
    <t>N828 — Alert: Payment is suppressed due to a contracted funding.</t>
  </si>
  <si>
    <t>N829 — Missing/incomplete/invalid Diagnostics Exchange Z-Code Identifier.</t>
  </si>
  <si>
    <t>N83 — No appeal rights. Adjudicative decision based on the provisions of a demonstration project.</t>
  </si>
  <si>
    <t>N830 — Alert: The charge[s] for this service was processed in accordance with Federal/ State, Balance Billing/ No Surprise Billing regulations. As such, any amount identified with OA, CO, or PI cannot be collected from the member and may be considered provider liability or be billable to a subsequent payer. Any amount the provider collected over the identified PR amount must be refunded to the patient within applicable Federal/State timeframes. Payment amounts are eligible for dispute pursuant to any Federal/State documented appeal/grievance process(es).</t>
  </si>
  <si>
    <t>N831 — You have not responded to requests to revalidate your provider/supplier enrollment information.</t>
  </si>
  <si>
    <t>N832 — Duplicate occurrence code/occurrence span code.</t>
  </si>
  <si>
    <t>N833 — Patient share of cost waived.</t>
  </si>
  <si>
    <t>N834 — Jurisdiction exempt from sales and health tax charges.</t>
  </si>
  <si>
    <t>N835 — Unrelated Service/procedure/treatment is reduced. The balance of this charge is the patient's responsibility.</t>
  </si>
  <si>
    <t>N836 — Provider W9 or Payee Registration not on file.</t>
  </si>
  <si>
    <t>N837 — Alert: Missing modifier was added.</t>
  </si>
  <si>
    <t>N838 — Alert: Service/procedure postponed due to a federal, state, or local mandate/disaster declaration. Any amounts applied to deductible or member liability will be applied to the prior plan year from which the procedure was cancelled.</t>
  </si>
  <si>
    <t>N839 — The procedure code was added/changed because the level of service exceeds the compensable condition(s).</t>
  </si>
  <si>
    <t>N84 — Alert: Further installment payments are forthcoming.</t>
  </si>
  <si>
    <t>N840 — Worker's compensation claim filed with a different state.</t>
  </si>
  <si>
    <t>N841 — Alert: North Dakota Administrative Rule 92-01-02-50.3.</t>
  </si>
  <si>
    <t>N842 — Alert: Patient cannot be billed for charges.</t>
  </si>
  <si>
    <t>N843 — Missing/incomplete/invalid Core-Based Statistical Area (CBSA) code.</t>
  </si>
  <si>
    <t>N844 — This claim, or a portion of this claim, was processed in accordance with the Nebraska Legislative LB997 July 24, 2020 - Out of Network Emergency Medical Care Act.</t>
  </si>
  <si>
    <t>N845 — Alert: Nebraska Legislative LB997 July 24, 2020 - Out of Network Emergency Medical Care Act.</t>
  </si>
  <si>
    <t>N846 — National Drug Code (NDC) supplied does not correspond to the HCPCs/CPT billed.</t>
  </si>
  <si>
    <t>N847 — National Drug Code (NDC) billed is obsolete.</t>
  </si>
  <si>
    <t>N848 — National Drug Code (NDC) billed cannot be associated with a product.</t>
  </si>
  <si>
    <t>N849 — Missing Tooth Clause: Tooth missing prior to the member effective date.</t>
  </si>
  <si>
    <t>N85 — Alert: This is the final installment payment.</t>
  </si>
  <si>
    <t>N850 — Missing/incomplete/invalid narrative explaining/describing this service/treatment.</t>
  </si>
  <si>
    <t>N851 — Payment reduced because services were furnished by a therapy assistant.</t>
  </si>
  <si>
    <t>N852 — The pay-to and rendering provider tax identification numbers (TINs) do not match</t>
  </si>
  <si>
    <t>N853 — The number of modalities performed per session exceeds our acceptable maximum.</t>
  </si>
  <si>
    <t>N854 — Alert: If you have primary other health insurance (OHI) coverage that has denied services, you must exhaust all appeal levels with your primary OHI before we can consider your claim for reimbursement.</t>
  </si>
  <si>
    <t>N855 — This coverage is subject to the exclusive jurisdiction of ERISA (1974), U.S.C. SEC 1001.</t>
  </si>
  <si>
    <t>N856 — This coverage is not subject to the exclusive jurisdiction of ERISA (1974), U.S.C. SEC 1001.</t>
  </si>
  <si>
    <t>N857 — This claim has been adjusted/reversed. Refund any collected copayment to the member.</t>
  </si>
  <si>
    <t>N858 — Alert: State regulations relating to an Out of Network Medical Emergency Care Act were applied to the processing of this claim. Payment amounts are eligible for dispute following the state's documented appeal/ grievance/ arbitration process.</t>
  </si>
  <si>
    <t>N859 — Alert: The Federal No Surprise Billing Act was applied to the processing of this claim. Payment amounts are eligible for dispute pursuant to any Federal documented appeal/ grievance/ dispute resolution process(es).</t>
  </si>
  <si>
    <t>N86 — A failed trial of pelvic muscle exercise training is required in order for biofeedback training for the treatment of urinary incontinence to be covered.</t>
  </si>
  <si>
    <t>N860 — Alert: The Federal No Surprise Billing Act Qualified Payment Amount (QPA) was used to calculate the member cost share(s).</t>
  </si>
  <si>
    <t>N861 — Alert: Mismatch between the submitted Patient Liability/Share of Cost and the amount on record for this recipient.</t>
  </si>
  <si>
    <t>N862 — Alert: Member cost share is in compliance with the No Surprises Act, and is calculated using the lesser of the QPA or billed charge.</t>
  </si>
  <si>
    <t>N863 — Alert: This claim is subject to the No Surprises Act (NSA). The amount paid is the final out-of-network rate and was calculated based on an All Payer Model Agreement, in accordance with the NSA.</t>
  </si>
  <si>
    <t>N864 — Alert: This claim is subject to the No Surprises Act provisions that apply to emergency services.</t>
  </si>
  <si>
    <t>N865 — Alert: This claim is subject to the No Surprises Act provisions that apply to nonemergency services furnished by nonparticipating providers during a patient visit to a participating facility.</t>
  </si>
  <si>
    <t>N866 — Alert: This claim is subject to the No Surprises Act provisions that apply to services furnished by nonparticipating providers of air ambulance services.</t>
  </si>
  <si>
    <t>N867 — Alert: Cost sharing was calculated based on a specified state law, in accordance with the No Surprises Act.</t>
  </si>
  <si>
    <t>N868 — Alert: Cost sharing was calculated based on an All-Payer Model Agreement, in accordance with the No Surprises Act.</t>
  </si>
  <si>
    <t>N869 — Alert: Cost sharing was calculated based on the qualifying payment amount, in accordance with the No Surprises Act.</t>
  </si>
  <si>
    <t>N87 — Home use of biofeedback therapy is not covered.</t>
  </si>
  <si>
    <t>N870 — Alert: In accordance with the No Surprises Act, cost sharing was based on the billed amount because the billed amount was lower than the qualifying payment amount.</t>
  </si>
  <si>
    <t>N871 — Alert: This initial payment was calculated based on a specified state law, in accordance with the No Surprises Act.</t>
  </si>
  <si>
    <t>N872 — Alert: This final payment was calculated based on a specified state law, in accordance with the No Surprises Act.</t>
  </si>
  <si>
    <t>N873 — Alert: This final payment was calculated based on an All-Payer Model Agreement, in accordance with the No Surprises Act.</t>
  </si>
  <si>
    <t>N874 — Alert: This final payment was determined through open negotiation, in accordance with the No Surprises Act.</t>
  </si>
  <si>
    <t>N875 — Alert: This final payment equals the amount selected as the out-of-network rate by a Federal Independent Dispute Resolution Entity, in accordance with the No Surprises Act.</t>
  </si>
  <si>
    <t>N876 — Alert: This item or service is covered under the plan. This is a notice of denial of payment provided in accordance with the No Surprises Act. The provider or facility may initiate open negotiation if they desire to negotiate a higher out-of-network rate than the amount paid by the patient in cost sharing.</t>
  </si>
  <si>
    <t>N877 — Alert: This initial payment is provided in accordance with the No Surprises Act. The provider or facility may initiate open negotiation if they desire to negotiate a higher out-of-network rate.</t>
  </si>
  <si>
    <t>N878 — Alert: The provider or facility specified that notice was provided and consent to balance bill obtained, but notice and consent was not provided and obtained in a manner consistent with applicable Federal law. Thus, cost sharing and the total amount paid have been calculated based on the requirements under the No Surprises Act, and balance billing is prohibited.</t>
  </si>
  <si>
    <t>N879 — Alert: The notice and consent to balance bill, and to be charged out-of-network cost sharing, that was obtained from the patient with regard to the billed services, is not permitted for these services. Thus, cost sharing and the total amount paid have been calculated based on the requirements under the No Surprises Act, and balance billing is prohibited.</t>
  </si>
  <si>
    <t>N88 — Alert: 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</si>
  <si>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N880 — Original claim closed due to changes in submitted data. Adjustment claim will be processed under a new claim number.</t>
  </si>
  <si>
    <t>N881 — Client Obligation, patient responsibility for Home &amp; Community Based Services (HCBS)</t>
  </si>
  <si>
    <t>N882 — Alert: The out-of-network payment and cost sharing amounts were based on the plan's allowance because the provider or facility obtained the patient's consent to waive the balance billing protections under the No Surprises Act.</t>
  </si>
  <si>
    <t>N883 — Alert: Processed according to state law</t>
  </si>
  <si>
    <t>N884 — Alert: The No Surprises Act may apply to this claim. Please contact payer for instructions on how to submit information regarding whether or not the item or service was furnished during a patient visit to a participating facility.</t>
  </si>
  <si>
    <t>N885 — Alert: This claim was not processed in accordance with the No Surprises Act cost-sharing or out-of-network payment requirements. The payer disagrees with your determination that those requirements apply. You may contact the payer to find out why it disagrees. You may appeal this adverse determination on behalf of the patient through the payer’s internal appeals and external review processes.</t>
  </si>
  <si>
    <t>N886 — Alert: A Health Care Claim Request for Additional Information (277 RFAI) has been sent.</t>
  </si>
  <si>
    <t>N887 — Providers not participating in the Medicare Advantage Plan have the right to appeal if the plan has partially or fully denied payment or if the provider believes the plan has not paid the services at the expected Medicare reimbursable rate or type of level/service. Providers may file their appeal in writing within 60 calendar days after the date of the remittance advice. For the plan to review the appeal, the plan will need a completed signed Waiver of Liability Statement. To obtain a Waiver of Liability form, please contact your Medicare Advantage Plan.</t>
  </si>
  <si>
    <t>N888 — Alert: An electronic request for additional information has been sent for this claim.</t>
  </si>
  <si>
    <t>N889 — Alert: This claim was originally processed in real-time, and we sent a real-time 835 response.</t>
  </si>
  <si>
    <t>N89 — Alert: Payment information for this claim has been forwarded to more than one other payer, but format limitations permit only one of the secondary payers to be identified in this remittance advice.</t>
  </si>
  <si>
    <t>N890 — Electronic Visit Verification Data Element Requirements were not met.</t>
  </si>
  <si>
    <t>N891 — The maximum allowable payment for this service/procedure was paid by the primary insurance. No further payment due.</t>
  </si>
  <si>
    <t>N892 — The claim does not meet the criteria for acceptable use of the Delay Reason Code.</t>
  </si>
  <si>
    <t>N893 — Missing/incomplete/invalid child medical evaluation form/checklist.</t>
  </si>
  <si>
    <t>N894 — Alert: These payments are made subject to a reservation of rights for the Payor to recoup or otherwise recover all or part of these payments based on any of the following: outcome of pending or future litigation/ new or updated state, federal or regulatory guidance/ any other actions that may affect the Payor's obligation to make these payments.</t>
  </si>
  <si>
    <t>N895 — Processed based on a negotiated fee schedule for a specialty drug program.</t>
  </si>
  <si>
    <t>N896 — Missing/incomplete/invalid trauma activation sheet.</t>
  </si>
  <si>
    <t>N897 — Missing/incomplete/invalid proof of member payment.</t>
  </si>
  <si>
    <t>N898 — Missing/incomplete/invalid Resource Utilization Group(s) (RUG) code(s).</t>
  </si>
  <si>
    <t>N899 — Missing Initial Evaluation Report.</t>
  </si>
  <si>
    <t>N9 — Adjustment represents the estimated amount a previous payer may pay.</t>
  </si>
  <si>
    <t>N90 — Covered only when performed by the attending physician.</t>
  </si>
  <si>
    <t>N900 — Missing Therapy Notes/Report.</t>
  </si>
  <si>
    <t>N901 — Incomplete/Invalid Therapy Notes/Report.</t>
  </si>
  <si>
    <t>N902 — Missing Health Risk Assessment (HRA).</t>
  </si>
  <si>
    <t>N903 — Incomplete/Invalid Health Risk Assessment (HRA).</t>
  </si>
  <si>
    <t>N904 — The transportation vendor is responsible for this claim.</t>
  </si>
  <si>
    <t>N905 — Our records show you have opted out of Medicare, agreeing with the patient not to bill Medicare for services/tests/supplies furnished. As result, we cannot pay this claim. The patient is not responsible for payment.</t>
  </si>
  <si>
    <t>N906 — Service is not covered when patient is under age 45.</t>
  </si>
  <si>
    <t>N907 — No refund because this claim has been identified as 340B-eligible with a ceiling price lower than the maximum fair price.</t>
  </si>
  <si>
    <t>N908 — No refund because this drug has been prospectively purchased at the maximum fair price.</t>
  </si>
  <si>
    <t>N909 — Refund amount has been calculated using a methodology that differs from the Standard Default Refund Amount calculation ((Wholesale Acquisition Cost minus Maximum Fair Price) times Quantity).</t>
  </si>
  <si>
    <t>N91 — Services not included in the appeal review.</t>
  </si>
  <si>
    <t>N910 — A refund cannot be provided for this claim at this time. Contact the manufacturer directly regarding your eligibility.</t>
  </si>
  <si>
    <t>N911 — This claim cannot be reimbursed by the manufacturer until the Part D plan submits corrected prescription drug event data to CMS for maximum fair price validation.</t>
  </si>
  <si>
    <t>N912 — Our records indicate that this beneficiary did not elect hospice.</t>
  </si>
  <si>
    <t>N913 — More than one Electronic Visit Verification record exists for the date and time of this service.</t>
  </si>
  <si>
    <t>N914 — This claim was priced and processed in accordance with California AB-72 Health care coverage.</t>
  </si>
  <si>
    <t>N915 — Predetermination of services is not allowed under the member's plan.</t>
  </si>
  <si>
    <t>N916 — The third party will render payment to the provider, and they will reimburse you for covered services.</t>
  </si>
  <si>
    <t>N92 — This facility is not certified for digital mammography.</t>
  </si>
  <si>
    <t>N93 — A separate claim must be submitted for each place of service. Services furnished at multiple sites may not be billed in the same claim.</t>
  </si>
  <si>
    <t>N94 — Claim/Service denied because a more specific taxonomy code is required for adjudication.</t>
  </si>
  <si>
    <t>N95 — This provider type/provider specialty may not bill this service.</t>
  </si>
  <si>
    <t>N96 — Patient must be refractory to conventional therapy (documented behavioral, pharmacologic and/or surgical corrective therapy) and be an appropriate surgical candidate such that implantation with anesthesia can occur.</t>
  </si>
  <si>
    <t>N97 — Patients with stress incontinence, urinary obstruction, and specific neurologic diseases (e.g., diabetes with peripheral nerve involvement) which are associated with secondary manifestations of the above three indications are excluded.</t>
  </si>
  <si>
    <t>N98 — Patient must have had a successful test stimulation in order to support subsequent implantation. Before a patient is eligible for permanent implantation, he/she must demonstrate a 50 percent or greater improvement through test stimulation. Improvement is measured through voiding diaries.</t>
  </si>
  <si>
    <t>N99 — Patient must be able to demonstrate adequate ability to record voiding diary data such that clinical results of the implant procedure can be properly evaluated.</t>
  </si>
  <si>
    <t>• Provider billed secondary payer prematurely before crossover completed
• Duplicate claim submission from billing system
• Patient insurance sequence not verified properly</t>
  </si>
  <si>
    <t>• Verify crossover indicator in ERA before rebilling
• Monitor payer acknowledgment reports before resubmission</t>
  </si>
  <si>
    <t>• Check Medicare crossover confirmation (ERA/EOB remark)
• Confirm if secondary payer received claim via crossover
• Do not rebill if crossover pending or completed
• Rebill only if crossover failed and payer confirms resubmission required
• Adjust duplicate claim if already processed</t>
  </si>
  <si>
    <t>N522 — Duplicate of a claim processed, as a crossover claim.</t>
  </si>
  <si>
    <t>REAL SCENARIOS</t>
  </si>
  <si>
    <t>The claim is an exact duplicate of one already processed or in process (same patient, date of service, provider, codes, etc.). No payment issued; often seen in general duplicates or Medicare crossover cases where claim was auto-forwarded.</t>
  </si>
  <si>
    <t>• Resubmitted identical claim by mistake or due to system glitch.
• Billed same procedure twice without modifier (e.g., two identical office visits same day).
• Submitted to secondary payer while primary (e.g., Medicare) processes/crossover pending.
• Billing system auto-follow-up triggered duplicate.
• Corrected claim sent without proper replacement indicator.</t>
  </si>
  <si>
    <t>PR 1</t>
  </si>
  <si>
    <t>PR 2</t>
  </si>
  <si>
    <t>PR 3</t>
  </si>
  <si>
    <t>The payer applied the allowed amount (or portion) to the patient's annual deductible. The patient is responsible for this amount until the deductible is met; no payer payment issued for that portion.</t>
  </si>
  <si>
    <t>• Patient has not met their yearly deductible (e.g., $1,500 plan deductible; first claims of the year applied here).
High-deductible health plan (HDHP) services billed early in the year.
• Secondary payer applies after primary meets its deductible.
Claim for preventive service that doesn't count toward deductible, but others do.
• Billing system shows zero payer payment due to unmet deductible.</t>
  </si>
  <si>
    <t>PR (Patient Responsibility)</t>
  </si>
  <si>
    <t>Patient hasn't met deductible yet (common at start of plan year or high-deductible plans).
Incorrect eligibility verification missing deductible status.
Failure to collect estimated patient responsibility upfront.
Coordination of benefits (COB) where primary deductible not satisfied.</t>
  </si>
  <si>
    <t>✔ Verify patient deductible status via eligibility check/portal (pre-service).
✔ Bill patient directly for the PR-1 amount (post to patient ledger).
✔ If error (e.g., deductible already met), appeal with proof from payer.
✔ Collect payment from patient or set up payment plan.
✔ Update billing system with correct deductible info for future claims.</t>
  </si>
  <si>
    <t>• Patient pays 20% coinsurance on specialist visit after deductible met.
• Surgical procedure where plan is 80/20 after deductible.
• Outpatient services with coinsurance applied to allowed amount.
• Secondary payer coinsurance on remaining balance after primary payment.</t>
  </si>
  <si>
    <t>Standard plan design requires patient coinsurance share.
Deductible met but coinsurance not collected upfront.
Misunderstanding of plan benefits during eligibility check.
COB where secondary applies coinsurance.</t>
  </si>
  <si>
    <t>✔ Confirm coinsurance percentage via payer portal/eligibility.
✔ Bill patient for the PR-2 amount shown on EOB.
✔ If disputed (e.g., wrong percentage), appeal with benefit details.
✔ Post to patient account and follow up for payment.</t>
  </si>
  <si>
    <t>Copay Amount</t>
  </si>
  <si>
    <t>After deductible is met, the patient is responsible for their percentage share (coinsurance) of the allowed amount (e.g., 20% patient / 80% payer). Payer pays its portion; patient owes the rest.</t>
  </si>
  <si>
    <t>A fixed flat fee the patient must pay for a specific covered service (e.g., $30 office visit copay), regardless of allowed amount. Payer pays the balance after copay.</t>
  </si>
  <si>
    <t>Plan requires fixed copay per service type/visit.
Copay not collected at time of service.
Error in copay waiver verification (e.g., for preventive).
Multiple visits/services triggering separate copays.</t>
  </si>
  <si>
    <t>• $25 copay for primary care visit.
• $50 ER copay applied to emergency service.
• Tiered copays (e.g., $10 generic Rx vs. $50 specialist).
• Copay waived incorrectly for preventive care but applied elsewhere.</t>
  </si>
  <si>
    <t>✔ Check EOB for exact copay amount and service applied to.
✔ Bill patient directly for PR-3 amount.
✔ If waiver error, appeal with documentation (e.g., preventive service).
✔ Pursue patient payment promptly.</t>
  </si>
  <si>
    <t>• Plan requires fixed copay per service type/visit.
• Copay not collected at time of service.
• Error in copay waiver verification (e.g., for preventive).
Multiple visits/services triggering separate copays.</t>
  </si>
  <si>
    <t>• Check EOB for exact copay amount and service applied to.
• Bill patient directly for PR-3 amount.
• If waiver error, appeal with documentation (e.g., preventive service).
• Pursue patient payment promptly.</t>
  </si>
  <si>
    <t>CO 4</t>
  </si>
  <si>
    <t>Invalid Modifier</t>
  </si>
  <si>
    <t>• Global procedure billed without -26/-TC → payer pays only one component (often technical).
• Only -26 (professional) billed → payer pays interpretation fee only.
• Only -TC (technical) billed → payer pays facility/equipment portion only.
• Seen frequently in radiology, pathology, diagnostic tests (e.g., X-rays, EKGs, lab services).</t>
  </si>
  <si>
    <t>• Denial or reduction if modifier missing or incorrect for split-bill services.
• Patient responsibility (PR) or contractual write-off (CO) may apply for the unpaid component.</t>
  </si>
  <si>
    <t>• Verify correct -26/-TC use per CPT guidelines and payer policy.
• Resubmit corrected claim with proper modifier if needed.
• Appeal with documentation if payer misapplied.</t>
  </si>
  <si>
    <t>• Invalid modifier combos (e.g., -59 with -51 when not allowed, or -25 on non-E/M service).
• Mutually exclusive modifiers (e.g., -LT and -RT on the same line for unilateral code).
• Missing required modifier (e.g., no -59/-XU for distinct service under NCCI).
• Frequent in Medicare DME, radiology, surgery, or multi-procedure claims.</t>
  </si>
  <si>
    <t>• Line-item denial (often with CARC 4, Group CO or PR).
• No payment for the affected service line; write-off or patient liability possible.</t>
  </si>
  <si>
    <t>• Quality reporting codes (e.g., G-codes for MIPS, PQRS legacy, or value-based programs) without required modifier like -QW (CLIA waived), -GY (statutorily excluded), -GA (ABN on file), or payer-specific ones.
• Non-payable HCPCS (e.g., certain screening, preventive, or experimental codes) missing modifier for exemption or special handling.
Frequently seen in Medicare claims for advanced beneficiary notices (ABN), waived tests, or bundled services.
• Often pairs with CARC 96 (Non-covered charge(s)) or CARC 167 (This (these) diagnosis(es) is (are) not covered).</t>
  </si>
  <si>
    <t>• Informational only on current claim (no payment expected for reporting code).
• Future claims with same code will deny/reject without the modifier.
• No appeal needed for current claim; fix for next submissions.</t>
  </si>
  <si>
    <t>• Identify the exact non-payable code and required modifier from payer policy (e.g., Medicare LCD/NCD, Noridian/CMS lookup).
• For future claims: Add the appropriate modifier (e.g., -GY, -GA, -QW, -59/XU if applicable).
• If current claim needs correction (rare for alerts), resubmit with modifier if payer allows.
• Required adjustment.</t>
  </si>
  <si>
    <t>This is an informational alert (not a denial). The billed therapy procedure code (e.g., PT/OT/SLP services) requires functional reporting via non-payable G-codes (for functional limitations) plus severity/complexity modifiers. The current claim processed, but future ones with this code will reject/deny without the required G-code + modifier(s).</t>
  </si>
  <si>
    <t>N566 — Alert: This procedure code requires functional reporting.</t>
  </si>
  <si>
    <t>This is a supplemental remark code indicating the main procedure code is not payable (or was denied/adjusted) because required non-payable reporting codes (e.g., G-codes for quality, functional, or tracking purposes) and their associated modifiers were missing or incorrect. The payer needs these for processing/reimbursement eligibility.</t>
  </si>
  <si>
    <t>This supplemental remark indicates the Medicare payment was increased (positive adjustment) or decreased (downward adjustment/penalty) due to the Value-based Payment Modifier (VBM) program. VBM adjusted Physician Fee Schedule payments based on quality and cost performance (via PQRS reporting, QRURs, and cost measures). Often paired with CARC 144 (incentive adjustment) for bonuses or CARC 237 (legislated/regulatory penalty) for reductions.</t>
  </si>
  <si>
    <t>The claim was denied or adjusted because one or more required procedure modifiers (e.g., -25, -59, -LT/-RT, -TC/-26) were missing from the CPT/HCPCS code. This makes the submission incomplete; payers need modifiers to determine coverage, billing rules, or service specifics (often pairs with CARC 16: Claim/service lacks information or has submission/billing error(s), or CARC 4 for related inconsistencies).</t>
  </si>
  <si>
    <t>The claim was denied or adjusted because the procedure modifier(s) on the CPT/HCPCS code are incomplete (e.g., missing required ones), invalid (e.g., wrong format, expired, or not recognized), or improperly used. This prevents proper claim processing; often pairs with CARC 4 ("The procedure code is inconsistent with the modifier used") or CARC 16 ("Claim/service lacks information or has submission/billing error(s)").</t>
  </si>
  <si>
    <t>This is an informational alert (not a denial or adjustment reason). The payer automatically added a missing required modifier to the procedure code during processing, allowing the claim to be paid/adjudicated. No further action is needed from the provider for this claim, but it serves as a notice that the original submission was incomplete.</t>
  </si>
  <si>
    <t>• Outpatient therapy claims (physical, occupational, speech-language pathology) under Medicare.
• Applies to codes needing functional limitation reporting (e.g., mobility, self-care, swallowing).
• Pairs with CARC 246 ("This non-payable code is for required reporting only") when G-codes are used.
• Historically mandatory for therapy episodes (2013–2018); discontinued for dates of service on/after January 1, 2019 (no longer required per CMS).</t>
  </si>
  <si>
    <t>• Therapy services (PT/OT/SLP) missing functional limitation G-codes + severity modifiers (historical Medicare functional reporting, discontinued post-2018).
• Quality reporting programs (e.g., MIPS, PQRS legacy) or other mandatory reporting G-codes/Q-codes without required modifiers.
• Often pairs with CARC 4 (inconsistent modifier), CARC 16 (missing info), CARC 96 (non-covered), or CARC 246 (reporting only).
• Seen in Medicare, Medicaid, and some commercial payers for services needing additional context/reporting.</t>
  </si>
  <si>
    <t>• Medicare Part B claims for physicians/groups subject to VBM (2015–2018).
• Positive: Higher payment for high-quality/low-cost performance.
• Negative: Reduced payment (up to -2% in later years) for poor performance or non-participation in PQRS.
• Applied claim-by-claim to PFS services where assignment accepted.
• Program ended after 2018 (replaced by MIPS under MACRA).</t>
  </si>
  <si>
    <t>• Missing -25 on E/M with procedure same day.
• No -59/-XU for distinct/unbundled services.
Absent laterality (-LT/-RT) for bilateral/unilateral codes.
• No -TC/-26 on split-bill services (technical/professional components).
Required payer-specific modifiers (e.g., -KX for therapy thresholds, -QW for CLIA-waived tests).
Frequent in Medicare, Medicaid, and commercial claims for surgery, radiology, injections, or therapy.</t>
  </si>
  <si>
    <t>• Missing required modifiers (e.g., no -25 on E/M with same-day procedure, no -59/-XU for distinct service).
• Invalid or incorrect modifiers (e.g., using -59 when NCCI prohibits, or non-existent modifier).
• Modifier typos, wrong placement, or incompatibility with code/payer rules.
• Frequent in Medicare, Medicaid, and commercial claims for surgery, radiology, injections, bilateral services, or therapy.</t>
  </si>
  <si>
    <t>• Payer (e.g., Medicare, certain commercial insurers) auto-corrects by adding a standard/required modifier (e.g., -25 for significant E/M with procedure, -59/-XU for distinct service, TC/-26 for component billing, -QW for CLIA-waived tests, or payer-specific like -KX for therapy).
• Often seen when the modifier is mandatory per policy/NCCI edits but was omitted.
• Pairs with CARC codes like 16 (missing info) or 4 (inconsistent modifier), but the alert confirms auto-fix.
• Common in Medicare MACs (Noridian, Novitas), Medicaid, and some payers with auto-adjudication rules.</t>
  </si>
  <si>
    <t>• Adjustment to allowed amount/payment (up or down).
• Group CO (Contractual Obligation) – provider absorbs (no patient liability).
I• nformational on EOB/ERA; reflects overall group/tin performance from prior years.</t>
  </si>
  <si>
    <t>• Line-item denial or zero payment until corrected.
Group CO (Contractual Obligation) or PR (Patient Responsibility) depending on payer.
• Actionable—resubmit with modifier to process payment.</t>
  </si>
  <si>
    <t>• Line-item denial or zero payment for the affected service.
• Group CO (Contractual Obligation) – provider responsibility to correct/resubmit.
• Actionable—fix and resubmit to obtain payment.</t>
  </si>
  <si>
    <t>• Positive: Claim processes and pays as if the modifier was submitted correctly.
• Informational only—no write-off, appeal, or resubmission needed for this claim.
• Signals potential future denials if missing modifiers continue (payer may stop auto-adding).</t>
  </si>
  <si>
    <t>• No action required for the current claim (payer already corrected it).
• Review the remittance advice (ERA/835) to see exactly which modifier was added (check remark or claim line details).
• Note the added modifier for future similar claims to avoid reliance on payer auto-correction.</t>
  </si>
  <si>
    <t>• Review EOB/ERA and payer policy (LCD/NCD, payer portal) to pinpoint missing/invalid modifier.
Correct the modifier(s) on the claim line (e.g., add -25, -59, -LT/-RT).
• Resubmit corrected claim (or replacement with frequency 7).
• Appeal if applicable, with supporting documentation (e.g., op notes justifying modifier).</t>
  </si>
  <si>
    <t>• Review EOB/ERA and payer policy to identify the missing modifier (check LCD/NCD or payer portal).
• Add the appropriate modifier(s) to the claim line.
Resubmit corrected claim (or replacement with frequency 7 if needed).
• Appeal with documentation if modifier not required but payer flagged it.</t>
  </si>
  <si>
    <t>• Review QRUR/Physician Feedback Program reports from prior performance year for details.
No per-claim fix—adjustment is final/program-based.
• For historical claims: No appeal for VBM itself (statutory); focus on future MIPS compliance.
• Update billing system notes if VBM applied (legacy reference only post-2018).</t>
  </si>
  <si>
    <t>• Identify the specific non-payable reporting code(s) and required modifier(s) from payer policy/LCD/NCD.
• Resubmit corrected claim with appropriate G-code/Q-code + modifier (e.g., -GA, -GY, severity CH–CN for legacy therapy).
• Appeal if already submitted correctly but payer error, with documentation.
• For historical functional reporting claims (pre-2019), correct if within timely filing.</t>
  </si>
  <si>
    <t>• For pre-2019 claims: Add required G-code(s) + severity modifier(s) per CMS functional reporting rules.
• For current/post-2018 claims: No action needed—functional reporting ended January 1, 2019 (ignore if on old EOB).
• Resubmit future claims only if other issues; confirm via payer portal/CMS transmittals.</t>
  </si>
  <si>
    <t>• Informational only—no adjustment/denial on current claim.
• Future claims reject if missing G-code (e.g., G8978 for mobility current status) + severity modifier (e.g., CH: 0% impaired, CI: 1-19%, up to CN: 100%).
• No payment impact from alert itself (G-codes are non-payable/reporting only).</t>
  </si>
  <si>
    <t>• Claim denial or zero payment for the line until corrected.
• Group CO (Contractual Obligation) or PR (Patient Responsibility) depending on payer.
• Not informational/alert like N565/N566; this is actionable for payment.</t>
  </si>
  <si>
    <t>Status</t>
  </si>
  <si>
    <t>Completed</t>
  </si>
  <si>
    <t>Invalid Diagnosis</t>
  </si>
  <si>
    <t>• Secondary diagnosis missing on claim for a procedure requiring supporting comorbidity (e.g., diabetes complicating a wound care service).
• ICD-10 Excludes1 conflict: Two mutually exclusive codes billed together (e.g., acute vs. chronic condition that can't coexist).
• Incomplete code: 4- or 5-digit ICD-10 code truncated or missing specificity.
• Invalid/deactivated code used as secondary diagnosis.
• Claim denied by Medicare when other diagnosis doesn't justify medical necessity per NCD/LCD.
• Lab/imaging claim rejected due to mismatched or absent supporting secondary diagnosis.</t>
  </si>
  <si>
    <t>• Coding error: Overlooking required secondary diagnoses for specificity/medical necessity.
• Excludes1 violation: Ignoring ICD-10 guidelines where codes can't be used together.
• Incomplete documentation: Provider notes lack details for additional diagnoses.
• Billing software glitch: Not validating ICD-10 codes or format pre-submission.
• Lack of coder training on ICD-10 specificity and payer rules.</t>
  </si>
  <si>
    <t>• Review EOB/ERA for exact M64 context and check claim diagnoses.
• Verify ICD-10 codes against official guidelines (Excludes1 notes, code validity).
• Correct/add valid secondary diagnosis from provider documentation.
• Resubmit corrected claim (use frequency 7 for replacement if needed).
• Appeal with medical records proving diagnosis support if payer misapplied.
• If NCD/LCD involved, reference policy and submit supporting notes.</t>
  </si>
  <si>
    <t>• No principal diagnosis submitted on the claim.
• Principal Dx missing required ICD-10 specificity (e.g., no 7th character for injury).
• Unacceptable principal Dx (e.g., manifestation code, external cause, or "code first" violation).
• Deactivated or invalid ICD-10 code used as principal.
• Principal Dx fails medical necessity per LCD/NCD (e.g., routine screening without supporting condition).
• Inpatient claim denied due to unacceptable principal diagnosis per Medicare Code Edits.</t>
  </si>
  <si>
    <t>• Coding error: Omitting or wrong sequencing of principal Dx.
• Incomplete provider documentation: No clear chief complaint or reason for visit.
• ICD-10 guideline violation: Ignoring "code first," manifestation rules, or unacceptable principal lists.
• Clerical/data entry mistake or billing system not validating principal Dx.
• Failure to check payer-specific rules (e.g., CMS unacceptable Dx for inpatient).
• Claim submitted without Dx validity/specificity check.</t>
  </si>
  <si>
    <t>• No diagnosis code(s) submitted at all.
• Diagnosis lacks ICD-10 required specificity (e.g., missing 7th character for injuries or sequela).
• Invalid or deactivated ICD-10 code used.
• Diagnosis doesn't support medical necessity per LCD/NCD (e.g., non-covered service without qualifying condition).
• Claim for DME, lab, or imaging denied due to missing/invalid supporting diagnosis.
• Diagnosis invalid for the date of service or patient demographics.</t>
  </si>
  <si>
    <t>• Coding omission or error when entering diagnosis codes.
• Incomplete provider documentation lacking details for accurate/specific coding.
• Violation of ICD-10 guidelines (e.g., insufficient specificity or invalid codes).
• Billing software or data entry failure to validate diagnosis codes.
• Overlooking payer-specific requirements (e.g., LCD/NCD diagnosis lists).
• Claim submitted without pre-check for Dx validity or completeness.</t>
  </si>
  <si>
    <t>• Review EOB/ERA and original claim to pinpoint the exact diagnosis issue.
• Validate all diagnosis codes against ICD-10 guidelines, date of service, and payer policies (e.g., LCD/NCD).
• Correct/add valid, highest-specificity diagnosis from medical record/provider notes.
• Resubmit corrected claim (new submission or frequency 7 replacement if applicable).
• Appeal with supporting documentation (e.g., progress notes) if payer misapplied the denial.
• Use payer portal for self-service reopening (e.g., Noridian Medicare) to update diagnosis if allowed.</t>
  </si>
  <si>
    <t>Non Covered Charge</t>
  </si>
  <si>
    <t>• Confirm ORM status via Medicare portal, BCRC inquiry, HICN/MBI lookup, or contact the liability insurer.
• Determine if services are truly related to the ORM diagnosis (if unrelated, resubmit with remark/code indicating non-relatedness).
• Bill the liability insurer as primary payer; obtain their payment/EOB and submit to Medicare as secondary (if Medicare has secondary responsibility).
• If ORM is incorrect, closed, or should not apply, have the liability insurer update BCRC to terminate ORM reporting.
• Appeal Medicare denial with documentation (e.g., liability denial letter, unrelated diagnosis proof, medical records showing no connection).</t>
  </si>
  <si>
    <t>CO 20</t>
  </si>
  <si>
    <t>CO 246</t>
  </si>
  <si>
    <t>Invalid Authorization</t>
  </si>
  <si>
    <t>Non Useable</t>
  </si>
  <si>
    <t>CO 197</t>
  </si>
  <si>
    <t>CO 22</t>
  </si>
  <si>
    <t>CO 96/197</t>
  </si>
  <si>
    <t>CO 97</t>
  </si>
  <si>
    <t>CO 50/96</t>
  </si>
  <si>
    <t>The claim was adjusted or denied because the billed procedure code is considered incidental (integral, minor, or routinely performed as part of) the primary/major procedure already paid or included in the allowance for that primary code. Separate payment is not allowed under payer bundling rules, NCCI edits, CPT guidelines, or global surgical packages.</t>
  </si>
  <si>
    <t>This is an informational/alert remark code indicating that the payer (typically Medicare, Medicaid, or a commercial insurer) has identified that the billed service may be covered.</t>
  </si>
  <si>
    <t>CO 119</t>
  </si>
  <si>
    <t>The claim was denied or adjusted because the billed number of days, units, visits, or services exceeds the payer's allowable maximum limit for a specified time period, benefit category, or per-episode/per-year cap. The payer enforces strict quantitative restrictions (e.g., maximum visits per year, units per day, sessions per authorization) as defined in the patient's benefit plan, medical policy, or coverage guidelines.</t>
  </si>
  <si>
    <t>The claim was denied or adjusted because the service/procedure is not covered by the payer when performed in the billed place of service (POS).</t>
  </si>
  <si>
    <t>The claim was denied or adjusted because the billed service, supply, device, drug, or add-on code is not covered when performed or billed in conjunction with the primary/main procedure code on the claim.</t>
  </si>
  <si>
    <t>The claim was denied or adjusted because the patient was not enrolled in (or was ineligible for) the managed care plan (e.g., HMO, PPO, Medicaid managed care, Medicare Advantage) associated with the billing provider on the actual date of service. The payer determined that the patient did not have active coverage under that specific plan/provider network on the DOS, so services are non-covered under the plan's terms</t>
  </si>
  <si>
    <t>The claim was denied or adjusted because the billed code is an add-on, component, or partial/fragmented procedure code that requires a comprehensive/primary/base procedure code on the same claim to be payable.</t>
  </si>
  <si>
    <t>Add-on code</t>
  </si>
  <si>
    <t>Benefit Maximum</t>
  </si>
  <si>
    <t>Facility not Authorized</t>
  </si>
  <si>
    <t>Provider not Authorized</t>
  </si>
  <si>
    <t>Missing Patient Medical Record</t>
  </si>
  <si>
    <t>Missing Patient Signature</t>
  </si>
  <si>
    <t>Invalid Type Of Bill</t>
  </si>
  <si>
    <t>Medical Necessity</t>
  </si>
  <si>
    <t>Place Of Service</t>
  </si>
  <si>
    <t>Invalid Procedure Code</t>
  </si>
  <si>
    <t>Provider Not Authorized</t>
  </si>
  <si>
    <t>Referral Missing</t>
  </si>
  <si>
    <t>Bundling</t>
  </si>
  <si>
    <t>Covered by Another Payer</t>
  </si>
  <si>
    <t>• Add-on code (+49568 hernia mesh implantation) billed without the primary hernia repair code (e.g., 49560–49566).
Component code (e.g., 76000 fluoroscopy) billed alone instead of with the primary surgical/endoscopic procedure it supports.
• Incidental service (e.g., simple repair 12001) billed separately from major surgery instead of bundled into the comprehensive code.
• Unlisted code or partial code (e.g., 20926 tissue graft) submitted without the primary reconstruction/excision code.</t>
  </si>
  <si>
    <t>• Patient seen in-network under Provider A's HMO plan on 01/15, but disenrolled/terminated from plan effective 01/10 → denied for DOS 01/15.
• Medicaid managed care patient switches plans mid-month; provider in old plan but not new one → claim denied under old plan.
• Medicare Advantage plan enrollment lapses or retroactively canceled; provider bills MA plan → denied due to no active enrollment on DOS.
• Commercial PPO patient changes employers/plans; new plan not contracted with provider → services non-covered under billed plan.
• Patient enrolled in plan but eligibility not active on DOS (e.g., premium not paid, waiting period, or retroactive termination).</t>
  </si>
  <si>
    <t>• Mesh implant (+49568 or C-code) billed with hernia repair; payer denies mesh as "not covered with this procedure" per policy.
• Intraoperative neurophysiological monitoring (95970–95972) billed with spinal fusion; denied as not covered with that specific surgery code.
• Sedation or anesthesia add-on billed with endoscopy; payer denies sedation as not separately covered with the endoscopy procedure.
• Drug or biologic (e.g., Botox injection) billed with trigger point injection or migraine code; denied as not covered with that primary procedure.</t>
  </si>
  <si>
    <t>• Procedure (e.g., colonoscopy 45378) authorized/covered only in ASC (POS 24) or outpatient hospital (POS 22); billed in office (POS 11) → denied.
• Infusion therapy or chemotherapy covered in office or outpatient hospital; billed in inpatient hospital (POS 21) → non-covered in inpatient setting.
• DME delivery or fitting service covered in home (POS 12); billed in SNF or hospital → denied due to POS restriction.
• Minor surgery or injection covered in office; performed/billed in ER (POS 23) → not covered in ER setting.
• Telehealth service billed with POS 02 (telehealth) but payer restricts certain codes to POS 10 (home) or POS 02 only → denied for wrong POS.</t>
  </si>
  <si>
    <t>• Physical therapy billed 30 units/visits; plan limits 20 per year → denied for 10 excess units.
• Home health aide services billed 45 days in episode; Medicare or plan caps at 30 days → excess days denied.
• Chiropractic adjustments billed 40 visits; payer allows maximum 26 per year → denied for 14 over limit.
• Mental health therapy sessions (e.g., 90837) billed 25 per year; benefit max 15 → excess sessions patient responsibility.
• Dialysis sessions or infusion therapy exceed per-month or per-episode cap → over-limit units adjusted.</t>
  </si>
  <si>
    <t>• Medicare denies or adjusts a claim for a service that may be covered under state Medicaid (dual-eligible patient) or a state-specific program.
• Claim for injury-related treatment where state workers' compensation or no-fault auto insurance (PIP) may be primary payer.
• Service for a veteran or active-duty military member; payer alerts that TRICARE or VA may cover through another payer.
• Pediatric service potentially covered under CHIP/SCHIP or state children's program instead of commercial plan.</t>
  </si>
  <si>
    <t>• Minor incision or closure (e.g., simple repair code) billed separately with major surgery → bundled as incidental.
• Injection or aspiration (e.g., 20610 joint injection) performed during arthroscopy → denied as incidental to the arthroscopy code.
• Fluoroscopy or imaging guidance (e.g., 76000) billed with primary procedure where guidance is inherent → bundled.
• Biopsy or tissue sampling incidental to excision or resection procedure → no separate payment.
• Anesthesia monitoring or routine supplies during surgery billed separately → included in facility or primary allowance.
• E/M service incidental to a procedure on the same day (without significant separate E/M) → bundled.</t>
  </si>
  <si>
    <t>• 49568 (hernia mesh implantation) billed alone without a primary hernia repair code (e.g., 49560–49566) → denied.
• 15777 (grafting for wound closure) submitted without the primary closure/reconstruction code (e.g., 13100–13160 series).
• 69990 (microsurgical techniques) billed by itself instead of with the primary neurosurgical or ENT procedure.
• 99199 (unlisted special service) or +95972 (complex programming of neurostimulator) submitted standalone → rejected.
• 95971 (simple programming of neurostimulator) billed without the primary implantation code (e.g., 64555, 64561).
• Anesthesia add-on time code or time-based add-on (e.g., +99354 prolonged service) submitted without base code.</t>
  </si>
  <si>
    <t>• Billing a minor/incidental code separately instead of recognizing it as part of the primary procedure (unbundling).
• No or incorrect modifier (e.g., -59/-XU not applied or not justified when service is distinct).
• Violation of NCCI edits, CPT bundling rules, or global surgical package (e.g., pre/post-op work included).
• Billing software or superbills not flagging incidental/bundled code pairs pre-submission.
• Lack of documentation supporting that the service was distinct/separate (e.g., different site, unrelated reason).
• Failure to check NCCI lookup tool or payer bundling policies before coding.</t>
  </si>
  <si>
    <t>• Patient has dual/multiple coverage involving a government program (e.g., Medicare + Medicaid, commercial + state WC).
• Payer's systems detect indicators (e.g., diagnosis codes for injury, patient demographics, or prior claims) suggesting another federal/state/local payer may be liable.
• Provider billed current payer as primary without verifying other program eligibility or COB rules.
• MSP rules triggered (e.g., Medicare as secondary to WC, no-fault, or liability).
• No pre-service check for other payer sources (e.g., accident-related, government program enrollment).
• Claim submitted without proper COB information or other payer details.</t>
  </si>
  <si>
    <t>• Billed units/days/visits exceed the plan's hard limit (per year, per episode, per authorization, or per lifetime).
• No prior check of benefit maximums during eligibility verification or pre-service authorization.
• Authorization approved for fewer units/days than billed (e.g., auth for 12 PT visits; billed 18).
• Benefit cap reset not accounted for (e.g., new calendar year but patient used prior-year limit).
• Billing software or superbills not tracking or flagging benefit maximums per patient/plan.
• Provider continued services beyond plan limit without patient consent or additional authorization.</t>
  </si>
  <si>
    <t>• Service performed and billed in a POS not approved/covered by the payer for that code (e.g., facility vs. non-facility, hospital vs. office).
Incorrect POS code used on claim (e.g., POS 11 office when service was in hospital outpatient POS 22).
• Payer policy limits coverage to specific sites (e.g., Medicare site-of-service differential, commercial network rules, or Medicaid restrictions).
• No pre-service verification of POS coverage for the procedure under the patient's plan.
• Provider performed service in alternate location without updating billing or obtaining prior authorization for that POS.</t>
  </si>
  <si>
    <t>• Secondary code (supply, drug, device, add-on, or ancillary) not separately reimbursable per payer policy when paired with the specific primary procedure.
• Payer medical policy, LCD/NCD, or bundling rules exclude coverage for the item with that primary code (e.g., "not separately payable," "included in global allowance").
• No prior authorization or documentation supporting separate coverage for the item.
• Billing error: Item billed separately instead of bundled into primary code or facility charge.
• Lack of pre-claim check against payer's coverage policy for the code pair.
• Patient plan excludes certain add-ons/supplies with specific procedures.</t>
  </si>
  <si>
    <t>• Patient's managed care plan enrollment was not active on the date of service (terminated, switched, or never effective).
• Provider billed under wrong/inactive plan or network contract (e.g., patient's current plan differs from assumed).
• Eligibility verification performed pre-service but not re-checked on/near DOS (eligibility can change daily).
• Retroactive disenrollment or termination by payer (common in Medicaid/MA) not known to provider at time of service.
• Billing error: Claim submitted to incorrect payer/plan ID or without updated eligibility response.</t>
  </si>
  <si>
    <t>• Provider billed only the add-on/component/fragmented code instead of the full comprehensive/primary code that includes the work.
• Primary comprehensive code omitted from the claim (e.g., denied separately or not submitted on same claim).
• Misunderstanding CPT rules: Add-on codes (“+” symbol) and certain bundled services must always be paired with a primary code.
• Billing software/superbills allowing standalone submission of add-on/component codes without validation.
• Coding error: Selecting partial code instead of comprehensive one (e.g., billing separate supplies instead of inclusive code).
• Claim split or resubmission: Primary code processed earlier; add-on billed later without linkage.</t>
  </si>
  <si>
    <t>• Access the patient's plan benefit documents (via payer portal, member ID card, EOC, or benefit summary) or contact payer to obtain current guidelines.
• Compare the billed service against plan restrictions (e.g., visit limits, covered codes, authorization rules).
• If compliant but denied in error → Appeal with proof from plan documents showing coverage (attach EOC excerpts or benefit summary).
• If restricted → Correct claim if possible (e.g., reduce units to allowed limit) and resubmit (frequency 7 corrected), or obtain retroactive authorization if allowed.
• If non-covered → Post adjustment/write-off or bill patient (after Advance Beneficiary Notice/ABN if Medicare-related); inform patient of benefit limits.</t>
  </si>
  <si>
    <t>• Check NCCI edits (CMS NCCI lookup tool), CPT guidelines, or payer policy for the code pair and allowed modifiers.
• If bundling incorrect (e.g., service truly distinct/separate) → Add appropriate modifier (-59 or -X series) with supporting documentation.
• Resubmit corrected claim (frequency 7 replacement/corrected on 837P) with modifier and notes if needed.
• Appeal with medical records (e.g., op report, progress notes proving distinct service, different site/session).
• If bundling correct → Accept adjustment (post contractual write-off for incidental amount).</t>
  </si>
  <si>
    <t>• Verify patient eligibility for the suspected program via eligibility checks, payer portals, or contact the program directly.
• Determine correct primary payer and COB order (e.g., WC/no-fault primary over Medicare; Medicaid secondary to Medicare).
• Bill the other payer/program first if primary; obtain their EOB/payment and submit to current payer as secondary (if applicable).
• If current payer is primary → Resubmit with updated COB info or appeal with proof no other coverage applies.
• If patient qualifies for indigent/local program → Coordinate billing or application to that program; bill patient only if no coverage.</t>
  </si>
  <si>
    <t>• Verify billed units/days against the cap and any prior authorization limits (check auth letter or payer portal).
• If error in billing (e.g., typo in units) → Correct claim to stay within limit and resubmit (frequency 7 replacement/corrected).
• If excess justified (e.g., medical necessity) → Appeal with documentation (e.g., progress notes, physician letter justifying additional units) and request exception.
• If limit reached → Post write-off for excess amount; bill patient for over-limit portion (after notifying and obtaining consent).
• Obtain retroactive authorization for additional units if payer allows; resubmit once updated.</t>
  </si>
  <si>
    <t>• Check payer policy (e.g., Medicare Claims Processing Manual, payer provider manual, or medical policy) for POS coverage rules for the CPT/HCPCS code.
• If POS error (wrong code billed) → Correct POS to match actual service location and resubmit (frequency 7 replacement/corrected).
• If POS correct but service not covered there → Appeal with documentation (e.g., medical necessity notes, prior auth for that POS) if exception applies.
• If non-covered in billed POS → Accept denial (post write-off); bill patient if allowed (after ABN if Medicare-related), or coordinate transfer to covered POS/provider.
• Contact payer provider relations or portal to confirm POS policy and request reprocessing if misapplied.</t>
  </si>
  <si>
    <t>• Check payer policy (e.g., medical policy bulletin, LCD/NCD on CMS MCD, or provider manual) for the code pair to confirm non-coverage rule.
• If policy misapplied or documentation supports coverage → Appeal with records (e.g., op report, physician letter, prior auth showing separate approval).
• If truly not covered with primary → Accept adjustment (post write-off for denied amount); bill patient if plan allows (after ABN if Medicare-related).
• Resubmit corrected claim only if error (e.g., wrong primary code or missing modifier) or with updated authorization.
• Contact payer provider relations for clarification on the specific non-coverage policy or to request reprocessing.</t>
  </si>
  <si>
    <t>• Verify patient's current/active plan and enrollment date via payer portal, phone, or 270/271 transaction.
• If enrollment was active but flagged in error → Appeal with proof (e.g., eligibility screenshot, enrollment letter, or payer confirmation).
• If patient not enrolled in that plan on DOS → Identify correct primary payer/plan; bill that payer first and obtain EOB.
• Resubmit to correct payer or resubmit corrected claim to original payer if retroactive enrollment applies.
• If non-covered → Post write-off or bill patient (after notification; check state laws on balance billing and timely filing).</t>
  </si>
  <si>
    <t>• Locate the appropriate comprehensive code that encompasses the service (refer to CPT parenthetical notes, add-on code instructions, or NCCI guidelines).
• Ensure both comprehensive/primary and add-on/component codes are on the same claim (add-on typically follows primary).
• Resubmit corrected claim with the comprehensive code included (frequency 7 replacement/corrected on 837P).
• Appeal with documentation (e.g., op report, progress notes) proving the comprehensive service was performed if payer misapplied.
• If primary already paid → Submit add-on as corrected claim or appeal to link payment.</t>
  </si>
  <si>
    <t>With Formula Code</t>
  </si>
  <si>
    <t>&lt;tr data-carc="CO 18" data-type="co" data-rarc="N522 — Duplicate of a claim processed, as a crossover claim." data-denial="The claim is an exact duplicate of one already processed or in process (same patient, date of service, provider, codes, etc.). No payment issued; often seen in general duplicates or Medicare crossover cases where claim was auto-forwarded." data-root="• Provider billed secondary payer prematurely before crossover completed\n• Duplicate claim submission from billing system\n• Patient insurance sequence not verified properly"&gt;&lt;td&gt;&lt;div class="row-num"&gt;#1&lt;/div&gt;&lt;span class="carc-badge co"&gt;CO 18&lt;/span&gt;&lt;/td&gt;&lt;td&gt;&lt;span class="denial-reason"&gt;Duplicate&lt;/span&gt;&lt;/td&gt;&lt;td class="rarc-wrap"&gt;&lt;div class="rarc-id"&gt;N522&lt;/div&gt;&lt;div class="rarc-desc"&gt;Duplicate of a claim processed, as a crossover claim.&lt;/div&gt;&lt;/td&gt;&lt;td class="td-meaning"&gt;The claim is an exact duplicate of one already processed or in process (same patient, date of service, provider, codes, etc.). No payment issued; often seen in general duplicates or Medicare crossover cases where claim was auto-forwarded.&lt;/td&gt;&lt;td&gt;&lt;div class="chip-row"&gt;&lt;span class="chip chip-green"&gt;Resubmitted identical claim by mistake or due to system glitch.&lt;/span&gt;&lt;span class="chip chip-green"&gt;Billed same procedure twice without modifier (e.g., two identical office visits same day).&lt;/span&gt;&lt;span class="chip chip-green"&gt;Submitted to secondary payer while primary (e.g., Medicare) processes/crossover pending.&lt;/span&gt;&lt;span class="chip chip-green"&gt;Billing system auto-follow-up triggered duplicate.&lt;/span&gt;&lt;span class="chip chip-green"&gt;Corrected claim sent without proper replacement indicator.&lt;/span&gt;&lt;/div&gt;&lt;/td&gt;&lt;td&gt;&lt;div class="chip-row"&gt;&lt;span class="chip chip-green"&gt;Provider billed secondary payer prematurely before crossover completed&lt;/span&gt;&lt;span class="chip chip-green"&gt;Duplicate claim submission from billing system&lt;/span&gt;&lt;span class="chip chip-green"&gt;Patient insurance sequence not verified properly&lt;/span&gt;&lt;/div&gt;&lt;/td&gt;&lt;td class="td-res"&gt;• Check Medicare crossover confirmation (ERA/EOB remark)&lt;br&gt;• Confirm if secondary payer received claim via crossover&lt;br&gt;• Do not rebill if crossover pending or completed&lt;br&gt;• Rebill only if crossover failed and payer confirms resubmission required&lt;br&gt;• Adjust duplicate claim if already processed&lt;/td&gt;&lt;/tr&gt;</t>
  </si>
  <si>
    <t>&lt;tr data-carc="PR 3" data-type="pr" data-rarc="PR (Patient Responsibility)" data-denial="A fixed flat fee the patient must pay for a specific covered service (e.g., $30 office visit copay), regardless of allowed amount. Payer pays the balance after copay." data-root="• Plan requires fixed copay per service type/visit.\n• Copay not collected at time of service.\n• Error in copay waiver verification (e.g., for preventive).\nMultiple visits/services triggering separate copays."&gt;&lt;td&gt;&lt;div class="row-num"&gt;#4&lt;/div&gt;&lt;span class="carc-badge pr"&gt;PR 3&lt;/span&gt;&lt;/td&gt;&lt;td&gt;&lt;span class="denial-reason"&gt;Copay Amount&lt;/span&gt;&lt;/td&gt;&lt;td class="rarc-wrap"&gt;&lt;div class="rarc-id"&gt;PR&lt;/div&gt;&lt;div class="rarc-desc"&gt;&lt;/div&gt;&lt;/td&gt;&lt;td class="td-meaning"&gt;A fixed flat fee the patient must pay for a specific covered service (e.g., $30 office visit copay), regardless of allowed amount. Payer pays the balance after copay.&lt;/td&gt;&lt;td&gt;&lt;div class="chip-row"&gt;&lt;span class="chip chip-green"&gt;$25 copay for primary care visit.&lt;/span&gt;&lt;span class="chip chip-green"&gt;$50 ER copay applied to emergency service.&lt;/span&gt;&lt;span class="chip chip-green"&gt;Tiered copays (e.g., $10 generic Rx vs. $50 specialist).&lt;/span&gt;&lt;span class="chip chip-green"&gt;Copay waived incorrectly for preventive care but applied elsewhere.&lt;/span&gt;&lt;/div&gt;&lt;/td&gt;&lt;td&gt;&lt;div class="chip-row"&gt;&lt;span class="chip chip-green"&gt;Plan requires fixed copay per service type/visit.&lt;/span&gt;&lt;span class="chip chip-green"&gt;Copay not collected at time of service.&lt;/span&gt;&lt;span class="chip chip-green"&gt;Error in copay waiver verification (e.g., for preventive).&lt;/span&gt;&lt;span class="chip chip-green"&gt;Multiple visits/services triggering separate copays.&lt;/span&gt;&lt;/div&gt;&lt;/td&gt;&lt;td class="td-res"&gt;• Check EOB for exact copay amount and service applied to.&lt;br&gt;• Bill patient directly for PR-3 amount.&lt;br&gt;• If waiver error, appeal with documentation (e.g., preventive service).&lt;br&gt;• Pursue patient payment promptly.&lt;/td&gt;&lt;/tr&gt;</t>
  </si>
  <si>
    <t>&lt;tr data-carc="CO 246" data-type="co" data-rarc="N566 — Alert: This procedure code requires functional reporting." data-denial="This is an informational alert (not a denial). The billed therapy procedure code (e.g., PT/OT/SLP services) requires functional reporting via non-payable G-codes (for functional limitations) plus severity/complexity modifiers. The current claim processed, but future ones with this code will reject/deny without the required G-code + modifier(s)." data-root="• Informational only—no adjustment/denial on current claim.\n• Future claims reject if missing G-code (e.g., G8978 for mobility current status) + severity modifier (e.g., CH: 0% impaired, CI: 1-19%, up to CN: 100%).\n• No payment impact from alert itself (G-codes are non-payable/reporting only)."&gt;&lt;td&gt;&lt;div class="row-num"&gt;#8&lt;/div&gt;&lt;span class="carc-badge co"&gt;CO 246&lt;/span&gt;&lt;/td&gt;&lt;td&gt;&lt;span class="denial-reason"&gt;Invalid Modifier&lt;/span&gt;&lt;/td&gt;&lt;td class="rarc-wrap"&gt;&lt;div class="rarc-id"&gt;N566&lt;/div&gt;&lt;div class="rarc-desc"&gt;Alert: This procedure code requires functional reporting.&lt;/div&gt;&lt;/td&gt;&lt;td class="td-meaning"&gt;This is an informational alert (not a denial). The billed therapy procedure code (e.g., PT/OT/SLP services) requires functional reporting via non-payable G-codes (for functional limitations) plus severity/complexity modifiers. The current claim processed, but future ones with this code will reject/deny without the required G-code + modifier(s).&lt;/td&gt;&lt;td&gt;&lt;div class="chip-row"&gt;&lt;span class="chip chip-green"&gt;Outpatient therapy claims (physical, occupational, speech-language pathology) under Medicare.&lt;/span&gt;&lt;span class="chip chip-green"&gt;Applies to codes needing functional limitation reporting (e.g., mobility, self-care, swallowing).&lt;/span&gt;&lt;span class="chip chip-green"&gt;Pairs with CARC 246 ("This non-payable code is for required reporting only") when G-codes are used.&lt;/span&gt;&lt;span class="chip chip-green"&gt;Historically mandatory for therapy episodes (2013–2018); discontinued for dates of service on/after January 1, 2019 (no longer required per CMS).&lt;/span&gt;&lt;/div&gt;&lt;/td&gt;&lt;td&gt;&lt;div class="chip-row"&gt;&lt;span class="chip chip-green"&gt;Informational only—no adjustment/denial on current claim.&lt;/span&gt;&lt;span class="chip chip-green"&gt;Future claims reject if missing G-code (e.g., G8978 for mobility current status) + severity modifier (e.g., CH: 0% impaired, CI: 1-19%, up to CN: 100%).&lt;/span&gt;&lt;span class="chip chip-green"&gt;No payment impact from alert itself (G-codes are non-payable/reporting only).&lt;/span&gt;&lt;/div&gt;&lt;/td&gt;&lt;td class="td-res"&gt;• For pre-2019 claims: Add required G-code(s) + severity modifier(s) per CMS functional reporting rules.&lt;br&gt;• For current/post-2018 claims: No action needed—functional reporting ended January 1, 2019 (ignore if on old EOB).&lt;br&gt;• Resubmit future claims only if other issues; confirm via payer portal/CMS transmittals.&lt;/td&gt;&lt;/tr&gt;</t>
  </si>
  <si>
    <t>&lt;tr data-carc="CO 246" data-type="co" data-rarc="N572 — This procedure is not payable unless appropriate non-payable reporting codes and associated modifiers are submitted." data-denial="This is a supplemental remark code indicating the main procedure code is not payable (or was denied/adjusted) because required non-payable reporting codes (e.g., G-codes for quality, functional, or tracking purposes) and their associated modifiers were missing or incorrect. The payer needs these for processing/reimbursement eligibility." data-root="• Claim denial or zero payment for the line until corrected.\n• Group CO (Contractual Obligation) or PR (Patient Responsibility) depending on payer.\n• Not informational/alert like N565/N566; this is actionable for payment."&gt;&lt;td&gt;&lt;div class="row-num"&gt;#9&lt;/div&gt;&lt;span class="carc-badge co"&gt;CO 246&lt;/span&gt;&lt;/td&gt;&lt;td&gt;&lt;span class="denial-reason"&gt;Invalid Modifier&lt;/span&gt;&lt;/td&gt;&lt;td class="rarc-wrap"&gt;&lt;div class="rarc-id"&gt;N572&lt;/div&gt;&lt;div class="rarc-desc"&gt;This procedure is not payable unless appropriate non-payable reporting codes and associated modifiers are submitted.&lt;/div&gt;&lt;/td&gt;&lt;td class="td-meaning"&gt;This is a supplemental remark code indicating the main procedure code is not payable (or was denied/adjusted) because required non-payable reporting codes (e.g., G-codes for quality, functional, or tracking purposes) and their associated modifiers were missing or incorrect. The payer needs these for processing/reimbursement eligibility.&lt;/td&gt;&lt;td&gt;&lt;div class="chip-row"&gt;&lt;span class="chip chip-green"&gt;Therapy services (PT/OT/SLP) missing functional limitation G-codes + severity modifiers (historical Medicare functional reporting, discontinued post-2018).&lt;/span&gt;&lt;span class="chip chip-green"&gt;Quality reporting programs (e.g., MIPS, PQRS legacy) or other mandatory reporting G-codes/Q-codes without required modifiers.&lt;/span&gt;&lt;span class="chip chip-green"&gt;Often pairs with CARC 4 (inconsistent modifier), CARC 16 (missing info), CARC 96 (non-covered), or CARC 246 (reporting only).&lt;/span&gt;&lt;span class="chip chip-green"&gt;Seen in Medicare, Medicaid, and some commercial payers for services needing additional context/reporting.&lt;/span&gt;&lt;/div&gt;&lt;/td&gt;&lt;td&gt;&lt;div class="chip-row"&gt;&lt;span class="chip chip-green"&gt;Claim denial or zero payment for the line until corrected.&lt;/span&gt;&lt;span class="chip chip-green"&gt;Group CO (Contractual Obligation) or PR (Patient Responsibility) depending on payer.&lt;/span&gt;&lt;span class="chip chip-green"&gt;Not informational/alert like N565/N566; this is actionable for payment.&lt;/span&gt;&lt;/div&gt;&lt;/td&gt;&lt;td class="td-res"&gt;• Identify the specific non-payable reporting code(s) and required modifier(s) from payer policy/LCD/NCD.&lt;br&gt;• Resubmit corrected claim with appropriate G-code/Q-code + modifier (e.g., -GA, -GY, severity CH–CN for legacy therapy).&lt;br&gt;• Appeal if already submitted correctly but payer error, with documentation.&lt;br&gt;• For historical functional reporting claims (pre-2019), correct if within timely filing.&lt;/td&gt;&lt;/tr&gt;</t>
  </si>
  <si>
    <t>&lt;tr data-carc="CO 4" data-type="co" data-rarc="N701 — Payment adjusted based on the Value-based Payment Modifier." data-denial="This supplemental remark indicates the Medicare payment was increased (positive adjustment) or decreased (downward adjustment/penalty) due to the Value-based Payment Modifier (VBM) program. VBM adjusted Physician Fee Schedule payments based on quality and cost performance (via PQRS reporting, QRURs, and cost measures). Often paired with CARC 144 (incentive adjustment) for bonuses or CARC 237 (legislated/regulatory penalty) for reductions." data-root="• Adjustment to allowed amount/payment (up or down).\n• Group CO (Contractual Obligation) – provider absorbs (no patient liability).\nI• nformational on EOB/ERA; reflects overall group/tin performance from prior years."&gt;&lt;td&gt;&lt;div class="row-num"&gt;#10&lt;/div&gt;&lt;span class="carc-badge co"&gt;CO 4&lt;/span&gt;&lt;/td&gt;&lt;td&gt;&lt;span class="denial-reason"&gt;Invalid Modifier&lt;/span&gt;&lt;/td&gt;&lt;td class="rarc-wrap"&gt;&lt;div class="rarc-id"&gt;N701&lt;/div&gt;&lt;div class="rarc-desc"&gt;Payment adjusted based on the Value-based Payment Modifier.&lt;/div&gt;&lt;/td&gt;&lt;td class="td-meaning"&gt;This supplemental remark indicates the Medicare payment was increased (positive adjustment) or decreased (downward adjustment/penalty) due to the Value-based Payment Modifier (VBM) program. VBM adjusted Physician Fee Schedule payments based on quality and cost performance (via PQRS reporting, QRURs, and cost measures). Often paired with CARC 144 (incentive adjustment) for bonuses or CARC 237 (legislated/regulatory penalty) for reductions.&lt;/td&gt;&lt;td&gt;&lt;div class="chip-row"&gt;&lt;span class="chip chip-green"&gt;Medicare Part B claims for physicians/groups subject to VBM (2015–2018).&lt;/span&gt;&lt;span class="chip chip-green"&gt;Positive: Higher payment for high-quality/low-cost performance.&lt;/span&gt;&lt;span class="chip chip-green"&gt;Negative: Reduced payment (up to -2% in later years) for poor performance or non-participation in PQRS.&lt;/span&gt;&lt;span class="chip chip-green"&gt;Applied claim-by-claim to PFS services where assignment accepted.&lt;/span&gt;&lt;span class="chip chip-green"&gt;Program ended after 2018 (replaced by MIPS under MACRA).&lt;/span&gt;&lt;/div&gt;&lt;/td&gt;&lt;td&gt;&lt;div class="chip-row"&gt;&lt;span class="chip chip-green"&gt;Adjustment to allowed amount/payment (up or down).&lt;/span&gt;&lt;span class="chip chip-green"&gt;Group CO (Contractual Obligation) – provider absorbs (no patient liability).&lt;/span&gt;&lt;span class="chip chip-green"&gt;Informational on EOB/ERA; reflects overall group/tin performance from prior years.&lt;/span&gt;&lt;/div&gt;&lt;/td&gt;&lt;td class="td-res"&gt;• Review QRUR/Physician Feedback Program reports from prior performance year for details.&lt;br&gt;No per-claim fix—adjustment is final/program-based.&lt;br&gt;• For historical claims: No appeal for VBM itself (statutory); focus on future MIPS compliance.&lt;br&gt;• Update billing system notes if VBM applied (legacy reference only post-2018).&lt;/td&gt;&lt;/tr&gt;</t>
  </si>
  <si>
    <t>&lt;tr data-carc="CO 4" data-type="co" data-rarc="N822 — Missing procedure modifier(s)." data-denial="The claim was denied or adjusted because one or more required procedure modifiers (e.g., -25, -59, -LT/-RT, -TC/-26) were missing from the CPT/HCPCS code. This makes the submission incomplete; payers need modifiers to determine coverage, billing rules, or service specifics (often pairs with CARC 16: Claim/service lacks information or has submission/billing error(s), or CARC 4 for related inconsistencies)." data-root="• Line-item denial or zero payment until corrected.\nGroup CO (Contractual Obligation) or PR (Patient Responsibility) depending on payer.\n• Actionable—resubmit with modifier to process payment."&gt;&lt;td&gt;&lt;div class="row-num"&gt;#11&lt;/div&gt;&lt;span class="carc-badge co"&gt;CO 4&lt;/span&gt;&lt;/td&gt;&lt;td&gt;&lt;span class="denial-reason"&gt;Invalid Modifier&lt;/span&gt;&lt;/td&gt;&lt;td class="rarc-wrap"&gt;&lt;div class="rarc-id"&gt;N822&lt;/div&gt;&lt;div class="rarc-desc"&gt;Missing procedure modifier(s).&lt;/div&gt;&lt;/td&gt;&lt;td class="td-meaning"&gt;The claim was denied or adjusted because one or more required procedure modifiers (e.g., -25, -59, -LT/-RT, -TC/-26) were missing from the CPT/HCPCS code. This makes the submission incomplete; payers need modifiers to determine coverage, billing rules, or service specifics (often pairs with CARC 16: Claim/service lacks information or has submission/billing error(s), or CARC 4 for related inconsistencies).&lt;/td&gt;&lt;td&gt;&lt;div class="chip-row"&gt;&lt;span class="chip chip-green"&gt;Missing -25 on E/M with procedure same day.&lt;/span&gt;&lt;span class="chip chip-green"&gt;No -59/-XU for distinct/unbundled services.&lt;/span&gt;&lt;span class="chip chip-green"&gt;Absent laterality (-LT/-RT) for bilateral/unilateral codes.&lt;/span&gt;&lt;span class="chip chip-green"&gt;No -TC/-26 on split-bill services (technical/professional components).&lt;/span&gt;&lt;span class="chip chip-green"&gt;Required payer-specific modifiers (e.g., -KX for therapy thresholds, -QW for CLIA-waived tests).&lt;/span&gt;&lt;span class="chip chip-green"&gt;Frequent in Medicare, Medicaid, and commercial claims for surgery, radiology, injections, or therapy.&lt;/span&gt;&lt;/div&gt;&lt;/td&gt;&lt;td&gt;&lt;div class="chip-row"&gt;&lt;span class="chip chip-green"&gt;Line-item denial or zero payment until corrected.&lt;/span&gt;&lt;span class="chip chip-green"&gt;Group CO (Contractual Obligation) or PR (Patient Responsibility) depending on payer.&lt;/span&gt;&lt;span class="chip chip-green"&gt;Actionable—resubmit with modifier to process payment.&lt;/span&gt;&lt;/div&gt;&lt;/td&gt;&lt;td class="td-res"&gt;• Review EOB/ERA and payer policy to identify the missing modifier (check LCD/NCD or payer portal).&lt;br&gt;• Add the appropriate modifier(s) to the claim line.&lt;br&gt;Resubmit corrected claim (or replacement with frequency 7 if needed).&lt;br&gt;• Appeal with documentation if modifier not required but payer flagged it.&lt;/td&gt;&lt;/tr&gt;</t>
  </si>
  <si>
    <t>&lt;tr data-carc="CO 4" data-type="co" data-rarc="N823 — Incomplete/Invalid procedure modifier(s)." data-denial="The claim was denied or adjusted because the procedure modifier(s) on the CPT/HCPCS code are incomplete (e.g., missing required ones), invalid (e.g., wrong format, expired, or not recognized), or improperly used. This prevents proper claim processing; often pairs with CARC 4 ("The procedure code is inconsistent with the modifier used") or CARC 16 ("Claim/service lacks information or has submission/billing error(s)")." data-root="• Line-item denial or zero payment for the affected service.\n• Group CO (Contractual Obligation) – provider responsibility to correct/resubmit.\n• Actionable—fix and resubmit to obtain payment."&gt;&lt;td&gt;&lt;div class="row-num"&gt;#12&lt;/div&gt;&lt;span class="carc-badge co"&gt;CO 4&lt;/span&gt;&lt;/td&gt;&lt;td&gt;&lt;span class="denial-reason"&gt;Invalid Modifier&lt;/span&gt;&lt;/td&gt;&lt;td class="rarc-wrap"&gt;&lt;div class="rarc-id"&gt;N823&lt;/div&gt;&lt;div class="rarc-desc"&gt;Incomplete/Invalid procedure modifier(s).&lt;/div&gt;&lt;/td&gt;&lt;td class="td-meaning"&gt;The claim was denied or adjusted because the procedure modifier(s) on the CPT/HCPCS code are incomplete (e.g., missing required ones), invalid (e.g., wrong format, expired, or not recognized), or improperly used. This prevents proper claim processing; often pairs with CARC 4 ("The procedure code is inconsistent with the modifier used") or CARC 16 ("Claim/service lacks information or has submission/billing error(s)").&lt;/td&gt;&lt;td&gt;&lt;div class="chip-row"&gt;&lt;span class="chip chip-green"&gt;Missing required modifiers (e.g., no -25 on E/M with same-day procedure, no -59/-XU for distinct service).&lt;/span&gt;&lt;span class="chip chip-green"&gt;Invalid or incorrect modifiers (e.g., using -59 when NCCI prohibits, or non-existent modifier).&lt;/span&gt;&lt;span class="chip chip-green"&gt;Modifier typos, wrong placement, or incompatibility with code/payer rules.&lt;/span&gt;&lt;span class="chip chip-green"&gt;Frequent in Medicare, Medicaid, and commercial claims for surgery, radiology, injections, bilateral services, or therapy.&lt;/span&gt;&lt;/div&gt;&lt;/td&gt;&lt;td&gt;&lt;div class="chip-row"&gt;&lt;span class="chip chip-green"&gt;Line-item denial or zero payment for the affected service.&lt;/span&gt;&lt;span class="chip chip-green"&gt;Group CO (Contractual Obligation) – provider responsibility to correct/resubmit.&lt;/span&gt;&lt;span class="chip chip-green"&gt;Actionable—fix and resubmit to obtain payment.&lt;/span&gt;&lt;/div&gt;&lt;/td&gt;&lt;td class="td-res"&gt;• Review EOB/ERA and payer policy (LCD/NCD, payer portal) to pinpoint missing/invalid modifier.&lt;br&gt;Correct the modifier(s) on the claim line (e.g., add -25, -59, -LT/-RT).&lt;br&gt;• Resubmit corrected claim (or replacement with frequency 7).&lt;br&gt;• Appeal if applicable, with supporting documentation (e.g., op notes justifying modifier).&lt;/td&gt;&lt;/tr&gt;</t>
  </si>
  <si>
    <t>&lt;tr data-carc="CO 4" data-type="co" data-rarc="N837 — Alert: Missing modifier was added." data-denial="This is an informational alert (not a denial or adjustment reason). The payer automatically added a missing required modifier to the procedure code during processing, allowing the claim to be paid/adjudicated. No further action is needed from the provider for this claim, but it serves as a notice that the original submission was incomplete." data-root="• Positive: Claim processes and pays as if the modifier was submitted correctly.\n• Informational only—no write-off, appeal, or resubmission needed for this claim.\n• Signals potential future denials if missing modifiers continue (payer may stop auto-adding)."&gt;&lt;td&gt;&lt;div class="row-num"&gt;#13&lt;/div&gt;&lt;span class="carc-badge co"&gt;CO 4&lt;/span&gt;&lt;/td&gt;&lt;td&gt;&lt;span class="denial-reason"&gt;Invalid Modifier&lt;/span&gt;&lt;/td&gt;&lt;td class="rarc-wrap"&gt;&lt;div class="rarc-id"&gt;N837&lt;/div&gt;&lt;div class="rarc-desc"&gt;Alert: Missing modifier was added.&lt;/div&gt;&lt;/td&gt;&lt;td class="td-meaning"&gt;This is an informational alert (not a denial or adjustment reason). The payer automatically added a missing required modifier to the procedure code during processing, allowing the claim to be paid/adjudicated. No further action is needed from the provider for this claim, but it serves as a notice that the original submission was incomplete.&lt;/td&gt;&lt;td&gt;&lt;div class="chip-row"&gt;&lt;span class="chip chip-green"&gt;Payer (e.g., Medicare, certain commercial insurers) auto-corrects by adding a standard/required modifier (e.g., -25 for significant E/M with procedure, -59/-XU for distinct service, TC/-26 for component billing, -QW for CLIA-waived tests, or payer-specific like -KX for therapy).&lt;/span&gt;&lt;span class="chip chip-green"&gt;Often seen when the modifier is mandatory per policy/NCCI edits but was omitted.&lt;/span&gt;&lt;span class="chip chip-green"&gt;Pairs with CARC codes like 16 (missing info) or 4 (inconsistent modifier), but the alert confirms auto-fix.&lt;/span&gt;&lt;span class="chip chip-green"&gt;Common in Medicare MACs (Noridian, Novitas), Medicaid, and some payers with auto-adjudication rules.&lt;/span&gt;&lt;/div&gt;&lt;/td&gt;&lt;td&gt;&lt;div class="chip-row"&gt;&lt;span class="chip chip-green"&gt;Positive: Claim processes and pays as if the modifier was submitted correctly.&lt;/span&gt;&lt;span class="chip chip-green"&gt;Informational only—no write-off, appeal, or resubmission needed for this claim.&lt;/span&gt;&lt;span class="chip chip-green"&gt;Signals potential future denials if missing modifiers continue (payer may stop auto-adding).&lt;/span&gt;&lt;/div&gt;&lt;/td&gt;&lt;td class="td-res"&gt;• No action required for the current claim (payer already corrected it).&lt;br&gt;• Review the remittance advice (ERA/835) to see exactly which modifier was added (check remark or claim line details).&lt;br&gt;• Note the added modifier for future similar claims to avoid reliance on payer auto-correction.&lt;/td&gt;&lt;/tr&gt;</t>
  </si>
  <si>
    <t>&lt;tr data-carc="CO 97" data-type="co" data-rarc="N19 — Procedure code incidental to primary procedure." data-denial="The claim was adjusted or denied because the billed procedure code is considered incidental (integral, minor, or routinely performed as part of) the primary/major procedure already paid or included in the allowance for that primary code. Separate payment is not allowed under payer bundling rules, NCCI edits, CPT guidelines, or global surgical packages." data-root="• Billing a minor/incidental code separately instead of recognizing it as part of the primary procedure (unbundling).\n• No or incorrect modifier (e.g., -59/-XU not applied or not justified when service is distinct).\n• Violation of NCCI edits, CPT bundling rules, or global surgical package (e.g., pre/post-op work included).\n• Billing software or superbills not flagging incidental/bundled code pairs pre-submission.\n• Lack of documentation supporting that the service was distinct/separate (e.g., different site, unrelated reason).\n• Failure to check NCCI lookup tool or payer bundling policies before coding."&gt;&lt;td&gt;&lt;div class="row-num"&gt;#45&lt;/div&gt;&lt;span class="carc-badge co"&gt;CO 97&lt;/span&gt;&lt;/td&gt;&lt;td&gt;&lt;span class="denial-reason"&gt;Invalid Procedure Code&lt;/span&gt;&lt;/td&gt;&lt;td class="rarc-wrap"&gt;&lt;div class="rarc-id"&gt;N19&lt;/div&gt;&lt;div class="rarc-desc"&gt;Procedure code incidental to primary procedure.&lt;/div&gt;&lt;/td&gt;&lt;td class="td-meaning"&gt;The claim was adjusted or denied because the billed procedure code is considered incidental (integral, minor, or routinely performed as part of) the primary/major procedure already paid or included in the allowance for that primary code. Separate payment is not allowed under payer bundling rules, NCCI edits, CPT guidelines, or global surgical packages.&lt;/td&gt;&lt;td&gt;&lt;div class="chip-row"&gt;&lt;span class="chip chip-green"&gt;Minor incision or closure (e.g., simple repair code) billed separately with major surgery → bundled as incidental.&lt;/span&gt;&lt;span class="chip chip-green"&gt;Injection or aspiration (e.g., 20610 joint injection) performed during arthroscopy → denied as incidental to the arthroscopy code.&lt;/span&gt;&lt;span class="chip chip-green"&gt;Fluoroscopy or imaging guidance (e.g., 76000) billed with primary procedure where guidance is inherent → bundled.&lt;/span&gt;&lt;span class="chip chip-green"&gt;Biopsy or tissue sampling incidental to excision or resection procedure → no separate payment.&lt;/span&gt;&lt;span class="chip chip-green"&gt;Anesthesia monitoring or routine supplies during surgery billed separately → included in facility or primary allowance.&lt;/span&gt;&lt;span class="chip chip-green"&gt;E/M service incidental to a procedure on the same day (without significant separate E/M) → bundled.&lt;/span&gt;&lt;/div&gt;&lt;/td&gt;&lt;td&gt;&lt;div class="chip-row"&gt;&lt;span class="chip chip-green"&gt;Billing a minor/incidental code separately instead of recognizing it as part of the primary procedure (unbundling).&lt;/span&gt;&lt;span class="chip chip-green"&gt;No or incorrect modifier (e.g., -59/-XU not applied or not justified when service is distinct).&lt;/span&gt;&lt;span class="chip chip-green"&gt;Violation of NCCI edits, CPT bundling rules, or global surgical package (e.g., pre/post-op work included).&lt;/span&gt;&lt;span class="chip chip-green"&gt;Billing software or superbills not flagging incidental/bundled code pairs pre-submission.&lt;/span&gt;&lt;span class="chip chip-green"&gt;Lack of documentation supporting that the service was distinct/separate (e.g., different site, unrelated reason).&lt;/span&gt;&lt;span class="chip chip-green"&gt;Failure to check NCCI lookup tool or payer bundling policies before coding.&lt;/span&gt;&lt;/div&gt;&lt;/td&gt;&lt;td class="td-res"&gt;• Check NCCI edits (CMS NCCI lookup tool), CPT guidelines, or payer policy for the code pair and allowed modifiers.&lt;br&gt;• If bundling incorrect (e.g., service truly distinct/separate) → Add appropriate modifier (-59 or -X series) with supporting documentation.&lt;br&gt;• Resubmit corrected claim (frequency 7 replacement/corrected on 837P) with modifier and notes if needed.&lt;br&gt;• Appeal with medical records (e.g., op report, progress notes proving distinct service, different site/session).&lt;br&gt;• If bundling correct → Accept adjustment (post contractual write-off for incidental amount).&lt;/td&gt;&lt;/tr&gt;</t>
  </si>
  <si>
    <t>&lt;tr data-carc="CO 22" data-type="co" data-rarc="N193 — Alert: Specific federal/state/local program may cover this service through another payer." data-denial="This is an informational/alert remark code indicating that the payer (typically Medicare, Medicaid, or a commercial insurer) has identified that the billed service may be covered." data-root="• Patient has dual/multiple coverage involving a government program (e.g., Medicare + Medicaid, commercial + state WC).\n• Payer's systems detect indicators (e.g., diagnosis codes for injury, patient demographics, or prior claims) suggesting another federal/state/local payer may be liable.\n• Provider billed current payer as primary without verifying other program eligibility or COB rules.\n• MSP rules triggered (e.g., Medicare as secondary to WC, no-fault, or liability).\n• No pre-service check for other payer sources (e.g., accident-related, government program enrollment).\n• Claim submitted without proper COB information or other payer details."&gt;&lt;td&gt;&lt;div class="row-num"&gt;#46&lt;/div&gt;&lt;span class="carc-badge co"&gt;CO 22&lt;/span&gt;&lt;/td&gt;&lt;td&gt;&lt;span class="denial-reason"&gt;Covered by Another Payer&lt;/span&gt;&lt;/td&gt;&lt;td class="rarc-wrap"&gt;&lt;div class="rarc-id"&gt;N193&lt;/div&gt;&lt;div class="rarc-desc"&gt;Alert: Specific federal/state/local program may cover this service through another payer.&lt;/div&gt;&lt;/td&gt;&lt;td class="td-meaning"&gt;This is an informational/alert remark code indicating that the payer (typically Medicare, Medicaid, or a commercial insurer) has identified that the billed service may be covered.&lt;/td&gt;&lt;td&gt;&lt;div class="chip-row"&gt;&lt;span class="chip chip-green"&gt;Medicare denies or adjusts a claim for a service that may be covered under state Medicaid (dual-eligible patient) or a state-specific program.&lt;/span&gt;&lt;span class="chip chip-green"&gt;Claim for injury-related treatment where state workers' compensation or no-fault auto insurance (PIP) may be primary payer.&lt;/span&gt;&lt;span class="chip chip-green"&gt;Service for a veteran or active-duty military member; payer alerts that TRICARE or VA may cover through another payer.&lt;/span&gt;&lt;span class="chip chip-green"&gt;Pediatric service potentially covered under CHIP/SCHIP or state children's program instead of commercial plan.&lt;/span&gt;&lt;/div&gt;&lt;/td&gt;&lt;td&gt;&lt;div class="chip-row"&gt;&lt;span class="chip chip-green"&gt;Patient has dual/multiple coverage involving a government program (e.g., Medicare + Medicaid, commercial + state WC).&lt;/span&gt;&lt;span class="chip chip-green"&gt;Payer's systems detect indicators (e.g., diagnosis codes for injury, patient demographics, or prior claims) suggesting another federal/state/local payer may be liable.&lt;/span&gt;&lt;span class="chip chip-green"&gt;Provider billed current payer as primary without verifying other program eligibility or COB rules.&lt;/span&gt;&lt;span class="chip chip-green"&gt;MSP rules triggered (e.g., Medicare as secondary to WC, no-fault, or liability).&lt;/span&gt;&lt;span class="chip chip-green"&gt;No pre-service check for other payer sources (e.g., accident-related, government program enrollment).&lt;/span&gt;&lt;span class="chip chip-green"&gt;Claim submitted without proper COB information or other payer details.&lt;/span&gt;&lt;/div&gt;&lt;/td&gt;&lt;td class="td-res"&gt;• Verify patient eligibility for the suspected program via eligibility checks, payer portals, or contact the program directly.&lt;br&gt;• Determine correct primary payer and COB order (e.g., WC/no-fault primary over Medicare; Medicaid secondary to Medicare).&lt;br&gt;• Bill the other payer/program first if primary; obtain their EOB/payment and submit to current payer as secondary (if applicable).&lt;br&gt;• If current payer is primary → Resubmit with updated COB info or appeal with proof no other coverage applies.&lt;br&gt;• If patient qualifies for indigent/local program → Coordinate billing or application to that program; bill patient only if no coverage.&lt;/td&gt;&lt;/tr&gt;</t>
  </si>
  <si>
    <t>&lt;tr data-carc="CO 119" data-type="co" data-rarc="N362 — The number of Days or Units of Service exceeds our acceptable maximum." data-denial="The claim was denied or adjusted because the billed number of days, units, visits, or services exceeds the payer's allowable maximum limit for a specified time period, benefit category, or per-episode/per-year cap. The payer enforces strict quantitative restrictions (e.g., maximum visits per year, units per day, sessions per authorization) as defined in the patient's benefit plan, medical policy, or coverage guidelines." data-root="• Billed units/days/visits exceed the plan's hard limit (per year, per episode, per authorization, or per lifetime).\n• No prior check of benefit maximums during eligibility verification or pre-service authorization.\n• Authorization approved for fewer units/days than billed (e.g., auth for 12 PT visits; billed 18).\n• Benefit cap reset not accounted for (e.g., new calendar year but patient used prior-year limit).\n• Billing software or superbills not tracking or flagging benefit maximums per patient/plan.\n• Provider continued services beyond plan limit without patient consent or additional authorization."&gt;&lt;td&gt;&lt;div class="row-num"&gt;#47&lt;/div&gt;&lt;span class="carc-badge co"&gt;CO 119&lt;/span&gt;&lt;/td&gt;&lt;td&gt;&lt;span class="denial-reason"&gt;Benefit Maximum&lt;/span&gt;&lt;/td&gt;&lt;td class="rarc-wrap"&gt;&lt;div class="rarc-id"&gt;N362&lt;/div&gt;&lt;div class="rarc-desc"&gt;The number of Days or Units of Service exceeds our acceptable maximum.&lt;/div&gt;&lt;/td&gt;&lt;td class="td-meaning"&gt;The claim was denied or adjusted because the billed number of days, units, visits, or services exceeds the payer's allowable maximum limit for a specified time period, benefit category, or per-episode/per-year cap. The payer enforces strict quantitative restrictions (e.g., maximum visits per year, units per day, sessions per authorization) as defined in the patient's benefit plan, medical policy, or coverage guidelines.&lt;/td&gt;&lt;td&gt;&lt;div class="chip-row"&gt;&lt;span class="chip chip-green"&gt;Physical therapy billed 30 units/visits; plan limits 20 per year → denied for 10 excess units.&lt;/span&gt;&lt;span class="chip chip-green"&gt;Home health aide services billed 45 days in episode; Medicare or plan caps at 30 days → excess days denied.&lt;/span&gt;&lt;span class="chip chip-green"&gt;Chiropractic adjustments billed 40 visits; payer allows maximum 26 per year → denied for 14 over limit.&lt;/span&gt;&lt;span class="chip chip-green"&gt;Mental health therapy sessions (e.g., 90837) billed 25 per year; benefit max 15 → excess sessions patient responsibility.&lt;/span&gt;&lt;span class="chip chip-green"&gt;Dialysis sessions or infusion therapy exceed per-month or per-episode cap → over-limit units adjusted.&lt;/span&gt;&lt;/div&gt;&lt;/td&gt;&lt;td&gt;&lt;div class="chip-row"&gt;&lt;span class="chip chip-green"&gt;Billed units/days/visits exceed the plan's hard limit (per year, per episode, per authorization, or per lifetime).&lt;/span&gt;&lt;span class="chip chip-green"&gt;No prior check of benefit maximums during eligibility verification or pre-service authorization.&lt;/span&gt;&lt;span class="chip chip-green"&gt;Authorization approved for fewer units/days than billed (e.g., auth for 12 PT visits; billed 18).&lt;/span&gt;&lt;span class="chip chip-green"&gt;Benefit cap reset not accounted for (e.g., new calendar year but patient used prior-year limit).&lt;/span&gt;&lt;span class="chip chip-green"&gt;Billing software or superbills not tracking or flagging benefit maximums per patient/plan.&lt;/span&gt;&lt;span class="chip chip-green"&gt;Provider continued services beyond plan limit without patient consent or additional authorization.&lt;/span&gt;&lt;/div&gt;&lt;/td&gt;&lt;td class="td-res"&gt;• Verify billed units/days against the cap and any prior authorization limits (check auth letter or payer portal).&lt;br&gt;• If error in billing (e.g., typo in units) → Correct claim to stay within limit and resubmit (frequency 7 replacement/corrected).&lt;br&gt;• If excess justified (e.g., medical necessity) → Appeal with documentation (e.g., progress notes, physician letter justifying additional units) and request exception.&lt;br&gt;• If limit reached → Post write-off for excess amount; bill patient for over-limit portion (after notifying and obtaining consent).&lt;br&gt;• Obtain retroactive authorization for additional units if payer allows; resubmit once updated.&lt;/td&gt;&lt;/tr&gt;</t>
  </si>
  <si>
    <t>&lt;tr data-carc="CO 96" data-type="co" data-rarc="N428 — Not covered when performed in this place of service." data-denial="The claim was denied or adjusted because the service/procedure is not covered by the payer when performed in the billed place of service (POS)." data-root="• Service performed and billed in a POS not approved/covered by the payer for that code (e.g., facility vs. non-facility, hospital vs. office).\nIncorrect POS code used on claim (e.g., POS 11 office when service was in hospital outpatient POS 22).\n• Payer policy limits coverage to specific sites (e.g., Medicare site-of-service differential, commercial network rules, or Medicaid restrictions).\n• No pre-service verification of POS coverage for the procedure under the patient's plan.\n• Provider performed service in alternate location without updating billing or obtaining prior authorization for that POS."&gt;&lt;td&gt;&lt;div class="row-num"&gt;#48&lt;/div&gt;&lt;span class="carc-badge co"&gt;CO 96&lt;/span&gt;&lt;/td&gt;&lt;td&gt;&lt;span class="denial-reason"&gt;Non Covered Charge&lt;/span&gt;&lt;/td&gt;&lt;td class="rarc-wrap"&gt;&lt;div class="rarc-id"&gt;N428&lt;/div&gt;&lt;div class="rarc-desc"&gt;Not covered when performed in this place of service.&lt;/div&gt;&lt;/td&gt;&lt;td class="td-meaning"&gt;The claim was denied or adjusted because the service/procedure is not covered by the payer when performed in the billed place of service (POS).&lt;/td&gt;&lt;td&gt;&lt;div class="chip-row"&gt;&lt;span class="chip chip-green"&gt;Procedure (e.g., colonoscopy 45378) authorized/covered only in ASC (POS 24) or outpatient hospital (POS 22); billed in office (POS 11) → denied.&lt;/span&gt;&lt;span class="chip chip-green"&gt;Infusion therapy or chemotherapy covered in office or outpatient hospital; billed in inpatient hospital (POS 21) → non-covered in inpatient setting.&lt;/span&gt;&lt;span class="chip chip-green"&gt;DME delivery or fitting service covered in home (POS 12); billed in SNF or hospital → denied due to POS restriction.&lt;/span&gt;&lt;span class="chip chip-green"&gt;Minor surgery or injection covered in office; performed/billed in ER (POS 23) → not covered in ER setting.&lt;/span&gt;&lt;span class="chip chip-green"&gt;Telehealth service billed with POS 02 (telehealth) but payer restricts certain codes to POS 10 (home) or POS 02 only → denied for wrong POS.&lt;/span&gt;&lt;/div&gt;&lt;/td&gt;&lt;td&gt;&lt;div class="chip-row"&gt;&lt;span class="chip chip-green"&gt;Service performed and billed in a POS not approved/covered by the payer for that code (e.g., facility vs. non-facility, hospital vs. office).&lt;/span&gt;&lt;span class="chip chip-green"&gt;Incorrect POS code used on claim (e.g., POS 11 office when service was in hospital outpatient POS 22).&lt;/span&gt;&lt;span class="chip chip-green"&gt;Payer policy limits coverage to specific sites (e.g., Medicare site-of-service differential, commercial network rules, or Medicaid restrictions).&lt;/span&gt;&lt;span class="chip chip-green"&gt;No pre-service verification of POS coverage for the procedure under the patient's plan.&lt;/span&gt;&lt;span class="chip chip-green"&gt;Provider performed service in alternate location without updating billing or obtaining prior authorization for that POS.&lt;/span&gt;&lt;/div&gt;&lt;/td&gt;&lt;td class="td-res"&gt;• Check payer policy (e.g., Medicare Claims Processing Manual, payer provider manual, or medical policy) for POS coverage rules for the CPT/HCPCS code.&lt;br&gt;• If POS error (wrong code billed) → Correct POS to match actual service location and resubmit (frequency 7 replacement/corrected).&lt;br&gt;• If POS correct but service not covered there → Appeal with documentation (e.g., medical necessity notes, prior auth for that POS) if exception applies.&lt;br&gt;• If non-covered in billed POS → Accept denial (post write-off); bill patient if allowed (after ABN if Medicare-related), or coordinate transfer to covered POS/provider.&lt;br&gt;• Contact payer provider relations or portal to confirm POS policy and request reprocessing if misapplied.&lt;/td&gt;&lt;/tr&gt;</t>
  </si>
  <si>
    <t>&lt;tr data-carc="CO 97" data-type="co" data-rarc="N431 — Not covered with this procedure." data-denial="The claim was denied or adjusted because the billed service, supply, device, drug, or add-on code is not covered when performed or billed in conjunction with the primary/main procedure code on the claim." data-root="• Secondary code (supply, drug, device, add-on, or ancillary) not separately reimbursable per payer policy when paired with the specific primary procedure.\n• Payer medical policy, LCD/NCD, or bundling rules exclude coverage for the item with that primary code (e.g., "not separately payable," "included in global allowance").\n• No prior authorization or documentation supporting separate coverage for the item.\n• Billing error: Item billed separately instead of bundled into primary code or facility charge.\n• Lack of pre-claim check against payer's coverage policy for the code pair.\n• Patient plan excludes certain add-ons/supplies with specific procedures."&gt;&lt;td&gt;&lt;div class="row-num"&gt;#49&lt;/div&gt;&lt;span class="carc-badge co"&gt;CO 97&lt;/span&gt;&lt;/td&gt;&lt;td&gt;&lt;span class="denial-reason"&gt;Bundling&lt;/span&gt;&lt;/td&gt;&lt;td class="rarc-wrap"&gt;&lt;div class="rarc-id"&gt;N431&lt;/div&gt;&lt;div class="rarc-desc"&gt;Not covered with this procedure.&lt;/div&gt;&lt;/td&gt;&lt;td class="td-meaning"&gt;The claim was denied or adjusted because the billed service, supply, device, drug, or add-on code is not covered when performed or billed in conjunction with the primary/main procedure code on the claim.&lt;/td&gt;&lt;td&gt;&lt;div class="chip-row"&gt;&lt;span class="chip chip-green"&gt;Mesh implant (+49568 or C-code) billed with hernia repair; payer denies mesh as "not covered with this procedure" per policy.&lt;/span&gt;&lt;span class="chip chip-green"&gt;Intraoperative neurophysiological monitoring (95970–95972) billed with spinal fusion; denied as not covered with that specific surgery code.&lt;/span&gt;&lt;span class="chip chip-green"&gt;Sedation or anesthesia add-on billed with endoscopy; payer denies sedation as not separately covered with the endoscopy procedure.&lt;/span&gt;&lt;span class="chip chip-green"&gt;Drug or biologic (e.g., Botox injection) billed with trigger point injection or migraine code; denied as not covered with that primary procedure.&lt;/span&gt;&lt;/div&gt;&lt;/td&gt;&lt;td&gt;&lt;div class="chip-row"&gt;&lt;span class="chip chip-green"&gt;Secondary code (supply, drug, device, add-on, or ancillary) not separately reimbursable per payer policy when paired with the specific primary procedure.&lt;/span&gt;&lt;span class="chip chip-green"&gt;Payer medical policy, LCD/NCD, or bundling rules exclude coverage for the item with that primary code (e.g., "not separately payable," "included in global allowance").&lt;/span&gt;&lt;span class="chip chip-green"&gt;No prior authorization or documentation supporting separate coverage for the item.&lt;/span&gt;&lt;span class="chip chip-green"&gt;Billing error: Item billed separately instead of bundled into primary code or facility charge.&lt;/span&gt;&lt;span class="chip chip-green"&gt;Lack of pre-claim check against payer's coverage policy for the code pair.&lt;/span&gt;&lt;span class="chip chip-green"&gt;Patient plan excludes certain add-ons/supplies with specific procedures.&lt;/span&gt;&lt;/div&gt;&lt;/td&gt;&lt;td class="td-res"&gt;• Check payer policy (e.g., medical policy bulletin, LCD/NCD on CMS MCD, or provider manual) for the code pair to confirm non-coverage rule.&lt;br&gt;• If policy misapplied or documentation supports coverage → Appeal with records (e.g., op report, physician letter, prior auth showing separate approval).&lt;br&gt;• If truly not covered with primary → Accept adjustment (post write-off for denied amount); bill patient if plan allows (after ABN if Medicare-related).&lt;br&gt;• Resubmit corrected claim only if error (e.g., wrong primary code or missing modifier) or with updated authorization.&lt;br&gt;• Contact payer provider relations for clarification on the specific non-coverage policy or to request reprocessing.&lt;/td&gt;&lt;/tr&gt;</t>
  </si>
  <si>
    <t>&lt;tr data-carc="CO 96" data-type="co" data-rarc="N52 — Patient not enrolled in the billing provider's managed care plan on the date of service." data-denial="The claim was denied or adjusted because the patient was not enrolled in (or was ineligible for) the managed care plan (e.g., HMO, PPO, Medicaid managed care, Medicare Advantage) associated with the billing provider on the actual date of service. The payer determined that the patient did not have active coverage under that specific plan/provider network on the DOS, so services are non-covered under the plan's terms" data-root="• Patient's managed care plan enrollment was not active on the date of service (terminated, switched, or never effective).\n• Provider billed under wrong/inactive plan or network contract (e.g., patient's current plan differs from assumed).\n• Eligibility verification performed pre-service but not re-checked on/near DOS (eligibility can change daily).\n• Retroactive disenrollment or termination by payer (common in Medicaid/MA) not known to provider at time of service.\n• Billing error: Claim submitted to incorrect payer/plan ID or without updated eligibility response."&gt;&lt;td&gt;&lt;div class="row-num"&gt;#50&lt;/div&gt;&lt;span class="carc-badge co"&gt;CO 96&lt;/span&gt;&lt;/td&gt;&lt;td&gt;&lt;span class="denial-reason"&gt;Non Covered Charge&lt;/span&gt;&lt;/td&gt;&lt;td class="rarc-wrap"&gt;&lt;div class="rarc-id"&gt;N52&lt;/div&gt;&lt;div class="rarc-desc"&gt;Patient not enrolled in the billing provider's managed care plan on the date of service.&lt;/div&gt;&lt;/td&gt;&lt;td class="td-meaning"&gt;The claim was denied or adjusted because the patient was not enrolled in (or was ineligible for) the managed care plan (e.g., HMO, PPO, Medicaid managed care, Medicare Advantage) associated with the billing provider on the actual date of service. The payer determined that the patient did not have active coverage under that specific plan/provider network on the DOS, so services are non-covered under the plan's terms&lt;/td&gt;&lt;td&gt;&lt;div class="chip-row"&gt;&lt;span class="chip chip-green"&gt;Patient seen in-network under Provider A's HMO plan on 01/15, but disenrolled/terminated from plan effective 01/10 → denied for DOS 01/15.&lt;/span&gt;&lt;span class="chip chip-green"&gt;Medicaid managed care patient switches plans mid-month; provider in old plan but not new one → claim denied under old plan.&lt;/span&gt;&lt;span class="chip chip-green"&gt;Medicare Advantage plan enrollment lapses or retroactively canceled; provider bills MA plan → denied due to no active enrollment on DOS.&lt;/span&gt;&lt;span class="chip chip-green"&gt;Commercial PPO patient changes employers/plans; new plan not contracted with provider → services non-covered under billed plan.&lt;/span&gt;&lt;span class="chip chip-green"&gt;Patient enrolled in plan but eligibility not active on DOS (e.g., premium not paid, waiting period, or retroactive termination).&lt;/span&gt;&lt;/div&gt;&lt;/td&gt;&lt;td&gt;&lt;div class="chip-row"&gt;&lt;span class="chip chip-green"&gt;Patient's managed care plan enrollment was not active on the date of service (terminated, switched, or never effective).&lt;/span&gt;&lt;span class="chip chip-green"&gt;Provider billed under wrong/inactive plan or network contract (e.g., patient's current plan differs from assumed).&lt;/span&gt;&lt;span class="chip chip-green"&gt;Eligibility verification performed pre-service but not re-checked on/near DOS (eligibility can change daily).&lt;/span&gt;&lt;span class="chip chip-green"&gt;Retroactive disenrollment or termination by payer (common in Medicaid/MA) not known to provider at time of service.&lt;/span&gt;&lt;span class="chip chip-green"&gt;Billing error: Claim submitted to incorrect payer/plan ID or without updated eligibility response.&lt;/span&gt;&lt;/div&gt;&lt;/td&gt;&lt;td class="td-res"&gt;• Verify patient's current/active plan and enrollment date via payer portal, phone, or 270/271 transaction.&lt;br&gt;• If enrollment was active but flagged in error → Appeal with proof (e.g., eligibility screenshot, enrollment letter, or payer confirmation).&lt;br&gt;• If patient not enrolled in that plan on DOS → Identify correct primary payer/plan; bill that payer first and obtain EOB.&lt;br&gt;• Resubmit to correct payer or resubmit corrected claim to original payer if retroactive enrollment applies.&lt;br&gt;• If non-covered → Post write-off or bill patient (after notification; check state laws on balance billing and timely filing).&lt;/td&gt;&lt;/tr&gt;</t>
  </si>
  <si>
    <t>&lt;tr data-carc="CO 4" data-type="co" data-rarc="N784 — Missing comprehensive procedure code." data-denial="The claim was denied or adjusted because the billed code is an add-on, component, or partial/fragmented procedure code that requires a comprehensive/primary/base procedure code on the same claim to be payable." data-root="• Provider billed only the add-on/component/fragmented code instead of the full comprehensive/primary code that includes the work.\n• Primary comprehensive code omitted from the claim (e.g., denied separately or not submitted on same claim).\n• Misunderstanding CPT rules: Add-on codes (“+” symbol) and certain bundled services must always be paired with a primary code.\n• Billing software/superbills allowing standalone submission of add-on/component codes without validation.\n• Coding error: Selecting partial code instead of comprehensive one (e.g., billing separate supplies instead of inclusive code).\n• Claim split or resubmission: Primary code processed earlier; add-on billed later without linkage."&gt;&lt;td&gt;&lt;div class="row-num"&gt;#51&lt;/div&gt;&lt;span class="carc-badge co"&gt;CO 4&lt;/span&gt;&lt;/td&gt;&lt;td&gt;&lt;span class="denial-reason"&gt;Invalid Modifier&lt;/span&gt;&lt;/td&gt;&lt;td class="rarc-wrap"&gt;&lt;div class="rarc-id"&gt;N784&lt;/div&gt;&lt;div class="rarc-desc"&gt;Missing comprehensive procedure code.&lt;/div&gt;&lt;/td&gt;&lt;td class="td-meaning"&gt;The claim was denied or adjusted because the billed code is an add-on, component, or partial/fragmented procedure code that requires a comprehensive/primary/base procedure code on the same claim to be payable.&lt;/td&gt;&lt;td&gt;&lt;div class="chip-row"&gt;&lt;span class="chip chip-green"&gt;Add-on code (+49568 hernia mesh implantation) billed without the primary hernia repair code (e.g., 49560–49566).&lt;/span&gt;&lt;span class="chip chip-green"&gt;Component code (e.g., 76000 fluoroscopy) billed alone instead of with the primary surgical/endoscopic procedure it supports.&lt;/span&gt;&lt;span class="chip chip-green"&gt;Incidental service (e.g., simple repair 12001) billed separately from major surgery instead of bundled into the comprehensive code.&lt;/span&gt;&lt;span class="chip chip-green"&gt;Unlisted code or partial code (e.g., 20926 tissue graft) submitted without the primary reconstruction/excision code.&lt;/span&gt;&lt;/div&gt;&lt;/td&gt;&lt;td&gt;&lt;div class="chip-row"&gt;&lt;span class="chip chip-green"&gt;Provider billed only the add-on/component/fragmented code instead of the full comprehensive/primary code that includes the work.&lt;/span&gt;&lt;span class="chip chip-green"&gt;Primary comprehensive code omitted from the claim (e.g., denied separately or not submitted on same claim).&lt;/span&gt;&lt;span class="chip chip-green"&gt;Misunderstanding CPT rules: Add-on codes (“+” symbol) and certain bundled services must always be paired with a primary code.&lt;/span&gt;&lt;span class="chip chip-green"&gt;Billing software/superbills allowing standalone submission of add-on/component codes without validation.&lt;/span&gt;&lt;span class="chip chip-green"&gt;Coding error: Selecting partial code instead of comprehensive one (e.g., billing separate supplies instead of inclusive code).&lt;/span&gt;&lt;span class="chip chip-green"&gt;Claim split or resubmission: Primary code processed earlier; add-on billed later without linkage.&lt;/span&gt;&lt;/div&gt;&lt;/td&gt;&lt;td class="td-res"&gt;• Locate the appropriate comprehensive code that encompasses the service (refer to CPT parenthetical notes, add-on code instructions, or NCCI guidelines).&lt;br&gt;• Ensure both comprehensive/primary and add-on/component codes are on the same claim (add-on typically follows primary).&lt;br&gt;• Resubmit corrected claim with the comprehensive code included (frequency 7 replacement/corrected on 837P).&lt;br&gt;• Appeal with documentation (e.g., op report, progress notes) proving the comprehensive service was performed if payer misapplied.&lt;br&gt;• If primary already paid → Submit add-on as corrected claim or appeal to link payment.&lt;/td&gt;&lt;/tr&gt;</t>
  </si>
  <si>
    <t>Service denied – no X-ray taken or X-ray does not show required findings to support medical necessity (common for chiropractic manipulation, certain therapy/orthopedic services).</t>
  </si>
  <si>
    <t>CARC</t>
  </si>
  <si>
    <t>RARC</t>
  </si>
  <si>
    <t>Equipment purchase denied — allowed only in the 1st or 10th month of medical necessity per DME rules.</t>
  </si>
  <si>
    <t>The claim was denied because the oral anti-emetic drug was not administered immediately before, at the time of, or within 48 hours after a covered chemotherapy drug. Payers (Medicare, Medicaid, and most commercial plans) strictly limit coverage of oral anti-emetics to this specific time window to support chemotherapy administration. Outside this window, the drug is considered non-covered.</t>
  </si>
  <si>
    <t>The claim was denied because the service or procedure was performed using equipment that is not approved or cleared by the FDA for that specific purpose. Payers (Medicare, Medicaid, commercial) require FDA approval/clearance for devices, equipment, or technology used in billed services (e.g., certain therapeutic devices, diagnostic tools, DME).</t>
  </si>
  <si>
    <t>The claim was adjusted (reduced payment) because records show a break in therapy/use of the DME item, and the medical information does not fully support the need at the billed level/amount. Payer approved a lower payment and started a new capped rental period upon delivery of the equipment.</t>
  </si>
  <si>
    <t>M105 — Information supplied does not support a break in therapy. The medical information we have for this patient does not support the need for this item as billed.</t>
  </si>
  <si>
    <t>The claim was adjusted because records show a break in therapy/use of the DME item, triggering a new capped rental period upon delivery. Payment is limited to the maximum allowed under the fee schedule for the item/service (common in Medicare DME capped rental rules for items like oxygen, hospital beds, wheelchairs).</t>
  </si>
  <si>
    <t>The claim was reduced because records do not support a true break in therapy/use of the DME item, but the medical information also does not fully justify the need at the billed level/amount.</t>
  </si>
  <si>
    <t>Payment for erythropoiesis-stimulating agents (ESAs such as EPO or darbepoetin) was reduced because the patient's 90-day rolling average hematocrit level exceeded 36.5% (Medicare policy threshold for ESRD patients on dialysis).</t>
  </si>
  <si>
    <t>The payer issued a bundled payment for the teleconsultation service, but 25% of that payment must be forwarded to the referring practitioner (consultant or specialist who referred the patient). This is an informational remark to remind the billing provider of the split-payment requirement under certain telehealth or consultation policies</t>
  </si>
  <si>
    <t>The claim was denied because durable medical equipment (DME), orthotics, or prosthetics were billed to the wrong DME Medicare Administrative Contractor (MAC). Medicare requires billing to the MAC that covers the patient's geographic zip code (jurisdiction-based), not the provider's location or any other MAC.</t>
  </si>
  <si>
    <t>Chiropractic manipulative treatment (spinal adjustment) is denied because the patient refused an X-ray, which is required by the payer (Medicare and many commercial plans) to document subluxation or medical necessity before treatment begins.</t>
  </si>
  <si>
    <t>The claim was denied because the DME item was supplied by a provider/supplier that is not a contract winner or participant in the DMEPOS Competitive Bidding Program (CBP) or a related Demonstration Project in the patient's Competitive Bidding Area (CBA).</t>
  </si>
  <si>
    <t>Invalid National Drug Code (NDC)</t>
  </si>
  <si>
    <t>Physician must indicate on the claim if any part of the diagnostic test (technical component) was purchased/outsourced.</t>
  </si>
  <si>
    <t>Drug claim denied because the National Drug Code (NDC) is missing, incomplete, invalid, uses a deactivated/withdrawn number, or is in wrong format (usually must be 11 digits without hyphens).</t>
  </si>
  <si>
    <t>The claim was denied because it was submitted on paper (CMS-1500 or UB-04) instead of electronically (837 format). Certain payers (Medicare, Medicaid, some commercial) require electronic submission for specific services, providers, or claim types; paper claims are non-covered or rejected.</t>
  </si>
  <si>
    <t>The claim was denied because the billed service is covered only when performed in conjunction with a covered cryosurgical ablation procedure. Without the cryosurgery on the claim (or proper linkage), the service is non-covered.</t>
  </si>
  <si>
    <t>Chiropractic claim denied or adjusted because the level of subluxation (specific spinal segment(s) treated) is missing, incomplete (e.g., vague description), invalid (e.g., wrong format or non-existent code), or not documented properly to support medical necessity.
REAL SCENARIOS</t>
  </si>
  <si>
    <t>The claim was denied or adjusted because the drug furnished is missing key details: drug name, strength (e.g., mg/mL), or dosage (e.g., units administered). Payers require these in NDC claims or J-code lines to verify identity, quantity, and coverage.</t>
  </si>
  <si>
    <t>The claim was denied or adjusted because the claim does not indicate whether the patient owns the base equipment (e.g., wheelchair, ventilator, CPAP) for which the part, accessory, or supply (e.g., battery, tubing, cushion) is being billed.</t>
  </si>
  <si>
    <t>The claim was denied or adjusted because the required information on the period of time (start date, end date, duration, or estimated length of need) for the service, supply, or equipment is missing,</t>
  </si>
  <si>
    <t>The claim was denied or adjusted because the panel/multicomponent lab test (e.g., CMP, CBC, lipid panel) does not include or properly list the individual component lab codes (CPT/HCPCS) that make up the test.</t>
  </si>
  <si>
    <t>• Review EOB/ERA and original claim (CMS-1500 Box 21 or UB-04 FL 67) to identify principal Dx issue.
• Validate principal Dx against ICD-10 guidelines, date of service, and payer policies (e.g., CMS unacceptable list).
• Correct/add highest-specificity principal Dx from provider notes/records.
• Resubmit corrected claim (use frequency 7 replacement if applicable).
• Appeal with supporting documentation (e.g., progress notes, H&amp;P) if misapplied.
• Use payer portal for reopening/self-correction (e.g., Medicare MACs like Noridian).</t>
  </si>
  <si>
    <t>Payment adjusted to the amount calculated using New York's All Patients Refined Diagnosis Related Groups (APR-DRG) methodology per Insurance Regulation 68 (11 NYCRR Part 68). Applies mainly to no-fault auto insurance (PIP) and some workers' comp claims in NY; payer reimburses at APR-DRG base rate + severity/outlier adjustments instead of billed charges.</t>
  </si>
  <si>
    <t>The claim was adjusted because payment was calculated using the Diagnosis-Related Group (DRG) methodology. Inpatient services grouped by principal diagnosis, secondary diagnoses, procedures, demographics, and discharge status, then paid based on DRG relative weight and base rate (common in Medicare IPPS, Medicaid, and many commercial plans).</t>
  </si>
  <si>
    <t>Medicare (or primary payer) denied the claim because a liability insurer (auto liability, premises, general liability) reported Ongoing Responsibility for Medicals (ORM) to Medicare via Section 111 reporting for the diagnosis on this claim. MSP rules make the liability carrier primary; Medicare defers payment.</t>
  </si>
  <si>
    <t>Medicare (or primary payer) denied the claim because a no-fault insurer (auto PIP coverage in no-fault states like NY, FL, MI) reported Ongoing Responsibility for Medicals (ORM) to Medicare via Section 111 for the diagnosis on this claim. MSP rules make no-fault primary; Medicare defers payment.</t>
  </si>
  <si>
    <t>Medicare (or primary payer) denied the claim because a workers' compensation insurer reported Ongoing Responsibility for Medicals (ORM) to Medicare via Section 111 for the diagnosis on this claim. MSP rules make workers' comp primary; Medicare defers payment.</t>
  </si>
  <si>
    <t>The claim was denied or adjusted because one or more diagnosis codes lack required laterality (right, left, bilateral, or unspecified). Many ICD-10 codes (fractures, joint issues, skin lesions, eye/ear conditions) require specific laterality for proper adjudication, medical necessity, or matching procedure modifiers.</t>
  </si>
  <si>
    <t>The claim was denied because the required patient signature (or authorized representative's signature) is missing, incomplete (partial, illegible, no date), or invalid (e.g., electronic signature non-compliant, forged, or not on correct form/field). Applies mainly to paper claims (CMS-1500 Box 31, UB-04 certification field) or scanned attachments for assignment of benefits, release of information, or ABNs.</t>
  </si>
  <si>
    <t>The claim was denied or adjusted because the authorized/anticipated return-to-work date (or release-to-work date) is missing, incomplete (partial date), or invalid (future date, before injury/onset, illogical sequence). Required mainly on workers' comp, no-fault, disability, or occupational health claims (often UB-04 occurrence span code/date or 837I equivalent).</t>
  </si>
  <si>
    <t>The claim was denied or adjusted because the billed services, codes, units, dates, diagnosis, place of service, or other details do not match the pre-certification, prior authorization, or approved referral on file with the payer.</t>
  </si>
  <si>
    <t>The claim was denied or suspended because the payer (usually no-fault auto, liability, or workers' comp insurer) has no record of the injured patient signing a Medical Authorization/Release form (HIPAA-compliant release specific to the loss/accident).</t>
  </si>
  <si>
    <t>The claim was denied because the billing or rendering provider is not licensed, certified, registered, panel-approved, or otherwise authorized by the state/jurisdiction to treat injured workers under workers' compensation rules. Many states require specific credentials or panel enrollment for WC treatment.</t>
  </si>
  <si>
    <t>The claim was denied because the referral to a specialist, consultant, or ancillary provider (PT, imaging, etc.) was not properly authorized, approved, or documented by the attending/primary care physician. Many payers (HMOs, Medicaid managed care, commercial, some Medicare Advantage) require attending physician to generate or authorize the referral.</t>
  </si>
  <si>
    <t>The claim was denied because the HIPPS Treatment Authorization Code (TAC) — a 5-character code from OASIS (home health) or MDS (SNF) assessment — is missing, incomplete (wrong format/length), or invalid (expired, wrong grouping, not matching assessment). Required for Medicare home health (TOB 32x) and SNF PPS (TOB 21x/18x) claims to determine payment group.</t>
  </si>
  <si>
    <t>The claim was denied because the billing facility (hospital, outpatient center, SNF, home health agency, etc.) is not authorized, certified, enrolled, or approved by the payer to receive payment for the specific service(s) billed. Facility lacks required payer enrollment, network participation, or state-specific approval.</t>
  </si>
  <si>
    <t>The claim was denied because the billing or rendering provider (individual physician, NP/PA, therapist, supplier, etc.) is not authorized, enrolled, certified, licensed, or credentialed by the payer to receive payment for the specific service(s) billed. Payer will not reimburse the provider directly (unlike facility denials with N760).</t>
  </si>
  <si>
    <t>CO 185/8</t>
  </si>
  <si>
    <t>The claim was denied because the billing or rendering provider's type (individual vs. group, facility vs. professional) or specialty (e.g., MD vs. therapist, chiropractor vs. physician) is not permitted by the payer to bill or receive reimbursement for the specific service/procedure code. Payers enforce strict rules on "who can bill" based on licensure, scope of practice, supervision, or program guidelines.</t>
  </si>
  <si>
    <t>The claim was denied because the payer required supporting patient medical records (progress notes, operative reports, physician orders, test results, treatment plans) for the billed service, but no records were attached, uploaded, or provided. Common for services under medical review, medical necessity audits, pre-payment reviews, or specific payer policies (e.g., surgery, infusions, therapy, DME, high-cost drugs).</t>
  </si>
  <si>
    <t>The claim was denied or adjusted because separately billed services/tests were bundled into the primary procedure code as components of the same service. Separate payment is not allowed per NCCI edits, CPT guidelines, or payer policy (unbundling prohibition).</t>
  </si>
  <si>
    <t>The practitioner claim was denied or adjusted because the service was provided in a facility place of service (e.g., hospital outpatient, ASC, SNF) where payment for the service is included in the facility reimbursement. The practitioner cannot bill separately; the technical component is bundled into the facility payment.</t>
  </si>
  <si>
    <t>The claim was denied or rejected because the Type of Bill (TOB) code is missing, incomplete (wrong format/length), or invalid (not recognized or not allowed for the services/payer). TOB (4-digit code on UB-04 FL 4 or 837I CLM05-3) indicates claim type (e.g., hospital inpatient 111, home health 329, SNF 211) and is required for institutional claims to determine processing rules and payment.</t>
  </si>
  <si>
    <t>The claim was denied or adjusted based on a Local Coverage Determination (LCD) policy. LCDs are payer-specific guidelines (issued by Medicare MACs) that define coverage criteria, medical necessity requirements, diagnosis codes, documentation, and limitations for specific items/services. The remark informs the provider that the denial follows an LCD and provides the source (cms.gov/mcd) for the policy.</t>
  </si>
  <si>
    <t>The claim was denied because an add-on procedure code (+ symbol in CPT, e.g., +11045, +69990) was billed alone without its required primary/base procedure code on the same claim. Add-on codes are never payable independently; they must accompany the primary service they supplement.</t>
  </si>
  <si>
    <t>• Add-on code (+XXXXX) submitted without corresponding primary/base procedure code.
• Primary code omitted, on different claim, or not billed on same date of service.
• Billing software or manual entry error (add-on code selected alone).
• Provider unaware add-on codes require primary code on same claim.
• Coding error: Misidentifying an add-on code as standalone or forgetting to pair it.
• Claim split or resubmission error: Primary code processed earlier; add-on billed later without reference.
• Lack of pre-billing check for required primary code linkage per CPT guidelines.</t>
  </si>
  <si>
    <t>The service is restricted, limited, or subject to specific plan rules (e.g., frequency limits, prior authorization, medical necessity criteria, or exclusion). Payer advises checking the patient's benefit documents, policy guidelines, or summary plan description for exact coverage details/restrictions.</t>
  </si>
  <si>
    <t>The claim was denied or adjusted because the required indicator showing that X-ray films/images are available for review (by the payer or consultant) is missing, incomplete, or invalid. This is typically required for chiropractic, orthopedic, or certain diagnostic/manipulative services where payer policy demands proof of X-ray availability (e.g., Medicare chiropractic claims).</t>
  </si>
  <si>
    <t>The claim was denied because the payer allows only one initial/new patient visit per specialty within the same medical group per patient. Additional initial visits in the same specialty/group are not covered (common in managed care, HMO, Medicaid managed care, and some commercial plans to prevent duplicate billing).</t>
  </si>
  <si>
    <t>• No admitting diagnosis entered on UB-04 claim → denied.
• Admitting Dx lacks ICD-10 specificity (e.g., no 7th character for injury).
• Unacceptable admitting Dx (e.g., external cause or manifestation as principal).
• Inpatient claim denied due to invalid admitting diagnosis per Medicare Code Edits.</t>
  </si>
  <si>
    <t>• Workers' comp claim missing date of current illness/injury (Box 14 CMS-1500).
• Auto accident/no-fault claim denied – diagnosis date future or after date of service.
• Disability/therapy claim rejected – incomplete date (e.g., month/year only).</t>
  </si>
  <si>
    <t>• Inpatient claim with secondary comorbidity (e.g., acute exacerbation of CHF) missing date in occurrence span code → denied.
• Workers' comp or no-fault claim denied – secondary diagnosis date after discharge or principal onset without justification.
• UB-04 claim rejected – incomplete secondary Dx date (month/year only).</t>
  </si>
  <si>
    <t>• Procedure (e.g., cosmetic surgery) billed with non-qualifying diagnosis → denied.
• Lab test or imaging denied because Dx not on payer's covered list per LCD.
• DME (e.g., brace) not covered for the reported condition per policy.
• Therapy or injection denied as not indicated for the specific diagnosis.</t>
  </si>
  <si>
    <t>• Inpatient hospital stay for auto accident under NY no-fault PIP → paid at APR-DRG rate.
• Workers' comp or liability claim in NY adjusted using APR-DRG grouping and fee schedule.
• Motor vehicle injury claim processed per Reg 68 APR-DRG calculation (severity level applied).</t>
  </si>
  <si>
    <t>• Inpatient stay grouped and paid under Medicare MS-DRG (e.g., adjusted for severity).
• Hospitalization for acute care reduced to DRG reimbursement instead of per diem or charges.
• Secondary Dx/procedures changed DRG assignment → higher or lower payment applied.</t>
  </si>
  <si>
    <t>• Auto accident injury; liability insurer reported ORM for related diagnoses → Medicare denies matching lines.
• Slip-and-fall covered by premises liability; insurer reports ongoing medical responsibility.
• Third-party liability claim (product, dog bite) where insurer accepts long-term medical payments for the condition.</t>
  </si>
  <si>
    <t>• Auto accident injury; no-fault/PIP insurer reported ORM for related diagnoses → Medicare denies matching lines.
• PIP claim in no-fault state where insurer accepts ongoing medical payments for condition.
• Follow-up therapy/injections for prior auto injury denied because ORM still active.</t>
  </si>
  <si>
    <t>• Work-related back injury; workers' comp insurer reported ORM for related diagnoses → Medicare denies matching lines.
• Repetitive stress injury or occupational illness where insurer accepts ongoing medical payments.
• Follow-up therapy/surgery for prior work injury denied because ORM still active.</t>
  </si>
  <si>
    <t>• Fracture/sprain coded unspecified (e.g., S52.90) instead of right/left (S52.901/S52.902).
• Knee osteoarthritis (M17.9 unspecified) denied when payer requires M17.11 (right) or M17.12 (left).
• Skin ulcer or eye condition billed unspecified; procedure (RT/LT modifier) conflicts with Dx.</t>
  </si>
  <si>
    <t>• Elective surgery (knee replacement) billed without prior authorization number.
• MRI/CT or advanced imaging denied – missing precertification code.
• PT/OT sessions beyond initial limit billed without updated authorization number.
• DME (CPAP, wheelchair) submitted without payer authorization/reference number.</t>
  </si>
  <si>
    <t>• Paper CMS-1500 claim submitted without patient signature/date in Box 31.
• Assignment of benefits form missing patient signature → denied on non-par provider claim.
• ABN or financial responsibility form lacking valid patient signature.
• Medicaid/commercial claim requiring consent/release signature denied (illegible or unauthorized).</t>
  </si>
  <si>
    <t>• Workers' comp follow-up therapy claim missing authorized return-to-work date.
• Disability/occupational health service denied – return date future or after discharge.
• No-fault/auto liability claim rejected – incomplete return-to-work date (month/year only).</t>
  </si>
  <si>
    <t>• Authorization for 12 PT visits; claim billed 20 visits → excess denied.
• MRI authorized for lumbar spine only; claim included cervical → partial/full denial.
• Inpatient stay pre-certified for 3 days; claim billed 5 days → extra days denied.
• Referral to specialist authorized; claim included unauthorized add-on test → denied.</t>
  </si>
  <si>
    <t>• No-fault/PIP auto claim denied – patient did not sign insurer's medical authorization form.
• Liability (slip-and-fall) claim held – no signed release for medical records.
• Workers' comp claim rejected because injured worker refused or forgot to sign authorization for claims adjuster.</t>
  </si>
  <si>
    <t>• Chiropractor or PT treats work injury but not on state WC provider panel → denied.
• Out-of-state provider bills WC claim without jurisdictional authorization → rejected.
• Orthotist/prosthetist supplies brace for work injury without state WC certification → denied.
• Non-panel physician or clinic provides care for occupational injury → non-covered.</t>
  </si>
  <si>
    <t>• Patient self-referred to specialist (orthopedist, cardiologist) without PCP referral → denied.
• PT or DME services billed without signed referral/order from attending physician.
• Imaging/lab ordered by non-attending provider → denied due to no PCP/attending authorization.</t>
  </si>
  <si>
    <t>• Home health claim (TOB 329) billed without 5-character HIPPS TAC from OASIS → denied.
• SNF claim (TOB 211) missing HIPPS from 5-day MDS assessment.
• TAC incomplete (4 characters) or invalid (mismatched assessment date/grouping).</t>
  </si>
  <si>
    <t>• Non-participating hospital or outpatient center bills Medicare Advantage/commercial → denied.
• Home health agency or SNF not Medicare-certified or enrolled in patient's Medicare Advantage plan → rejected.
• Freestanding imaging/urgent care facility not authorized by Medicaid managed care or workers' comp → denied.</t>
  </si>
  <si>
    <t>• Physician or mid-level bills Medicare but not enrolled with valid NPI/PTAN → denied.
• Out-of-network specialist/therapist treats patient under Medicare Advantage/commercial → rejected.
• DME supplier or orthotist bills without proper accreditation/supplier standards compliance.
• Non-physician (NP/PA) bills independently when payer requires physician billing/supervision.</t>
  </si>
  <si>
    <t>• Chiropractor bills E/M code (99213) or injection (20610) restricted to MD/DO.
• Physical therapist bills physician-level procedure (e.g., 20550 tendon injection) without incident-to.
• Nurse practitioner bills surgical code requiring physician specialty in restricted state/plan.</t>
  </si>
  <si>
    <t>• Complex surgery (spinal fusion) denied pending operative report and pre-op notes.
• Infusion/chemotherapy claim denied – missing physician orders or infusion records.
• DME (power wheelchair) denied because face-to-face evaluation or detailed written order not submitted.
• PT/OT beyond initial visits denied without progress notes or functional assessment.</t>
  </si>
  <si>
    <t>• E/M visit billed with minor procedure on same day → E/M bundled into procedure.
• Lab test or imaging billed separately when considered part of main procedure (e.g., intra-operative monitoring).
• Injection or supply billed apart from surgical code that includes it.</t>
  </si>
  <si>
    <t>• Physician bills interpretation (-26) of X-ray performed in hospital outpatient department → denied (technical bundled in facility payment).
• Surgeon bills E/M in hospital outpatient clinic → denied (included in facility rate).
• Therapy or injection in ASC/SNF billed by practitioner → adjusted or denied (facility payment includes service).</t>
  </si>
  <si>
    <t>• Hospital inpatient claim submitted without TOB (e.g., blank FL 4) → rejected.
• Home health claim (should be 329) billed with invalid TOB (e.g., 110) → denied.
• SNF claim (should be 211) missing TOB or using wrong frequency digit → rejected.</t>
  </si>
  <si>
    <t>• Advanced imaging (MRI/CT) denied – diagnosis not on LCD covered list.
• DME (power wheelchair) denied – missing face-to-face evaluation or mobility assessment per LCD.
• Therapy services beyond limit denied – documentation fails LCD medical necessity criteria.
• Injectable drug or biologic denied – indication or diagnosis not meeting LCD requirements.</t>
  </si>
  <si>
    <t>• Physical therapy beyond 12 visits denied → payer points to plan visit limit.
• Advanced imaging (MRI) denied → restriction on non-emergent use without conservative treatment first.
• DME (CPAP) or specialty drug limited to certain diagnosis or step therapy → consult benefits.
• Cosmetic or experimental service partially covered → check exclusion list in plan docs.</t>
  </si>
  <si>
    <t>• Chiropractic adjustment denied – no spinal X-ray performed.
• Spinal decompression or PT denied – X-ray shows no misalignment/subluxation.
• Manipulation or injection denied – imaging lacks structural evidence justifying service.</t>
  </si>
  <si>
    <t>• Chiropractic manipulation (98940–98943) denied – no indicator that X-rays are available for review.
• Spinal adjustment claim rejected because X-ray availability box unchecked or invalid response.
• Orthopedic or pain management service requiring X-ray review denied – missing availability statement.</t>
  </si>
  <si>
    <t>• Patient sees two cardiologists in same medical group; second initial visit (99204) denied.
• New patient visit to orthopedic surgeon in same group after prior ortho visit → denied as duplicate initial.
• Specialty consult (e.g., neurology) billed as new patient but patient already seen by another neurologist in group.</t>
  </si>
  <si>
    <t>• Comprehensive metabolic panel (80053) billed without listing individual codes (e.g., 82374, 82435, 82947).
• CBC with differential (85025) denied – no breakdown of component codes submitted.
• Lipid panel (80061) claim rejected because individual cholesterol/triglyceride codes missing.</t>
  </si>
  <si>
    <t>• DME item (wheelchair, CPAP) billed without estimated length of need or end date.
• Home health or therapy plan denied – no start/end dates or duration specified.
• Oxygen or hospital bed claim rejected – missing “lifetime” or specific months/years of need.</t>
  </si>
  <si>
    <t>• Wheelchair battery or cushion billed without indicating patient owns the chair → denied.
• CPAP mask or tubing replacement denied – no ownership indicator for base CPAP machine.
• Ventilator filter or tracheostomy supply claim rejected because patient ownership of ventilator not specified.</t>
  </si>
  <si>
    <t>• Chemotherapy J-code billed without drug name, strength (e.g., 100 mg), or exact dosage units.
• Injectable (e.g., vaccine, biologic) claim rejected – missing strength or administered dose.
• Specialty drug infusion denied because dosage field blank or invalid.</t>
  </si>
  <si>
    <t>• Spinal manipulation (98940–98943) billed without specifying subluxation level (e.g., C5, L4-5).
• Chiropractic claim denied – subluxation listed as “lumbar” instead of specific segment(s).
• Multiple-region adjustment billed without documenting exact levels for each region.</t>
  </si>
  <si>
    <t>• Prostate brachytherapy or radiation service denied – no cryosurgical ablation on same claim.
• Ancillary procedure (e.g., biopsy, imaging guidance) billed separately without matching cryosurgery code.
• Follow-up treatment after cryoablation denied because ablation not documented or billed together.</t>
  </si>
  <si>
    <t>• ECG or X-ray global billing without marking purchased services.
• Lab/radiology outsourced; claim lacks indicator.
• Interpretation-only billing without disclosing purchased component.</t>
  </si>
  <si>
    <t>• Chemotherapy J-code billed without NDC or with wrong 11-digit format.
• Injectable/vaccine claim rejected – NDC is 10 digits instead of 11.
• Specialty drug or insulin denied because NDC is deactivated or withdrawn.</t>
  </si>
  <si>
    <t>• Paper CMS-1500 or UB-04 claim denied for service requiring electronic billing (high-volume provider).
• Medicare DME or therapy claim rejected when submitted on paper instead of 837P/837I.
• Medicaid or commercial plan denies paper claim for professional or institutional services.</t>
  </si>
  <si>
    <t>• CPAP supplied by non-winning bidder in patient's CBA → denied.
• Power wheelchair or oxygen equipment from non-contract supplier in competitive bidding area.
• Orthotic brace or hospital bed provided by supplier not part of CBP or demonstration project.</t>
  </si>
  <si>
    <t>• Spinal manipulation (98940–98943) denied after patient refused spinal X-ray.
• Chiropractic adjustment for back pain denied due to no X-ray performed.
• Follow-up manipulation visit denied because initial X-ray was refused.</t>
  </si>
  <si>
    <t>• Wheelchair billed to Jurisdiction B MAC when patient lives in Jurisdiction A zip code → denied.
• CPAP or orthotic brace submitted to wrong DME MAC based on patient residence.
• Prosthetic limb claim sent to provider's local MAC instead of patient's zip code MAC.
• Oxygen equipment billed to incorrect jurisdiction (e.g., Noridian instead of Palmetto for patient's area).</t>
  </si>
  <si>
    <t>• Teleconsultation between primary provider and specialist; payer pays bundled amount to primary but requires 25% sent to referring specialist.
• Remote consultation billed by consulting physician; payer issues bundled payment and instructs 25% share to referring doctor.
• Telehealth referral case where primary provider bills the service; payer pays full bundled rate but mandates 25% pass-through to referrer.</t>
  </si>
  <si>
    <t>• ESRD patient on dialysis receiving EPO injections; 90-day average hematocrit &gt;36.5% → reduced payment for ESA.
• Darbepoetin claim for chronic kidney disease patient denied or adjusted due to elevated rolling hematocrit average.
• Monthly ESA billing reduced because recent labs show hematocrit consistently above 36.5% over 90 days.</t>
  </si>
  <si>
    <t>• Oxygen concentrator rental continued after short gap; records show no real break but need not fully documented → payment reduced.
• CPAP or hospital bed rental billed at full rate; payer finds insufficient medical justification for full amount.
• Wheelchair rental ongoing; medical notes do not support billed level of need → adjusted to lower approved rate.</t>
  </si>
  <si>
    <t>• Oxygen concentrator rental resumed after gap → new 13-month capped rental period started.
• Hospital bed or CPAP rental restarted after break → payment capped at fee schedule maximum.
• Wheelchair or nebulizer rental billed after interruption → new rental cycle began with delivery date.</t>
  </si>
  <si>
    <t>• Oxygen concentrator rental resumed after gap; medical records do not justify full billed amount → reduced payment + new rental period.
• Hospital bed or CPAP rental restarted after break; payer approves lower rate and resets capped rental cycle.
• Wheelchair or nebulizer rental billed at full rate after interruption; payer reduces to supported level and begins new 13-month capped rental.</t>
  </si>
  <si>
    <t>• Treatment using a non-FDA-cleared laser or device for pain relief denied.
• Experimental or investigational equipment used for physical therapy or wound care.
• DME item (e.g., unapproved TENS unit, compression pump) billed under Medicare.
• Diagnostic test or procedure performed on device lacking FDA 510(k) clearance or PMA for the indication.
• Commercial payer denies claim for biofeedback or electrical stimulation device not FDA-approved for billed use.
• Investigational device exemption (IDE) not in place, leading to non-coverage.</t>
  </si>
  <si>
    <t>• Oral nausea medication (e.g., ondansetron) billed separately without matching chemotherapy on the same claim.
• Anti-emetic given more than 48 hours after chemotherapy session.
• Supportive oral drug billed on a different date than the covered chemo infusion.
• Medicare claim for oral anti-emetic denied when not tied to a covered chemotherapy drug within the 48-hour window.
• Commercial payer denies oral Zofran when administered 3 days after chemo.
• Follow-up anti-emetic for delayed nausea denied because it falls outside the 48-hour coverage rule.</t>
  </si>
  <si>
    <t>• Wheelchair billed as purchase in month 4–9.
• Hospital bed converted to purchase too early.
• Capped rental item billed as purchase outside allowed window.</t>
  </si>
  <si>
    <t>• Second (or more) initial/new patient visit billed in same specialty within same medical group.
• Provider unaware of payer’s “one initial per specialty per group” rule.
• Billing system or staff did not check prior visits in group/specialty.
• Patient seen by multiple providers in same specialty/group without coordination.</t>
  </si>
  <si>
    <t>• Review patient history in group/specialty to confirm prior initial visit.
• If error (e.g., established patient miscoded as new) → correct to established code (99213–99215) and resubmit (frequency 7).
• If second initial justified (e.g., different group) → appeal with proof (different TIN/group NPI, prior visit records).
• Accept denial and write off or bill patient if rule applies.
Contact payer to verify group/specialty definition if unclear.</t>
  </si>
  <si>
    <t>• X-ray availability indicator (CMS-1500 Box 19 or remarks, or 837P NTE segment) left blank or omitted.
• Invalid response (e.g., wrong code/wording instead of “X-rays available” or “on file”).
• Billing software/manual entry failed to include required indicator.
• Provider unaware of payer requirement for X-ray availability statement.</t>
  </si>
  <si>
    <t>• Review claim (Box 19 CMS-1500 or remarks) for X-ray availability indicator.
• Confirm X-rays were taken and are available (check patient chart/images).
• Correct claim: Add indicator (e.g., “X-rays available for review” in Box 19 or remarks).
• Resubmit corrected claim (frequency 7).
• Appeal with documentation (X-ray report, date taken, storage location) if misapplied.</t>
  </si>
  <si>
    <t>• Panel code billed without required individual component codes in remarks or attachment.
• Incomplete/invalid list of included tests (missing some CPTs or wrong codes).
• Billing software or manual entry omitted component breakdown.
• Provider unaware of payer requirement to itemize lab panel components.</t>
  </si>
  <si>
    <t>• Review claim and lab requisition/report to identify all individual component codes in the panel.
• Correct claim: Add individual CPT/HCPCS codes in remarks (Box 19 CMS-1500) or attachment (837P Loop 2400 NTE).
• Resubmit corrected claim (frequency 7).
• Appeal with lab report or requisition showing all components included in the panel.
• If panel code correct but payer misapplied → resubmit with clarification.</t>
  </si>
  <si>
    <t>• Period of need field blank or omitted (e.g., no dates in remarks or attachment).
• Incomplete/invalid format (e.g., vague “ongoing” instead of specific dates).
• Physician certification lacks clear duration of medical necessity.
• Billing software or manual entry failed to include required period information.</t>
  </si>
  <si>
    <t>• Review physician certification or treatment plan for documented period of need (start/end dates or duration).
• Correct claim: Add period of need in remarks (CMS-1500 Box 19) or attachment (837P Loop 2400 NTE).
• Resubmit corrected claim (frequency 7).
• Appeal with updated certification or notes showing medical necessity duration.
• If no documentation → obtain new physician certification and resubmit.</t>
  </si>
  <si>
    <t>• Ownership indicator (e.g., “patient owns equipment” checkbox or remark) left blank or missing.
• Claim does not specify if part/supply is for patient-owned or supplier-owned equipment.
• Billing software or manual entry omitted ownership field.
• Provider unaware of payer requirement for ownership disclosure on replacement/repair claims.</t>
  </si>
  <si>
    <t>• Review claim and obtain documentation showing patient owns the base equipment (e.g., delivery receipt, prior claim).
• Correct claim: Add ownership indicator (CMS-1500 Box 19 or remarks; UB-04 FL 63 or remarks).
• Resubmit corrected claim (frequency 7).
• Appeal with proof of patient ownership (delivery ticket, prior approval, or patient statement).
• If supplier owns equipment → resubmit under rental/repair rules if applicable.</t>
  </si>
  <si>
    <t>• Drug name, strength, or dosage not entered on claim.
• Incomplete/invalid format (e.g., dosage in wrong units, missing mg).
• Billing software or manual entry error (typo or omitted fields).
• NDC line missing corresponding drug details.</t>
  </si>
  <si>
    <t>• Review claim and obtain exact drug name, strength, and administered dosage from pharmacy record or administration log.
• Correct claim: Add details in NDC line (Loop 2410 on 837P) or remarks (Box 19 CMS-1500).
• Resubmit corrected claim (frequency 7).
• Appeal with administration record/pharmacy label showing correct name/strength/dosage.</t>
  </si>
  <si>
    <t>• Subluxation level not documented or entered on claim (required in Box 21 diagnosis or remarks).
• Vague or non-specific description used (e.g., “low back” instead of L4-L5).
• Invalid or incorrect spinal segment code/format.
• Provider notes lack clear subluxation diagnosis linking to treatment.</t>
  </si>
  <si>
    <t>• Review patient chart for specific subluxation level(s) documented by chiropractor.
• Correct claim: Add precise level(s) in diagnosis field (Box 21 CMS-1500) or remarks.
• Resubmit corrected claim (frequency 7).
• Appeal with treatment notes showing exact subluxation level and medical necessity.
• If documentation missing → obtain updated notes from provider and resubmit.</t>
  </si>
  <si>
    <t>• Cryosurgical ablation not performed or not billed on the same claim.
• Service billed separately without linkage to cryoablation (e.g., no modifier or same DOS).
• Provider unaware of payer policy requiring cryosurgery as prerequisite.
• Documentation lacks evidence of cryoablation or its medical necessity for the service.</t>
  </si>
  <si>
    <t>• Verify if cryosurgical ablation was performed (check procedure notes, operative report).
• If performed → resubmit claim with cryoablation code (e.g., 53899 or appropriate CPT) on same DOS or linked.
• If not performed → accept denial or appeal with clinical justification if policy allows standalone coverage.
• Attach supporting documentation (op report, cryoablation details) on resubmission or appeal.
• Post write-off or bill patient (after ABN if Medicare) if truly non-covered.</t>
  </si>
  <si>
    <t>• Box 20 (CMS-1500) left blank or “No” when services were purchased.
• No equivalent indicator on UB-04 (FL 39–41 or remarks).
• Billing software did not prompt for purchased service disclosure.</t>
  </si>
  <si>
    <t>• Check Box 20 on CMS-1500 (or UB-04 equivalent) for purchased services indicator.
• Correct claim: Mark “Yes” in Box 20 (CMS-1500) and enter purchased amount if required.
• Resubmit corrected claim (frequency 7).
• Appeal with documentation showing purchased vs. performed components.</t>
  </si>
  <si>
    <t>• NDC field left blank or omitted.
• Wrong format (hyphens kept, 10 digits, typo).
• NDC deactivated or withdrawn by manufacturer.
• Billing software/manual entry error (wrong drug selected).</t>
  </si>
  <si>
    <t>• Obtain correct 11-digit NDC from package label, invoice, or FDA database.
• Correct NDC in claim (CMS-1500 Box 24A or Loop 2410 LIN02 on 837P).
• Resubmit corrected claim (frequency 7).
• If deactivated/withdrawn → switch to current equivalent drug or appeal with justification.</t>
  </si>
  <si>
    <t>• Claim submitted on paper instead of electronically.
• Provider not set up for electronic submission (no clearinghouse or direct EDI).
• Payer policy mandates electronic billing for the service/provider type.
• Oversight: Paper used for convenience or error.</t>
  </si>
  <si>
    <t>• Confirm payer requires electronic submission for the service/provider.
• Convert and resubmit claim electronically via clearinghouse or direct EDI (837P/837I).
• If paper was allowed in rare exception → appeal with justification.
• Accept denial and write off if electronic resubmission not possible.
• Reprocess electronically to receive payment.</t>
  </si>
  <si>
    <t>• Supplier not a winning bidder or demonstration participant in patient's CBA.
• Item falls under CBP or demonstration rules for patient's zip code.
• Provider billed without checking contract/demonstration status.
• Patient resides in CBA but supplier is outside program.</t>
  </si>
  <si>
    <t>• Verify patient's zip code is in a CBA and check supplier's CBP/demonstration status (CMS map or DME MAC).
• If supplier is non-contract → refer patient to a contract winner or accept denial.
• If error (supplier is contract winner) → resubmit with proof of contract status.
• Appeal with documentation showing supplier participation if misapplied.
• Post write-off or bill patient (after ABN if Medicare).</t>
  </si>
  <si>
    <t>• Patient refused X-ray when offered or required.
• No X-ray ordered or documented before starting treatment.
• Provider did not obtain signed refusal or alternative documentation.
• Payer policy (e.g., Medicare chiropractic coverage) requires X-ray ignored.</t>
  </si>
  <si>
    <t>• Confirm if X-ray was offered and refused (check patient notes).
• Obtain signed patient refusal form if not already done.
• Resubmit with refusal documentation or X-ray report if performed later.
• Appeal with clinical notes showing medical necessity despite refusal.
• If no X-ray possible → accept denial and bill patient (after ABN if Medicare).</t>
  </si>
  <si>
    <t>• Wrong DME MAC selected based on provider location instead of patient zip code.
• Patient zip code not verified or updated in billing system.
• No lookup of current DME MAC jurisdiction map before submission.
• Billing staff unaware of Medicare DME jurisdiction rules.</t>
  </si>
  <si>
    <t>• Verify patient's current zip code and look up correct DME MAC jurisdiction (use CMS DME MAC Jurisdiction Map).
• Resubmit claim to the correct MAC with updated billing information.
• Appeal with proof of correct jurisdiction (patient address, zip code) if misapplied.
• Contact wrong MAC to forward claim or obtain denial letter for re-submission.</t>
  </si>
  <si>
    <t>• Teleconsultation billed under bundled payment rule without splitting payment to referring practitioner.
• Provider unaware of 25% referral share requirement in the payer's teleconsultation policy.
• No mechanism in billing system to track and forward 25% to referring provider.
• Payment received but not redistributed as required.</t>
  </si>
  <si>
    <t>• Confirm bundled payment amount and referring practitioner details from EOB/ERA.
• Calculate 25% of the teleconsultation payment and send to the referring practitioner promptly.
• Keep record of payment sent (check, EFT, or transfer receipt) for audit/compliance.
• Respond to payer inquiry if requested (proof of payment to referrer).
• Update billing notes to reflect split-payment compliance for future reference.</t>
  </si>
  <si>
    <t>• Patient's hematocrit levels exceeded 36.5% on 90-day rolling average.
• No medical justification or exception documented for higher target.
• ESA dosing not adjusted based on hematocrit trends.
• Labs not monitored or reported timely to prevent over-threshold average.</t>
  </si>
  <si>
    <t>• Review recent labs and 90-day hematocrit average to confirm threshold breach.
• Check if exception applies (e.g., documented medical reason for higher target).
• Resubmit with supporting documentation if reduction was misapplied.
• Appeal with lab trends, physician notes, and justification for continued ESA.
• Accept reduction and adjust future dosing to keep hematocrit ≤36.5%.</t>
  </si>
  <si>
    <t>• No documented break in therapy (payer sees continuity).
• Medical records/physician notes insufficient to support ongoing need at the full billed level.
• Documentation lacks specificity, updated certification, or evidence of continued medical necessity.
• Provider billed full amount without adjusting for reduced medical support.</t>
  </si>
  <si>
    <t>• Gather updated physician notes or documentation justifying higher need if possible.
• Resubmit corrected claim at the approved/reduced level with supporting records attached.
• Appeal with detailed medical evidence (progress notes, orders) showing continued necessity at billed amount.
• Accept adjustment and post write-off for difference if records confirm payer's decision.</t>
  </si>
  <si>
    <t>• Documented break in continuous therapy or equipment use.
• No documentation preventing new rental period reset.
• Provider billed without accounting for rental cycle restart.
• Payer policy automatically resets capped rental after therapy gap.</t>
  </si>
  <si>
    <t>• Review EOB/ERA, rental history, and delivery date to confirm break and new period start.
• Verify fee schedule maximum for the item and accept capped adjustment.
• Resubmit corrected claim if rental period miscalculated or break not accurate.
• Appeal with proof of continuous use if records show no true break.
• Post write-off for any difference beyond the maximum approved amount.</t>
  </si>
  <si>
    <t>• Break in therapy or continuous use documented, triggering new rental period.
• Medical records/physician notes do not support ongoing need at the full billed level or amount.
• Insufficient documentation of continued medical necessity during the gap.
• Provider billed full amount without adjusting for reduced support or new rental start.</t>
  </si>
  <si>
    <t>• Review EOB/ERA, medical records, and rental history to confirm break and medical necessity level.
• Gather updated physician notes or documentation justifying higher need if possible.
• Resubmit corrected claim at the approved/reduced level with supporting records attached.
• Appeal with detailed medical evidence (progress notes, orders) showing continued necessity at billed amount.
• Accept adjustment and post write-off for difference if records confirm payer's decision.</t>
  </si>
  <si>
    <t>• Equipment used lacks FDA approval/clearance for the specific service or indication.
• Provider selected non-approved device without verifying FDA status.
• Failure to check FDA database (510(k), PMA, De Novo) before treatment.
• Billing without confirming equipment meets payer FDA requirement.
• Documentation does not reference FDA approval or device clearance number.
• Payer policy (e.g., Medicare NCD/LCD) requires FDA-approved equipment ignored.</t>
  </si>
  <si>
    <t>• Verify FDA status of the device (FDA 510(k) database, PMA, or classification) for the specific use.
• If equipment is FDA-approved but flagged in error → Resubmit with FDA clearance documentation attached (e.g., 510(k) letter, device labeling).
• If not approved → Switch to FDA-approved equipment and re-perform service if possible, then resubmit.
• Appeal with FDA approval proof, device manual, or clinical justification if policy allows exception.
• If non-covered → Post write-off or bill patient (after ABN if Medicare).</t>
  </si>
  <si>
    <t>• Anti-emetic administered outside the required 48-hour window around chemotherapy.
• No chemotherapy service billed on the same claim or within the allowed timeframe.
• Incorrect billing of supportive care drugs without linking to the qualifying chemotherapy drug.
• Failure to verify payer-specific anti-emetic coverage rules during pre-service or billing.
• Documentation does not clearly show the timing relationship between chemo and anti-emetic.
• Claim submitted without referencing the chemotherapy drug or administration date.</t>
  </si>
  <si>
    <r>
      <t xml:space="preserve">• Review EOB/ERA and original claim to confirm the timing issue and any attached documentation.
• Verify chemotherapy administration date and anti-emetic timing from medical records.
• If timing was compliant → Resubmit claim with chemotherapy drug linked and timing clearly documented.
</t>
    </r>
    <r>
      <rPr>
        <b/>
        <sz val="10"/>
        <color theme="1"/>
        <rFont val="Calibri"/>
        <family val="2"/>
      </rPr>
      <t xml:space="preserve">• </t>
    </r>
    <r>
      <rPr>
        <sz val="10"/>
        <color theme="1"/>
        <rFont val="Calibri"/>
        <family val="2"/>
      </rPr>
      <t>If outside window → Obtain new authorization or appeal with clinical notes showing medical necessity.
• If truly non-covered → Post write-off or bill patient (after ABN if Medicare).
• Use payer portal to check anti-emetic policy and resubmit with correct linkage.</t>
    </r>
  </si>
  <si>
    <t>• Purchase billed outside 1st or 10th month.
• No rental history documented.
• Timing rules not followed.</t>
  </si>
  <si>
    <t>• Verify rental months and medical necessity timeline.
• Resubmit as rental if still within rental period.
• Appeal with documentation if purchase timing is justified.</t>
  </si>
  <si>
    <t>• No X-ray ordered or performed before treatment.
• X-ray taken but shows normal findings (no subluxation/pathology).
• X-ray report not documenting required criteria (e.g., misalignment).
• Payer policy for X-ray justification ignored.</t>
  </si>
  <si>
    <t>• Check if X-ray was done and report supports service (subluxation or pathology).
• If available &amp; sufficient → resubmit with X-ray report attached.
• If missing or insufficient → order new X-ray if appropriate, document findings, then resubmit.
• Appeal with clinical notes + X-ray showing necessity if denied incorrectly.</t>
  </si>
  <si>
    <t>• Service exceeds plan limits (visits, quantity, frequency).
• Prior authorization, step therapy, or medical necessity not met per policy.
• Provider unaware of patient-specific benefit restrictions.
• Claim billed without verifying coverage guidelines.</t>
  </si>
  <si>
    <t>• Identify add-on code from EOB and confirm primary code needed (CPT book or NCCI lookup).
• Verify primary procedure was performed and billed (same DOS, same claim).
• Resubmit corrected claim including both primary and add-on codes (frequency 7).
• If primary code already billed separately → appeal with claim history and documentation showing linkage.
• Accept denial if no primary procedure performed (post write-off).</t>
  </si>
  <si>
    <t>• Service/diagnosis does not meet LCD coverage criteria (wrong Dx code, missing documentation, insufficient medical necessity).
• Provider unaware of applicable LCD for the service/item in the MAC jurisdiction.
• Documentation incomplete or not submitted (e.g., no physician order, no progress notes).
• Billing without checking LCD policy during pre-service or claim preparation.</t>
  </si>
  <si>
    <t>• Access the LCD policy via cms.gov/mcd (search by LCD number or keyword) or contact MAC.
• Review LCD requirements (covered Dx list, documentation, frequency limits).
• Correct claim/documentation to meet LCD criteria (add Dx, attach notes/orders).
• Resubmit corrected claim (frequency 7) with required supporting records.
• Appeal with full documentation proving compliance with LCD (progress notes, orders, test results).
• If non-covered per LCD → accept denial or bill patient (after ABN if Medicare).</t>
  </si>
  <si>
    <t>• TOB field (UB-04 FL 4 or 837I CLM05-3) left blank or omitted.
• Wrong/invalid TOB code entered (incorrect facility type or frequency digit).
• Billing software/manual entry error (typo or wrong selection).
• Provider unaware of correct TOB for service type (inpatient, outpatient, home health, SNF).
• TOB	Facility Type
111	Hospital Inpatient
121	Hospital Inpatient Part B
131	Hospital Outpatient
137	Hospital Outpatient Replacement
141	Hospital Lab
151	Skilled Nursing Facility
171	Rural Health Clinic
181	Swing Bed
191	Religious Non-Medical
831	Ambulatory Surgery Center</t>
  </si>
  <si>
    <t>• Review UB-04 FL 4 (or 837I CLM05-3) and confirm correct TOB for service (e.g., 111 inpatient, 131 outpatient hospital, 329 home health).
• Correct TOB code per payer guidelines (CMS TOB list or payer manual).
• Resubmit corrected claim (frequency 7).
• Appeal with corrected TOB and documentation if misapplied.
• Contact payer if TOB rejection persists (verify allowed codes).</t>
  </si>
  <si>
    <t>• Service billed by practitioner in facility POS (e.g., 21, 22, 23, 24) where technical component is bundled.
• Place of service code incorrect or not matching facility reimbursement rules.
• Provider unaware of payer bundling policy for facility-based services.
• Billing software did not flag practitioner claims in facility POS.</t>
  </si>
  <si>
    <t>• Review POS code on claim (CMS-1500 Box 24B or 837P Loop 2300 CLM05-1) and confirm facility setting.
• If correct facility POS → accept denial (payment bundled in facility claim).
• If POS error (e.g., should be office) → correct POS and resubmit (frequency 7).
• Appeal with documentation showing non-facility setting if misapplied.
• Coordinate with facility billing to ensure proper facility claim submission.</t>
  </si>
  <si>
    <t>• Unbundling: Billing component services separately instead of using comprehensive code.
• Missing or incorrect modifier (e.g., -59/-XU not used or not justified).
• Provider unaware of NCCI edits or payer bundling rules.
• Billing software did not flag bundled services.</t>
  </si>
  <si>
    <t>• Review NCCI edits and payer policy for the billed codes to confirm bundling.
• If modifier appropriate (e.g., -59 for distinct service) → add correct modifier and resubmit (frequency 7).
• If truly bundled → accept adjustment and post write-off.
• Appeal with documentation (op notes, progress notes) proving distinct service if justified.</t>
  </si>
  <si>
    <t>• Supporting records not attached/uploaded to claim or sent in response to ADR.
• Documentation exists but not collected before submission.
• Service triggers automatic medical review/ADR (Medicare CERT/RAC, payer high-risk list).
• Billing error: Records not scanned/linked or attachment indicator missing.</t>
  </si>
  <si>
    <t>• Review EOB/ERA and any ADR/review request to identify required records.
• Gather complete supporting documentation (notes, orders, reports, plans) from medical record.
• Ensure records show medical necessity, Dx linkage, and service details (dates, signatures, specificity).
• Submit records via payer portal/fax/mail/upload (include claim #, patient ID, DOS).
• Resubmit claim with records attached (or wait for reprocessing after ADR response).
• Appeal denial with full documentation package if records were previously sent or misapplied.</t>
  </si>
  <si>
    <t>• Provider type/specialty not eligible per payer rules (Medicare PFS indicators, state scope of practice, payer policy).
• Billing restricted code without required supervision/incident-to/collaboration.
• Credentialing mismatch: Provider specialty/taxonomy does not support service.
• Oversight: Billed under provider NPI without checking payer's allowed provider list.</t>
  </si>
  <si>
    <t>• Verify payer guidelines (Medicare PFS, Medicaid manual, commercial policy) for who can bill the service.
• If wrong provider billed → resubmit under correct authorized provider/NPI (frequency 7).
• Appeal with supervision notes, collaborative agreement, or documentation if payer allows exceptions.
• Refer future similar services to eligible provider type/specialty.
Accept denial and write off or bill patient if provider not eligible.</t>
  </si>
  <si>
    <t>• Provider not enrolled/credentialed with payer (missing Medicare enrollment, Medicaid ID, commercial contract).
• Provider out-of-network or non-participating with patient's plan.
• Credentialing lapse: Enrollment expired, revoked, or not updated in payer systems.
• Service-specific restriction: Provider authorized for some services but not the billed one.
• Oversight: Billed without verifying provider eligibility for patient's plan.</t>
  </si>
  <si>
    <t>• Verify provider enrollment/credential status with payer (PECOS, NPPES, Medicaid directory, commercial portal).
• If enrolled but flagged in error → appeal with proof (PTAN/NPI confirmation, network letter).
• If not authorized → refer to authorized provider; resubmit under correct provider if possible.
• Post write-off or bill patient (after notification; check state laws on balance billing).
• Contact payer credentialing/enrollment for status update/reprocessing if recently enrolled.</t>
  </si>
  <si>
    <t>• Facility not enrolled/certified with payer (missing Medicare PTAN, Medicaid ID, commercial contract).
• Facility out-of-network or non-participating with patient's plan.
• Credentialing lapse: Enrollment expired, revoked, or not updated in payer systems.
• Service-specific restriction: Facility approved for some services but not the billed one.</t>
  </si>
  <si>
    <t>• Verify facility enrollment/credential status with payer (Medicare PECOS, Medicaid directory, commercial network portal).
• If enrolled but flagged in error → appeal with proof (PTAN letter, network confirmation).
• If not authorized → transfer care to authorized facility or accept denial.
• Post write-off or bill patient (after notification; check state laws on balance billing).
• Contact payer credentialing/enrollment department for status update/reprocessing.</t>
  </si>
  <si>
    <t>• HIPPS TAC not generated or pulled from finalized OASIS/MDS before billing.
• Assessment not completed/transmitted or locked before claim submission.
• Billing software failed to populate HIPPS TAC from assessment data.
• Timing error: Claim submitted before TAC available (e.g., early billing).</t>
  </si>
  <si>
    <t>• Retrieve correct HIPPS TAC from finalized OASIS (home health) or MDS (SNF) in assessment software or iQIES.
• Correct/add valid 5-character TAC in claim (UB-04 FL 67 or 837I Loop 2400 SV202-7).
• Resubmit corrected claim (frequency 7).
• If TAC invalid due to assessment error → correct OASIS/MDS and resubmit both.
• Appeal with OASIS/MDS summary or TAC printout if misapplied.</t>
  </si>
  <si>
    <t>• No referral generated or documented by attending/primary care physician.
• Patient self-referred or sought care without PCP coordination.
• Referral exists but not submitted/transmitted to payer (no referral number on claim).
• Referring provider not recognized as “attending physician” (e.g., urgent care, ER, mid-level).</t>
  </si>
  <si>
    <t>• Review EOB/ERA and claim to confirm missing/invalid attending physician referral.
• Contact attending/PCP to obtain retroactive referral/authorization (if payer allows).
• Obtain signed referral/order from attending physician (include referral number, Dx, approved services).
• Resubmit corrected claim with referral details (CMS-1500 Box 17 referring provider NPI, Box 17a referral number or remarks).
• Appeal with signed referral form + medical necessity notes if retroactive approval granted.</t>
  </si>
  <si>
    <t>• Provider lacks required state WC licensure, certification, or panel enrollment.
• Provider not registered/approved for WC treatment in the claim's jurisdiction.
• Out-of-network or non-panel provider used without prior approval.
• Credentialing lapse or failure to verify state-specific WC provider rules.</t>
  </si>
  <si>
    <t>• Verify provider credentials against state WC board/provider directory.
• If eligible but flagged in error → appeal with proof of licensure/certification/panel status.
• If not authorized → refer patient to approved WC provider and resubmit under that provider if possible.
• Accept denial and write off or bill patient (check state WC laws on patient liability).
• Contact payer adjuster or state WC board for clarification/reprocessing.</t>
  </si>
  <si>
    <t>• Patient did not sign medical authorization/release form at intake or when requested.
• Provider failed to collect or forward signed authorization to payer/insurer.
• Injury not identified as accident-related at time of service → form not obtained.
• Patient refused to sign (privacy concerns) or form lost/misfiled.</t>
  </si>
  <si>
    <t>• Confirm required form with payer (claims adjuster or portal).
Obtain signed authorization from patient (payer-specific form or compliant HIPAA release for this loss).
• Submit signed form to payer (fax/upload/mail) with claim reference.
• Request reprocessing once form received.
• If patient refuses → inform payer; may bill patient directly or write off.</t>
  </si>
  <si>
    <t>• Billed services/units/codes/dates deviate from exact authorization approval.
• Authorization obtained but limited scope not followed during billing.
• No additional authorization requested when services expanded.
• Clerical mismatch: Claim details not matching authorization letter.</t>
  </si>
  <si>
    <t>• Review EOB/ERA, claim, and authorization letter to identify exact inconsistency.
• Compare billed elements against approved authorization (codes, units, dates, Dx).
• Correct claim to match authorization and resubmit (frequency 7).
• If exceeded → obtain retroactive/additional authorization and resubmit.
• Appeal with authorization letter + clinical notes justifying deviation if allowed.</t>
  </si>
  <si>
    <t>• Return-to-work date field (UB-04 occurrence span or 837I equivalent) left blank.
• Invalid date (future, before injury, illogical vs. DOS/principal).
• Format error (partial date, wrong order).
• Provider notes lack clear return-to-work date from treating physician.</t>
  </si>
  <si>
    <t>• Review UB-04 occurrence/date fields (or 837I loops) and progress notes for return-to-work date.
• Correct/add accurate date from records (must be logical vs. injury/DOS).
• Resubmit corrected claim (frequency 7).
• Appeal with dated notes (progress notes, work status report) showing return timeline.
• Contact payer adjuster for exact field/format required.</t>
  </si>
  <si>
    <t>• Patient signature not collected at registration or time of service.
• Signature field left blank on paper claim or attachment.
• Invalid signature (no date, printed name only, or representative without authorization proof).
• Scanning/attachment error: Signature page illegible or missing.
• Electronic claim with SOF indicator but payer requests proof and it's missing/invalid.</t>
  </si>
  <si>
    <t>• Review EOB/ERA and claim form (Box 31 CMS-1500 or UB-04 signature field).
• Obtain valid patient/representative signature (with date) on required form.
• For SOF claims → ensure signed authorization on file and resubmit electronically.
• Resubmit corrected claim with attached signed form or SOF indicator.
• Appeal with signed form and documentation (registration form, consent) if misapplied.</t>
  </si>
  <si>
    <t>• Unspecified laterality code used (often ending in "9") when ICD-10 requires specificity.
• Provider documentation does not specify right/left/bilateral involvement.
• Billing software allowed unspecified codes without validation.
• Mismatch between procedure modifiers (RT/LT) and diagnosis laterality.</t>
  </si>
  <si>
    <t>• No prior authorization obtained before rendering service.
• Authorization number not entered or entered incorrectly on claim.
• Expired authorization (service date outside approved period).
• Format mismatch (payer requires specific length/alphanumeric pattern).
• Billing software/manual entry omitted authorization field.</t>
  </si>
  <si>
    <t>• Review EOB/ERA and claim to confirm authorization issue.
• Check payer portal or contact payer to verify current/valid authorization.
• Correct/add valid authorization number (CMS-1500 Box 23 or 837P REF segment).
• Resubmit corrected claim (frequency 7).
• If retroactive authorization possible → obtain and resubmit.
• Appeal with authorization letter or medical necessity notes if denied incorrectly.</t>
  </si>
  <si>
    <t>• Review EOB/ERA and claim to identify unspecified diagnosis code(s).
• Check medical record for laterality (right, left, bilateral).
• Correct to appropriate ICD-10 code with specific laterality (or bilateral code if both sides).
• Resubmit corrected claim (frequency 7).
• Appeal with documentation (progress notes, imaging) proving laterality if implied but not coded.</t>
  </si>
  <si>
    <t>• Condition is work-related and covered under workers' compensation policy.
• Workers' comp insurer reported ORM to Medicare BCRC under Section 111.
• Medicare systems matched claim diagnosis to reported ORM.
• Provider billed Medicare as primary instead of workers' comp carrier.
• Patient/provider unaware of active workers' comp coverage or MSP priority.</t>
  </si>
  <si>
    <t>• Confirm ORM status via Medicare portal, BCRC inquiry, or workers' comp adjuster contact.
• Determine if services relate to ORM diagnosis (if unrelated → resubmit with remark “not related to open ORM”).
• Bill workers' comp insurer as primary; obtain EOB/payment and submit Medicare as secondary (if applicable).
• If ORM incorrect/closed → have workers' comp insurer update BCRC to terminate ORM.
• Appeal Medicare denial with proof (workers' comp denial letter, unrelated Dx documentation).</t>
  </si>
  <si>
    <t>• Injury from auto accident in no-fault insurance state/jurisdiction.
• No-fault insurer reported ORM to Medicare BCRC under Section 111.
• Medicare systems matched claim diagnosis to reported ORM.
• Provider billed Medicare as primary instead of no-fault carrier.
• Patient/provider unaware of active no-fault coverage or MSP priority.</t>
  </si>
  <si>
    <t>• Confirm ORM status via Medicare portal, BCRC inquiry, or no-fault insurer contact.
• Determine if services relate to ORM diagnosis (if unrelated → resubmit with remark “not related to open ORM”).
• Bill no-fault/PIP insurer as primary; obtain EOB/payment and submit Medicare as secondary (if applicable).
• If ORM incorrect/closed → have no-fault insurer update BCRC to terminate ORM.
• Appeal Medicare denial with proof (no-fault denial letter, unrelated Dx documentation).</t>
  </si>
  <si>
    <t>• Injury from incident covered by liability insurance.
• Liability insurer reported ORM to Medicare BCRC under Section 111.
• Medicare systems matched claim diagnosis to reported ORM.
• Provider billed Medicare as primary instead of liability carrier.
• Patient/provider unaware of active liability coverage or MSP priority.</t>
  </si>
  <si>
    <t>• Standard inpatient prospective payment system (PPS) rules require DRG-based reimbursement.
• Incomplete/ inaccurate coding of principal/secondary Dx, procedures, or discharge status.
• Billed at full charges without anticipating DRG compression (group-based payment).
• Payer re-grouped claim after review or additional info.</t>
  </si>
  <si>
    <t>• Review EOB/ERA for DRG details (assigned DRG code, weight, base rate).
• Verify grouping accuracy using DRG calculator (CMS grouper or payer portal).
• If incorrect DRG (coding error) → resubmit corrected claim (frequency 7) with updated Dx/procedures.
• Appeal with medical records/coding summary if misgrouped.
• Accept adjustment if DRG correct (post write-off for billed vs. allowed difference).</t>
  </si>
  <si>
    <t>• Claim falls under NY no-fault (PIP) or workers' comp subject to Regulation 68.
• Billed at full charges instead of NY APR-DRG mandated reimbursement.
• Provider unaware of state-specific APR-DRG fee rules for accident-related claims.</t>
  </si>
  <si>
    <t>• Confirm claim is under NY no-fault/Reg 68 (auto liability or WC).
• Verify APR-DRG calculation (base rate + severity/outlier) via payer portal or NY WCB fee schedule.
• Accept adjustment if compliant with Reg 68 (post write-off for difference).
• Appeal if DRG grouping/SOI incorrect (submit medical records for re-grouper review).
• Contact payer claims adjuster for clarification/reprocessing if misapplied.</t>
  </si>
  <si>
    <t>• Diagnosis code incorrect or not specific enough to support medical necessity.
• Mismatch between service and payer/LCD/NCD covered diagnosis list.
• No prior authorization or documentation justifying service for the Dx.
• Provider billed without checking coverage policy for diagnosis-service pair.</t>
  </si>
  <si>
    <t>• Review EOB/ERA and claim to identify denied service and linked diagnosis.
• Check payer LCD/NCD or policy for covered Dx lists.
• Correct diagnosis to valid, supporting code from record (higher specificity if needed).
• Resubmit corrected claim (frequency 7) with updated Dx.
• Appeal with clinical documentation (progress notes, test results) proving necessity for the Dx/service.
• If non-covered → post write-off or bill patient (after ABN if Medicare).</t>
  </si>
  <si>
    <t>• Secondary diagnosis date field (UB-04 occurrence codes 31–34 or 837I equivalent) left blank.
• Invalid date (future, after discharge, or illogical vs. principal Dx/admission).
• Format error (partial date, wrong order).
• Billing software or manual entry omitted required secondary date field.</t>
  </si>
  <si>
    <t>• Review UB-04 occurrence/date fields (or 837I loops) and progress notes for secondary condition timeline.
• Correct/add accurate secondary diagnosis date from medical record (must be logical vs. principal/admission/DOS).
• Resubmit corrected claim (frequency 7).
• Appeal with supporting dated notes (progress notes, H&amp;P) showing secondary condition timeline.
• Contact payer (adjuster/portal) for exact field/format required.</t>
  </si>
  <si>
    <t>• Diagnosis date field (Box 14 CMS-1500 or UB-04 occurrence code/date) left blank.
• Invalid date entered (future date, before injury, or illogical vs. DOS).
• Format error (partial date, wrong order).
• Billing software or manual entry omitted required date field.</t>
  </si>
  <si>
    <t>• Review claim (Box 14 CMS-1500 or UB-04 occurrence dates) and provider notes for onset/current illness date.
• Correct/add accurate diagnosis date from records (must precede or equal DOS).
• Resubmit corrected claim (frequency 7).
• Appeal with supporting documentation (e.g., initial visit note, H&amp;P showing onset).
• If date unavailable → obtain from provider and resubmit.</t>
  </si>
  <si>
    <t>• Admitting diagnosis omitted or entered incorrectly on UB-04 (FL 67).
• Incomplete provider documentation: Admission notes lack clear reason for inpatient stay.
• ICD-10 violation: Insufficient specificity, invalid code, or sequencing error.
• Billing system failed to validate admitting Dx field.
• Failure to check payer-specific inpatient admitting Dx rules (e.g., CMS unacceptable list).</t>
  </si>
  <si>
    <t>• Review UB-04 FL 67 (or 837I equivalent) and admission notes for admitting Dx issue.
• Validate admitting Dx against ICD-10 guidelines, admission date, and payer policies (CMS unacceptable list).
• Correct/add valid, highest-specificity admitting Dx from H&amp;P/admission notes.
• Resubmit corrected claim (frequency 7 replacement if applicable).
• Appeal with supporting documentation (H&amp;P, progress notes) if misapplied.
• Use payer portal for reopening/self-correction (e.g., Medicare MACs) if allowed.</t>
  </si>
  <si>
    <t>&lt;tr data-carc="CO 96" data-type="co" data-rarc="N605 — This fee was calculated based upon New York All Patients Refined Diagnosis Related Groups (APR-DRG), pursuant to Regulation 68." data-denial="Payment adjusted to the amount calculated using New York's All Patients Refined Diagnosis Related Groups (APR-DRG) methodology per Insurance Regulation 68 (11 NYCRR Part 68). Applies mainly to no-fault auto insurance (PIP) and some workers' comp claims in NY; payer reimburses at APR-DRG base rate + severity/outlier adjustments instead of billed charges." data-root="• Claim falls under NY no-fault (PIP) or workers' comp subject to Regulation 68.\n• Billed at full charges instead of NY APR-DRG mandated reimbursement.\n• Provider unaware of state-specific APR-DRG fee rules for accident-related claims."&gt;&lt;td&gt;&lt;div class="row-num"&gt;#21&lt;/div&gt;&lt;span class="carc-badge co"&gt;CO 96&lt;/span&gt;&lt;/td&gt;&lt;td&gt;&lt;span class="denial-reason"&gt;Non Covered Charge&lt;/span&gt;&lt;/td&gt;&lt;td class="rarc-wrap"&gt;&lt;div class="rarc-id"&gt;N605&lt;/div&gt;&lt;div class="rarc-desc"&gt;This fee was calculated based upon New York All Patients Refined Diagnosis Related Groups (APR-DRG), pursuant to Regulation 68.&lt;/div&gt;&lt;/td&gt;&lt;td class="td-meaning"&gt;Payment adjusted to the amount calculated using New York's All Patients Refined Diagnosis Related Groups (APR-DRG) methodology per Insurance Regulation 68 (11 NYCRR Part 68). Applies mainly to no-fault auto insurance (PIP) and some workers' comp claims in NY; payer reimburses at APR-DRG base rate + severity/outlier adjustments instead of billed charges.&lt;/td&gt;&lt;td&gt;&lt;div class="chip-row"&gt;&lt;span class="chip chip-green"&gt;Inpatient hospital stay for auto accident under NY no-fault PIP → paid at APR-DRG rate.&lt;/span&gt;&lt;span class="chip chip-green"&gt;Workers' comp or liability claim in NY adjusted using APR-DRG grouping and fee schedule.&lt;/span&gt;&lt;span class="chip chip-green"&gt;Motor vehicle injury claim processed per Reg 68 APR-DRG calculation (severity level applied).&lt;/span&gt;&lt;/div&gt;&lt;/td&gt;&lt;td&gt;&lt;div class="chip-row"&gt;&lt;span class="chip chip-green"&gt;Claim falls under NY no-fault (PIP) or workers' comp subject to Regulation 68.&lt;/span&gt;&lt;span class="chip chip-green"&gt;Billed at full charges instead of NY APR-DRG mandated reimbursement.&lt;/span&gt;&lt;span class="chip chip-green"&gt;Provider unaware of state-specific APR-DRG fee rules for accident-related claims.&lt;/span&gt;&lt;/div&gt;&lt;/td&gt;&lt;td class="td-res"&gt;• Confirm claim is under NY no-fault/Reg 68 (auto liability or WC).&lt;br&gt;• Verify APR-DRG calculation (base rate + severity/outlier) via payer portal or NY WCB fee schedule.&lt;br&gt;• Accept adjustment if compliant with Reg 68 (post write-off for difference).&lt;br&gt;• Appeal if DRG grouping/SOI incorrect (submit medical records for re-grouper review).&lt;br&gt;• Contact payer claims adjuster for clarification/reprocessing if misapplied.&lt;/td&gt;&lt;/tr&gt;</t>
  </si>
  <si>
    <t>&lt;tr data-carc="CO 16" data-type="co" data-rarc="N647 — Adjusted based on diagnosis-related group (DRG)." data-denial="The claim was adjusted because payment was calculated using the Diagnosis-Related Group (DRG) methodology. Inpatient services grouped by principal diagnosis, secondary diagnoses, procedures, demographics, and discharge status, then paid based on DRG relative weight and base rate (common in Medicare IPPS, Medicaid, and many commercial plans)." data-root="• Standard inpatient prospective payment system (PPS) rules require DRG-based reimbursement.\n• Incomplete/ inaccurate coding of principal/secondary Dx, procedures, or discharge status.\n• Billed at full charges without anticipating DRG compression (group-based payment).\n• Payer re-grouped claim after review or additional info."&gt;&lt;td&gt;&lt;div class="row-num"&gt;#22&lt;/div&gt;&lt;span class="carc-badge co"&gt;CO 16&lt;/span&gt;&lt;/td&gt;&lt;td&gt;&lt;span class="denial-reason"&gt;Non Covered Charge&lt;/span&gt;&lt;/td&gt;&lt;td class="rarc-wrap"&gt;&lt;div class="rarc-id"&gt;N647&lt;/div&gt;&lt;div class="rarc-desc"&gt;Adjusted based on diagnosis-related group (DRG).&lt;/div&gt;&lt;/td&gt;&lt;td class="td-meaning"&gt;The claim was adjusted because payment was calculated using the Diagnosis-Related Group (DRG) methodology. Inpatient services grouped by principal diagnosis, secondary diagnoses, procedures, demographics, and discharge status, then paid based on DRG relative weight and base rate (common in Medicare IPPS, Medicaid, and many commercial plans).&lt;/td&gt;&lt;td&gt;&lt;div class="chip-row"&gt;&lt;span class="chip chip-green"&gt;Inpatient stay grouped and paid under Medicare MS-DRG (e.g., adjusted for severity).&lt;/span&gt;&lt;span class="chip chip-green"&gt;Hospitalization for acute care reduced to DRG reimbursement instead of per diem or charges.&lt;/span&gt;&lt;span class="chip chip-green"&gt;Secondary Dx/procedures changed DRG assignment → higher or lower payment applied.&lt;/span&gt;&lt;/div&gt;&lt;/td&gt;&lt;td&gt;&lt;div class="chip-row"&gt;&lt;span class="chip chip-green"&gt;Standard inpatient prospective payment system (PPS) rules require DRG-based reimbursement.&lt;/span&gt;&lt;span class="chip chip-green"&gt;Incomplete/ inaccurate coding of principal/secondary Dx, procedures, or discharge status.&lt;/span&gt;&lt;span class="chip chip-green"&gt;Billed at full charges without anticipating DRG compression (group-based payment).&lt;/span&gt;&lt;span class="chip chip-green"&gt;Payer re-grouped claim after review or additional info.&lt;/span&gt;&lt;/div&gt;&lt;/td&gt;&lt;td class="td-res"&gt;• Review EOB/ERA for DRG details (assigned DRG code, weight, base rate).&lt;br&gt;• Verify grouping accuracy using DRG calculator (CMS grouper or payer portal).&lt;br&gt;• If incorrect DRG (coding error) → resubmit corrected claim (frequency 7) with updated Dx/procedures.&lt;br&gt;• Appeal with medical records/coding summary if misgrouped.&lt;br&gt;• Accept adjustment if DRG correct (post write-off for billed vs. allowed difference).&lt;/td&gt;&lt;/tr&gt;</t>
  </si>
  <si>
    <t>&lt;tr data-carc="CO 20" data-type="co" data-rarc="N725 — A liability insurer has reported having ongoing responsibility for medical services (ORM) for this diagnosis." data-denial="Medicare (or primary payer) denied the claim because a liability insurer (auto liability, premises, general liability) reported Ongoing Responsibility for Medicals (ORM) to Medicare via Section 111 reporting for the diagnosis on this claim. MSP rules make the liability carrier primary; Medicare defers payment." data-root="• Injury from incident covered by liability insurance.\n• Liability insurer reported ORM to Medicare BCRC under Section 111.\n• Medicare systems matched claim diagnosis to reported ORM.\n• Provider billed Medicare as primary instead of liability carrier.\n• Patient/provider unaware of active liability coverage or MSP priority."&gt;&lt;td&gt;&lt;div class="row-num"&gt;#23&lt;/div&gt;&lt;span class="carc-badge co"&gt;CO 20&lt;/span&gt;&lt;/td&gt;&lt;td&gt;&lt;span class="denial-reason"&gt;Invalid Diagnosis&lt;/span&gt;&lt;/td&gt;&lt;td class="rarc-wrap"&gt;&lt;div class="rarc-id"&gt;N725&lt;/div&gt;&lt;div class="rarc-desc"&gt;A liability insurer has reported having ongoing responsibility for medical services (ORM) for this diagnosis.&lt;/div&gt;&lt;/td&gt;&lt;td class="td-meaning"&gt;Medicare (or primary payer) denied the claim because a liability insurer (auto liability, premises, general liability) reported Ongoing Responsibility for Medicals (ORM) to Medicare via Section 111 reporting for the diagnosis on this claim. MSP rules make the liability carrier primary; Medicare defers payment.&lt;/td&gt;&lt;td&gt;&lt;div class="chip-row"&gt;&lt;span class="chip chip-green"&gt;Auto accident injury; liability insurer reported ORM for related diagnoses → Medicare denies matching lines.&lt;/span&gt;&lt;span class="chip chip-green"&gt;Slip-and-fall covered by premises liability; insurer reports ongoing medical responsibility.&lt;/span&gt;&lt;span class="chip chip-green"&gt;Third-party liability claim (product, dog bite) where insurer accepts long-term medical payments for the condition.&lt;/span&gt;&lt;/div&gt;&lt;/td&gt;&lt;td&gt;&lt;div class="chip-row"&gt;&lt;span class="chip chip-green"&gt;Injury from incident covered by liability insurance.&lt;/span&gt;&lt;span class="chip chip-green"&gt;Liability insurer reported ORM to Medicare BCRC under Section 111.&lt;/span&gt;&lt;span class="chip chip-green"&gt;Medicare systems matched claim diagnosis to reported ORM.&lt;/span&gt;&lt;span class="chip chip-green"&gt;Provider billed Medicare as primary instead of liability carrier.&lt;/span&gt;&lt;span class="chip chip-green"&gt;Patient/provider unaware of active liability coverage or MSP priority.&lt;/span&gt;&lt;/div&gt;&lt;/td&gt;&lt;td class="td-res"&gt;• Confirm ORM status via Medicare portal, BCRC inquiry, HICN/MBI lookup, or contact the liability insurer.&lt;br&gt;• Determine if services are truly related to the ORM diagnosis (if unrelated, resubmit with remark/code indicating non-relatedness).&lt;br&gt;• Bill the liability insurer as primary payer; obtain their payment/EOB and submit to Medicare as secondary (if Medicare has secondary responsibility).&lt;br&gt;• If ORM is incorrect, closed, or should not apply, have the liability insurer update BCRC to terminate ORM reporting.&lt;br&gt;• Appeal Medicare denial with documentation (e.g., liability denial letter, unrelated diagnosis proof, medical records showing no connection).&lt;/td&gt;&lt;/tr&gt;</t>
  </si>
  <si>
    <t>&lt;tr data-carc="CO 20" data-type="co" data-rarc="N727 — A no-fault insurer has reported having ongoing responsibility for medical services (ORM) for this diagnosis." data-denial="Medicare (or primary payer) denied the claim because a no-fault insurer (auto PIP coverage in no-fault states like NY, FL, MI) reported Ongoing Responsibility for Medicals (ORM) to Medicare via Section 111 for the diagnosis on this claim. MSP rules make no-fault primary; Medicare defers payment." data-root="• Injury from auto accident in no-fault insurance state/jurisdiction.\n• No-fault insurer reported ORM to Medicare BCRC under Section 111.\n• Medicare systems matched claim diagnosis to reported ORM.\n• Provider billed Medicare as primary instead of no-fault carrier.\n• Patient/provider unaware of active no-fault coverage or MSP priority."&gt;&lt;td&gt;&lt;div class="row-num"&gt;#24&lt;/div&gt;&lt;span class="carc-badge co"&gt;CO 20&lt;/span&gt;&lt;/td&gt;&lt;td&gt;&lt;span class="denial-reason"&gt;Invalid Diagnosis&lt;/span&gt;&lt;/td&gt;&lt;td class="rarc-wrap"&gt;&lt;div class="rarc-id"&gt;N727&lt;/div&gt;&lt;div class="rarc-desc"&gt;A no-fault insurer has reported having ongoing responsibility for medical services (ORM) for this diagnosis.&lt;/div&gt;&lt;/td&gt;&lt;td class="td-meaning"&gt;Medicare (or primary payer) denied the claim because a no-fault insurer (auto PIP coverage in no-fault states like NY, FL, MI) reported Ongoing Responsibility for Medicals (ORM) to Medicare via Section 111 for the diagnosis on this claim. MSP rules make no-fault primary; Medicare defers payment.&lt;/td&gt;&lt;td&gt;&lt;div class="chip-row"&gt;&lt;span class="chip chip-green"&gt;Auto accident injury; no-fault/PIP insurer reported ORM for related diagnoses → Medicare denies matching lines.&lt;/span&gt;&lt;span class="chip chip-green"&gt;PIP claim in no-fault state where insurer accepts ongoing medical payments for condition.&lt;/span&gt;&lt;span class="chip chip-green"&gt;Follow-up therapy/injections for prior auto injury denied because ORM still active.&lt;/span&gt;&lt;/div&gt;&lt;/td&gt;&lt;td&gt;&lt;div class="chip-row"&gt;&lt;span class="chip chip-green"&gt;Injury from auto accident in no-fault insurance state/jurisdiction.&lt;/span&gt;&lt;span class="chip chip-green"&gt;No-fault insurer reported ORM to Medicare BCRC under Section 111.&lt;/span&gt;&lt;span class="chip chip-green"&gt;Medicare systems matched claim diagnosis to reported ORM.&lt;/span&gt;&lt;span class="chip chip-green"&gt;Provider billed Medicare as primary instead of no-fault carrier.&lt;/span&gt;&lt;span class="chip chip-green"&gt;Patient/provider unaware of active no-fault coverage or MSP priority.&lt;/span&gt;&lt;/div&gt;&lt;/td&gt;&lt;td class="td-res"&gt;• Confirm ORM status via Medicare portal, BCRC inquiry, or no-fault insurer contact.&lt;br&gt;• Determine if services relate to ORM diagnosis (if unrelated → resubmit with remark “not related to open ORM”).&lt;br&gt;• Bill no-fault/PIP insurer as primary; obtain EOB/payment and submit Medicare as secondary (if applicable).&lt;br&gt;• If ORM incorrect/closed → have no-fault insurer update BCRC to terminate ORM.&lt;br&gt;• Appeal Medicare denial with proof (no-fault denial letter, unrelated Dx documentation).&lt;/td&gt;&lt;/tr&gt;</t>
  </si>
  <si>
    <t>&lt;tr data-carc="CO 20" data-type="co" data-rarc="N728 — A workers' compensation insurer has reported having ongoing responsibility for medical services (ORM) for this diagnosis." data-denial="Medicare (or primary payer) denied the claim because a workers' compensation insurer reported Ongoing Responsibility for Medicals (ORM) to Medicare via Section 111 for the diagnosis on this claim. MSP rules make workers' comp primary; Medicare defers payment." data-root="• Condition is work-related and covered under workers' compensation policy.\n• Workers' comp insurer reported ORM to Medicare BCRC under Section 111.\n• Medicare systems matched claim diagnosis to reported ORM.\n• Provider billed Medicare as primary instead of workers' comp carrier.\n• Patient/provider unaware of active workers' comp coverage or MSP priority."&gt;&lt;td&gt;&lt;div class="row-num"&gt;#25&lt;/div&gt;&lt;span class="carc-badge co"&gt;CO 20&lt;/span&gt;&lt;/td&gt;&lt;td&gt;&lt;span class="denial-reason"&gt;Invalid Diagnosis&lt;/span&gt;&lt;/td&gt;&lt;td class="rarc-wrap"&gt;&lt;div class="rarc-id"&gt;N728&lt;/div&gt;&lt;div class="rarc-desc"&gt;A workers' compensation insurer has reported having ongoing responsibility for medical services (ORM) for this diagnosis.&lt;/div&gt;&lt;/td&gt;&lt;td class="td-meaning"&gt;Medicare (or primary payer) denied the claim because a workers' compensation insurer reported Ongoing Responsibility for Medicals (ORM) to Medicare via Section 111 for the diagnosis on this claim. MSP rules make workers' comp primary; Medicare defers payment.&lt;/td&gt;&lt;td&gt;&lt;div class="chip-row"&gt;&lt;span class="chip chip-green"&gt;Work-related back injury; workers' comp insurer reported ORM for related diagnoses → Medicare denies matching lines.&lt;/span&gt;&lt;span class="chip chip-green"&gt;Repetitive stress injury or occupational illness where insurer accepts ongoing medical payments.&lt;/span&gt;&lt;span class="chip chip-green"&gt;Follow-up therapy/surgery for prior work injury denied because ORM still active.&lt;/span&gt;&lt;/div&gt;&lt;/td&gt;&lt;td&gt;&lt;div class="chip-row"&gt;&lt;span class="chip chip-green"&gt;Condition is work-related and covered under workers' compensation policy.&lt;/span&gt;&lt;span class="chip chip-green"&gt;Workers' comp insurer reported ORM to Medicare BCRC under Section 111.&lt;/span&gt;&lt;span class="chip chip-green"&gt;Medicare systems matched claim diagnosis to reported ORM.&lt;/span&gt;&lt;span class="chip chip-green"&gt;Provider billed Medicare as primary instead of workers' comp carrier.&lt;/span&gt;&lt;span class="chip chip-green"&gt;Patient/provider unaware of active workers' comp coverage or MSP priority.&lt;/span&gt;&lt;/div&gt;&lt;/td&gt;&lt;td class="td-res"&gt;• Confirm ORM status via Medicare portal, BCRC inquiry, or workers' comp adjuster contact.&lt;br&gt;• Determine if services relate to ORM diagnosis (if unrelated → resubmit with remark “not related to open ORM”).&lt;br&gt;• Bill workers' comp insurer as primary; obtain EOB/payment and submit Medicare as secondary (if applicable).&lt;br&gt;• If ORM incorrect/closed → have workers' comp insurer update BCRC to terminate ORM.&lt;br&gt;• Appeal Medicare denial with proof (workers' comp denial letter, unrelated Dx documentation).&lt;/td&gt;&lt;/tr&gt;</t>
  </si>
  <si>
    <t>&lt;tr data-carc="CO 16" data-type="co" data-rarc="N769 — A lateral diagnosis is required." data-denial="The claim was denied or adjusted because one or more diagnosis codes lack required laterality (right, left, bilateral, or unspecified). Many ICD-10 codes (fractures, joint issues, skin lesions, eye/ear conditions) require specific laterality for proper adjudication, medical necessity, or matching procedure modifiers." data-root="• Unspecified laterality code used (often ending in "9") when ICD-10 requires specificity.\n• Provider documentation does not specify right/left/bilateral involvement.\n• Billing software allowed unspecified codes without validation.\n• Mismatch between procedure modifiers (RT/LT) and diagnosis laterality."&gt;&lt;td&gt;&lt;div class="row-num"&gt;#26&lt;/div&gt;&lt;span class="carc-badge co"&gt;CO 16&lt;/span&gt;&lt;/td&gt;&lt;td&gt;&lt;span class="denial-reason"&gt;Invalid Diagnosis&lt;/span&gt;&lt;/td&gt;&lt;td class="rarc-wrap"&gt;&lt;div class="rarc-id"&gt;N769&lt;/div&gt;&lt;div class="rarc-desc"&gt;A lateral diagnosis is required.&lt;/div&gt;&lt;/td&gt;&lt;td class="td-meaning"&gt;The claim was denied or adjusted because one or more diagnosis codes lack required laterality (right, left, bilateral, or unspecified). Many ICD-10 codes (fractures, joint issues, skin lesions, eye/ear conditions) require specific laterality for proper adjudication, medical necessity, or matching procedure modifiers.&lt;/td&gt;&lt;td&gt;&lt;div class="chip-row"&gt;&lt;span class="chip chip-green"&gt;Fracture/sprain coded unspecified (e.g., S52.90) instead of right/left (S52.901/S52.902).&lt;/span&gt;&lt;span class="chip chip-green"&gt;Knee osteoarthritis (M17.9 unspecified) denied when payer requires M17.11 (right) or M17.12 (left).&lt;/span&gt;&lt;span class="chip chip-green"&gt;Skin ulcer or eye condition billed unspecified; procedure (RT/LT modifier) conflicts with Dx.&lt;/span&gt;&lt;/div&gt;&lt;/td&gt;&lt;td&gt;&lt;div class="chip-row"&gt;&lt;span class="chip chip-green"&gt;Unspecified laterality code used (often ending in "9") when ICD-10 requires specificity.&lt;/span&gt;&lt;span class="chip chip-green"&gt;Provider documentation does not specify right/left/bilateral involvement.&lt;/span&gt;&lt;span class="chip chip-green"&gt;Billing software allowed unspecified codes without validation.&lt;/span&gt;&lt;span class="chip chip-green"&gt;Mismatch between procedure modifiers (RT/LT) and diagnosis laterality.&lt;/span&gt;&lt;/div&gt;&lt;/td&gt;&lt;td class="td-res"&gt;• Review EOB/ERA and claim to identify unspecified diagnosis code(s).&lt;br&gt;• Check medical record for laterality (right, left, bilateral).&lt;br&gt;• Correct to appropriate ICD-10 code with specific laterality (or bilateral code if both sides).&lt;br&gt;• Resubmit corrected claim (frequency 7).&lt;br&gt;• Appeal with documentation (progress notes, imaging) proving laterality if implied but not coded.&lt;/td&gt;&lt;/tr&gt;</t>
  </si>
  <si>
    <t>&lt;tr data-carc="CO 16" data-type="co" data-rarc="MA75 — Missing/incomplete/invalid patient or authorized representative signature." data-denial="The claim was denied because the required patient signature (or authorized representative's signature) is missing, incomplete (partial, illegible, no date), or invalid (e.g., electronic signature non-compliant, forged, or not on correct form/field). Applies mainly to paper claims (CMS-1500 Box 31, UB-04 certification field) or scanned attachments for assignment of benefits, release of information, or ABNs." data-root="• Patient signature not collected at registration or time of service.\n• Signature field left blank on paper claim or attachment.\n• Invalid signature (no date, printed name only, or representative without authorization proof).\n• Scanning/attachment error: Signature page illegible or missing.\n• Electronic claim with SOF indicator but payer requests proof and it's missing/invalid."&gt;&lt;td&gt;&lt;div class="row-num"&gt;#28&lt;/div&gt;&lt;span class="carc-badge co"&gt;CO 16&lt;/span&gt;&lt;/td&gt;&lt;td&gt;&lt;span class="denial-reason"&gt;Missing Patient Signature&lt;/span&gt;&lt;/td&gt;&lt;td class="rarc-wrap"&gt;&lt;div class="rarc-id"&gt;MA75&lt;/div&gt;&lt;div class="rarc-desc"&gt;Missing/incomplete/invalid patient or authorized representative signature.&lt;/div&gt;&lt;/td&gt;&lt;td class="td-meaning"&gt;The claim was denied because the required patient signature (or authorized representative's signature) is missing, incomplete (partial, illegible, no date), or invalid (e.g., electronic signature non-compliant, forged, or not on correct form/field). Applies mainly to paper claims (CMS-1500 Box 31, UB-04 certification field) or scanned attachments for assignment of benefits, release of information, or ABNs.&lt;/td&gt;&lt;td&gt;&lt;div class="chip-row"&gt;&lt;span class="chip chip-green"&gt;Paper CMS-1500 claim submitted without patient signature/date in Box 31.&lt;/span&gt;&lt;span class="chip chip-green"&gt;Assignment of benefits form missing patient signature → denied on non-par provider claim.&lt;/span&gt;&lt;span class="chip chip-green"&gt;ABN or financial responsibility form lacking valid patient signature.&lt;/span&gt;&lt;span class="chip chip-green"&gt;Medicaid/commercial claim requiring consent/release signature denied (illegible or unauthorized).&lt;/span&gt;&lt;/div&gt;&lt;/td&gt;&lt;td&gt;&lt;div class="chip-row"&gt;&lt;span class="chip chip-green"&gt;Patient signature not collected at registration or time of service.&lt;/span&gt;&lt;span class="chip chip-green"&gt;Signature field left blank on paper claim or attachment.&lt;/span&gt;&lt;span class="chip chip-green"&gt;Invalid signature (no date, printed name only, or representative without authorization proof).&lt;/span&gt;&lt;span class="chip chip-green"&gt;Scanning/attachment error: Signature page illegible or missing.&lt;/span&gt;&lt;span class="chip chip-green"&gt;Electronic claim with SOF indicator but payer requests proof and it's missing/invalid.&lt;/span&gt;&lt;/div&gt;&lt;/td&gt;&lt;td class="td-res"&gt;• Review EOB/ERA and claim form (Box 31 CMS-1500 or UB-04 signature field).&lt;br&gt;• Obtain valid patient/representative signature (with date) on required form.&lt;br&gt;• For SOF claims → ensure signed authorization on file and resubmit electronically.&lt;br&gt;• Resubmit corrected claim with attached signed form or SOF indicator.&lt;br&gt;• Appeal with signed form and documentation (registration form, consent) if misapplied.&lt;/td&gt;&lt;/tr&gt;</t>
  </si>
  <si>
    <t>&lt;tr data-carc="CO 16" data-type="co" data-rarc="N311 — Missing/incomplete/invalid authorized to return to work date." data-denial="The claim was denied or adjusted because the authorized/anticipated return-to-work date (or release-to-work date) is missing, incomplete (partial date), or invalid (future date, before injury/onset, illogical sequence). Required mainly on workers' comp, no-fault, disability, or occupational health claims (often UB-04 occurrence span code/date or 837I equivalent)." data-root="• Return-to-work date field (UB-04 occurrence span or 837I equivalent) left blank.\n• Invalid date (future, before injury, illogical vs. DOS/principal).\n• Format error (partial date, wrong order).\n• Provider notes lack clear return-to-work date from treating physician."&gt;&lt;td&gt;&lt;div class="row-num"&gt;#29&lt;/div&gt;&lt;span class="carc-badge co"&gt;CO 16&lt;/span&gt;&lt;/td&gt;&lt;td&gt;&lt;span class="denial-reason"&gt;Invalid Authorization&lt;/span&gt;&lt;/td&gt;&lt;td class="rarc-wrap"&gt;&lt;div class="rarc-id"&gt;N311&lt;/div&gt;&lt;div class="rarc-desc"&gt;Missing/incomplete/invalid authorized to return to work date.&lt;/div&gt;&lt;/td&gt;&lt;td class="td-meaning"&gt;The claim was denied or adjusted because the authorized/anticipated return-to-work date (or release-to-work date) is missing, incomplete (partial date), or invalid (future date, before injury/onset, illogical sequence). Required mainly on workers' comp, no-fault, disability, or occupational health claims (often UB-04 occurrence span code/date or 837I equivalent).&lt;/td&gt;&lt;td&gt;&lt;div class="chip-row"&gt;&lt;span class="chip chip-green"&gt;Workers' comp follow-up therapy claim missing authorized return-to-work date.&lt;/span&gt;&lt;span class="chip chip-green"&gt;Disability/occupational health service denied – return date future or after discharge.&lt;/span&gt;&lt;span class="chip chip-green"&gt;No-fault/auto liability claim rejected – incomplete return-to-work date (month/year only).&lt;/span&gt;&lt;/div&gt;&lt;/td&gt;&lt;td&gt;&lt;div class="chip-row"&gt;&lt;span class="chip chip-green"&gt;Return-to-work date field (UB-04 occurrence span or 837I equivalent) left blank.&lt;/span&gt;&lt;span class="chip chip-green"&gt;Invalid date (future, before injury, illogical vs. DOS/principal).&lt;/span&gt;&lt;span class="chip chip-green"&gt;Format error (partial date, wrong order).&lt;/span&gt;&lt;span class="chip chip-green"&gt;Provider notes lack clear return-to-work date from treating physician.&lt;/span&gt;&lt;/div&gt;&lt;/td&gt;&lt;td class="td-res"&gt;• Review UB-04 occurrence/date fields (or 837I loops) and progress notes for return-to-work date.&lt;br&gt;• Correct/add accurate date from records (must be logical vs. injury/DOS).&lt;br&gt;• Resubmit corrected claim (frequency 7).&lt;br&gt;• Appeal with dated notes (progress notes, work status report) showing return timeline.&lt;br&gt;• Contact payer adjuster for exact field/format required.&lt;/td&gt;&lt;/tr&gt;</t>
  </si>
  <si>
    <t>&lt;tr data-carc="CO 197" data-type="co" data-rarc="N54 — Claim information is inconsistent with pre-certified/authorized services." data-denial="The claim was denied or adjusted because the billed services, codes, units, dates, diagnosis, place of service, or other details do not match the pre-certification, prior authorization, or approved referral on file with the payer." data-root="• Billed services/units/codes/dates deviate from exact authorization approval.\n• Authorization obtained but limited scope not followed during billing.\n• No additional authorization requested when services expanded.\n• Clerical mismatch: Claim details not matching authorization letter."&gt;&lt;td&gt;&lt;div class="row-num"&gt;#30&lt;/div&gt;&lt;span class="carc-badge co"&gt;CO 197&lt;/span&gt;&lt;/td&gt;&lt;td&gt;&lt;span class="denial-reason"&gt;Invalid Authorization&lt;/span&gt;&lt;/td&gt;&lt;td class="rarc-wrap"&gt;&lt;div class="rarc-id"&gt;N54&lt;/div&gt;&lt;div class="rarc-desc"&gt;Claim information is inconsistent with pre-certified/authorized services.&lt;/div&gt;&lt;/td&gt;&lt;td class="td-meaning"&gt;The claim was denied or adjusted because the billed services, codes, units, dates, diagnosis, place of service, or other details do not match the pre-certification, prior authorization, or approved referral on file with the payer.&lt;/td&gt;&lt;td&gt;&lt;div class="chip-row"&gt;&lt;span class="chip chip-green"&gt;Authorization for 12 PT visits; claim billed 20 visits → excess denied.&lt;/span&gt;&lt;span class="chip chip-green"&gt;MRI authorized for lumbar spine only; claim included cervical → partial/full denial.&lt;/span&gt;&lt;span class="chip chip-green"&gt;Inpatient stay pre-certified for 3 days; claim billed 5 days → extra days denied.&lt;/span&gt;&lt;span class="chip chip-green"&gt;Referral to specialist authorized; claim included unauthorized add-on test → denied.&lt;/span&gt;&lt;/div&gt;&lt;/td&gt;&lt;td&gt;&lt;div class="chip-row"&gt;&lt;span class="chip chip-green"&gt;Billed services/units/codes/dates deviate from exact authorization approval.&lt;/span&gt;&lt;span class="chip chip-green"&gt;Authorization obtained but limited scope not followed during billing.&lt;/span&gt;&lt;span class="chip chip-green"&gt;No additional authorization requested when services expanded.&lt;/span&gt;&lt;span class="chip chip-green"&gt;Clerical mismatch: Claim details not matching authorization letter.&lt;/span&gt;&lt;/div&gt;&lt;/td&gt;&lt;td class="td-res"&gt;• Review EOB/ERA, claim, and authorization letter to identify exact inconsistency.&lt;br&gt;• Compare billed elements against approved authorization (codes, units, dates, Dx).&lt;br&gt;• Correct claim to match authorization and resubmit (frequency 7).&lt;br&gt;• If exceeded → obtain retroactive/additional authorization and resubmit.&lt;br&gt;• Appeal with authorization letter + clinical notes justifying deviation if allowed.&lt;/td&gt;&lt;/tr&gt;</t>
  </si>
  <si>
    <t>&lt;tr data-carc="CO 22" data-type="co" data-rarc="N596 — Records reflect the injured party did not complete a Medical Authorization for this loss." data-denial="The claim was denied or suspended because the payer (usually no-fault auto, liability, or workers' comp insurer) has no record of the injured patient signing a Medical Authorization/Release form (HIPAA-compliant release specific to the loss/accident)." data-root="• Patient did not sign medical authorization/release form at intake or when requested.\n• Provider failed to collect or forward signed authorization to payer/insurer.\n• Injury not identified as accident-related at time of service → form not obtained.\n• Patient refused to sign (privacy concerns) or form lost/misfiled."&gt;&lt;td&gt;&lt;div class="row-num"&gt;#31&lt;/div&gt;&lt;span class="carc-badge co"&gt;CO 22&lt;/span&gt;&lt;/td&gt;&lt;td&gt;&lt;span class="denial-reason"&gt;Covered by Another Payer&lt;/span&gt;&lt;/td&gt;&lt;td class="rarc-wrap"&gt;&lt;div class="rarc-id"&gt;N596&lt;/div&gt;&lt;div class="rarc-desc"&gt;Records reflect the injured party did not complete a Medical Authorization for this loss.&lt;/div&gt;&lt;/td&gt;&lt;td class="td-meaning"&gt;The claim was denied or suspended because the payer (usually no-fault auto, liability, or workers' comp insurer) has no record of the injured patient signing a Medical Authorization/Release form (HIPAA-compliant release specific to the loss/accident).&lt;/td&gt;&lt;td&gt;&lt;div class="chip-row"&gt;&lt;span class="chip chip-green"&gt;No-fault/PIP auto claim denied – patient did not sign insurer's medical authorization form.&lt;/span&gt;&lt;span class="chip chip-green"&gt;Liability (slip-and-fall) claim held – no signed release for medical records.&lt;/span&gt;&lt;span class="chip chip-green"&gt;Workers' comp claim rejected because injured worker refused or forgot to sign authorization for claims adjuster.&lt;/span&gt;&lt;/div&gt;&lt;/td&gt;&lt;td&gt;&lt;div class="chip-row"&gt;&lt;span class="chip chip-green"&gt;Patient did not sign medical authorization/release form at intake or when requested.&lt;/span&gt;&lt;span class="chip chip-green"&gt;Provider failed to collect or forward signed authorization to payer/insurer.&lt;/span&gt;&lt;span class="chip chip-green"&gt;Injury not identified as accident-related at time of service → form not obtained.&lt;/span&gt;&lt;span class="chip chip-green"&gt;Patient refused to sign (privacy concerns) or form lost/misfiled.&lt;/span&gt;&lt;/div&gt;&lt;/td&gt;&lt;td class="td-res"&gt;• Confirm required form with payer (claims adjuster or portal).&lt;br&gt;Obtain signed authorization from patient (payer-specific form or compliant HIPAA release for this loss).&lt;br&gt;• Submit signed form to payer (fax/upload/mail) with claim reference.&lt;br&gt;• Request reprocessing once form received.&lt;br&gt;• If patient refuses → inform payer; may bill patient directly or write off.&lt;/td&gt;&lt;/tr&gt;</t>
  </si>
  <si>
    <t>&lt;tr data-carc="CO 96" data-type="co" data-rarc="N612 — Medical provider not authorized/certified to provide treatment to injured workers in this jurisdiction." data-denial="The claim was denied because the billing or rendering provider is not licensed, certified, registered, panel-approved, or otherwise authorized by the state/jurisdiction to treat injured workers under workers' compensation rules. Many states require specific credentials or panel enrollment for WC treatment." data-root="• Provider lacks required state WC licensure, certification, or panel enrollment.\n• Provider not registered/approved for WC treatment in the claim's jurisdiction.\n• Out-of-network or non-panel provider used without prior approval.\n• Credentialing lapse or failure to verify state-specific WC provider rules."&gt;&lt;td&gt;&lt;div class="row-num"&gt;#32&lt;/div&gt;&lt;span class="carc-badge co"&gt;CO 96&lt;/span&gt;&lt;/td&gt;&lt;td&gt;&lt;span class="denial-reason"&gt;Provider not Authorized&lt;/span&gt;&lt;/td&gt;&lt;td class="rarc-wrap"&gt;&lt;div class="rarc-id"&gt;N612&lt;/div&gt;&lt;div class="rarc-desc"&gt;Medical provider not authorized/certified to provide treatment to injured workers in this jurisdiction.&lt;/div&gt;&lt;/td&gt;&lt;td class="td-meaning"&gt;The claim was denied because the billing or rendering provider is not licensed, certified, registered, panel-approved, or otherwise authorized by the state/jurisdiction to treat injured workers under workers' compensation rules. Many states require specific credentials or panel enrollment for WC treatment.&lt;/td&gt;&lt;td&gt;&lt;div class="chip-row"&gt;&lt;span class="chip chip-green"&gt;Chiropractor or PT treats work injury but not on state WC provider panel → denied.&lt;/span&gt;&lt;span class="chip chip-green"&gt;Out-of-state provider bills WC claim without jurisdictional authorization → rejected.&lt;/span&gt;&lt;span class="chip chip-green"&gt;Orthotist/prosthetist supplies brace for work injury without state WC certification → denied.&lt;/span&gt;&lt;span class="chip chip-green"&gt;Non-panel physician or clinic provides care for occupational injury → non-covered.&lt;/span&gt;&lt;/div&gt;&lt;/td&gt;&lt;td&gt;&lt;div class="chip-row"&gt;&lt;span class="chip chip-green"&gt;Provider lacks required state WC licensure, certification, or panel enrollment.&lt;/span&gt;&lt;span class="chip chip-green"&gt;Provider not registered/approved for WC treatment in the claim's jurisdiction.&lt;/span&gt;&lt;span class="chip chip-green"&gt;Out-of-network or non-panel provider used without prior approval.&lt;/span&gt;&lt;span class="chip chip-green"&gt;Credentialing lapse or failure to verify state-specific WC provider rules.&lt;/span&gt;&lt;/div&gt;&lt;/td&gt;&lt;td class="td-res"&gt;• Verify provider credentials against state WC board/provider directory.&lt;br&gt;• If eligible but flagged in error → appeal with proof of licensure/certification/panel status.&lt;br&gt;• If not authorized → refer patient to approved WC provider and resubmit under that provider if possible.&lt;br&gt;• Accept denial and write off or bill patient (check state WC laws on patient liability).&lt;br&gt;• Contact payer adjuster or state WC board for clarification/reprocessing.&lt;/td&gt;&lt;/tr&gt;</t>
  </si>
  <si>
    <t>&lt;tr data-carc="CO 197" data-type="co" data-rarc="N630 — Referral not authorized by attending physician." data-denial="The claim was denied because the referral to a specialist, consultant, or ancillary provider (PT, imaging, etc.) was not properly authorized, approved, or documented by the attending/primary care physician. Many payers (HMOs, Medicaid managed care, commercial, some Medicare Advantage) require attending physician to generate or authorize the referral." data-root="• No referral generated or documented by attending/primary care physician.\n• Patient self-referred or sought care without PCP coordination.\n• Referral exists but not submitted/transmitted to payer (no referral number on claim).\n• Referring provider not recognized as “attending physician” (e.g., urgent care, ER, mid-level)."&gt;&lt;td&gt;&lt;div class="row-num"&gt;#33&lt;/div&gt;&lt;span class="carc-badge co"&gt;CO 197&lt;/span&gt;&lt;/td&gt;&lt;td&gt;&lt;span class="denial-reason"&gt;Referral Missing&lt;/span&gt;&lt;/td&gt;&lt;td class="rarc-wrap"&gt;&lt;div class="rarc-id"&gt;N630&lt;/div&gt;&lt;div class="rarc-desc"&gt;Referral not authorized by attending physician.&lt;/div&gt;&lt;/td&gt;&lt;td class="td-meaning"&gt;The claim was denied because the referral to a specialist, consultant, or ancillary provider (PT, imaging, etc.) was not properly authorized, approved, or documented by the attending/primary care physician. Many payers (HMOs, Medicaid managed care, commercial, some Medicare Advantage) require attending physician to generate or authorize the referral.&lt;/td&gt;&lt;td&gt;&lt;div class="chip-row"&gt;&lt;span class="chip chip-green"&gt;Patient self-referred to specialist (orthopedist, cardiologist) without PCP referral → denied.&lt;/span&gt;&lt;span class="chip chip-green"&gt;PT or DME services billed without signed referral/order from attending physician.&lt;/span&gt;&lt;span class="chip chip-green"&gt;Imaging/lab ordered by non-attending provider → denied due to no PCP/attending authorization.&lt;/span&gt;&lt;/div&gt;&lt;/td&gt;&lt;td&gt;&lt;div class="chip-row"&gt;&lt;span class="chip chip-green"&gt;No referral generated or documented by attending/primary care physician.&lt;/span&gt;&lt;span class="chip chip-green"&gt;Patient self-referred or sought care without PCP coordination.&lt;/span&gt;&lt;span class="chip chip-green"&gt;Referral exists but not submitted/transmitted to payer (no referral number on claim).&lt;/span&gt;&lt;span class="chip chip-green"&gt;Referring provider not recognized as “attending physician” (e.g., urgent care, ER, mid-level).&lt;/span&gt;&lt;/div&gt;&lt;/td&gt;&lt;td class="td-res"&gt;• Review EOB/ERA and claim to confirm missing/invalid attending physician referral.&lt;br&gt;• Contact attending/PCP to obtain retroactive referral/authorization (if payer allows).&lt;br&gt;• Obtain signed referral/order from attending physician (include referral number, Dx, approved services).&lt;br&gt;• Resubmit corrected claim with referral details (CMS-1500 Box 17 referring provider NPI, Box 17a referral number or remarks).&lt;br&gt;• Appeal with signed referral form + medical necessity notes if retroactive approval granted.&lt;/td&gt;&lt;/tr&gt;</t>
  </si>
  <si>
    <t>&lt;tr data-carc="CO 16" data-type="co" data-rarc="N752 — Missing/incomplete/invalid HIPPS Treatment Authorization Code (TAC)." data-denial="The claim was denied because the HIPPS Treatment Authorization Code (TAC) — a 5-character code from OASIS (home health) or MDS (SNF) assessment — is missing, incomplete (wrong format/length), or invalid (expired, wrong grouping, not matching assessment). Required for Medicare home health (TOB 32x) and SNF PPS (TOB 21x/18x) claims to determine payment group." data-root="• HIPPS TAC not generated or pulled from finalized OASIS/MDS before billing.\n• Assessment not completed/transmitted or locked before claim submission.\n• Billing software failed to populate HIPPS TAC from assessment data.\n• Timing error: Claim submitted before TAC available (e.g., early billing)."&gt;&lt;td&gt;&lt;div class="row-num"&gt;#34&lt;/div&gt;&lt;span class="carc-badge co"&gt;CO 16&lt;/span&gt;&lt;/td&gt;&lt;td&gt;&lt;span class="denial-reason"&gt;Invalid Authorization&lt;/span&gt;&lt;/td&gt;&lt;td class="rarc-wrap"&gt;&lt;div class="rarc-id"&gt;N752&lt;/div&gt;&lt;div class="rarc-desc"&gt;Missing/incomplete/invalid HIPPS Treatment Authorization Code (TAC).&lt;/div&gt;&lt;/td&gt;&lt;td class="td-meaning"&gt;The claim was denied because the HIPPS Treatment Authorization Code (TAC) — a 5-character code from OASIS (home health) or MDS (SNF) assessment — is missing, incomplete (wrong format/length), or invalid (expired, wrong grouping, not matching assessment). Required for Medicare home health (TOB 32x) and SNF PPS (TOB 21x/18x) claims to determine payment group.&lt;/td&gt;&lt;td&gt;&lt;div class="chip-row"&gt;&lt;span class="chip chip-green"&gt;Home health claim (TOB 329) billed without 5-character HIPPS TAC from OASIS → denied.&lt;/span&gt;&lt;span class="chip chip-green"&gt;SNF claim (TOB 211) missing HIPPS from 5-day MDS assessment.&lt;/span&gt;&lt;span class="chip chip-green"&gt;TAC incomplete (4 characters) or invalid (mismatched assessment date/grouping).&lt;/span&gt;&lt;/div&gt;&lt;/td&gt;&lt;td&gt;&lt;div class="chip-row"&gt;&lt;span class="chip chip-green"&gt;HIPPS TAC not generated or pulled from finalized OASIS/MDS before billing.&lt;/span&gt;&lt;span class="chip chip-green"&gt;Assessment not completed/transmitted or locked before claim submission.&lt;/span&gt;&lt;span class="chip chip-green"&gt;Billing software failed to populate HIPPS TAC from assessment data.&lt;/span&gt;&lt;span class="chip chip-green"&gt;Timing error: Claim submitted before TAC available (e.g., early billing).&lt;/span&gt;&lt;/div&gt;&lt;/td&gt;&lt;td class="td-res"&gt;• Retrieve correct HIPPS TAC from finalized OASIS (home health) or MDS (SNF) in assessment software or iQIES.&lt;br&gt;• Correct/add valid 5-character TAC in claim (UB-04 FL 67 or 837I Loop 2400 SV202-7).&lt;br&gt;• Resubmit corrected claim (frequency 7).&lt;br&gt;• If TAC invalid due to assessment error → correct OASIS/MDS and resubmit both.&lt;br&gt;• Appeal with OASIS/MDS summary or TAC printout if misapplied.&lt;/td&gt;&lt;/tr&gt;</t>
  </si>
  <si>
    <t>&lt;tr data-carc="CO 96/197" data-type="co" data-rarc="N760 — This facility is not authorized to receive payment for the service(s)." data-denial="The claim was denied because the billing facility (hospital, outpatient center, SNF, home health agency, etc.) is not authorized, certified, enrolled, or approved by the payer to receive payment for the specific service(s) billed. Facility lacks required payer enrollment, network participation, or state-specific approval." data-root="• Facility not enrolled/certified with payer (missing Medicare PTAN, Medicaid ID, commercial contract).\n• Facility out-of-network or non-participating with patient's plan.\n• Credentialing lapse: Enrollment expired, revoked, or not updated in payer systems.\n• Service-specific restriction: Facility approved for some services but not the billed one."&gt;&lt;td&gt;&lt;div class="row-num"&gt;#35&lt;/div&gt;&lt;span class="carc-badge co"&gt;CO 96/197&lt;/span&gt;&lt;/td&gt;&lt;td&gt;&lt;span class="denial-reason"&gt;Facility not Authorized&lt;/span&gt;&lt;/td&gt;&lt;td class="rarc-wrap"&gt;&lt;div class="rarc-id"&gt;N760&lt;/div&gt;&lt;div class="rarc-desc"&gt;This facility is not authorized to receive payment for the service(s).&lt;/div&gt;&lt;/td&gt;&lt;td class="td-meaning"&gt;The claim was denied because the billing facility (hospital, outpatient center, SNF, home health agency, etc.) is not authorized, certified, enrolled, or approved by the payer to receive payment for the specific service(s) billed. Facility lacks required payer enrollment, network participation, or state-specific approval.&lt;/td&gt;&lt;td&gt;&lt;div class="chip-row"&gt;&lt;span class="chip chip-green"&gt;Non-participating hospital or outpatient center bills Medicare Advantage/commercial → denied.&lt;/span&gt;&lt;span class="chip chip-green"&gt;Home health agency or SNF not Medicare-certified or enrolled in patient's Medicare Advantage plan → rejected.&lt;/span&gt;&lt;span class="chip chip-green"&gt;Freestanding imaging/urgent care facility not authorized by Medicaid managed care or workers' comp → denied.&lt;/span&gt;&lt;/div&gt;&lt;/td&gt;&lt;td&gt;&lt;div class="chip-row"&gt;&lt;span class="chip chip-green"&gt;Facility not enrolled/certified with payer (missing Medicare PTAN, Medicaid ID, commercial contract).&lt;/span&gt;&lt;span class="chip chip-green"&gt;Facility out-of-network or non-participating with patient's plan.&lt;/span&gt;&lt;span class="chip chip-green"&gt;Credentialing lapse: Enrollment expired, revoked, or not updated in payer systems.&lt;/span&gt;&lt;span class="chip chip-green"&gt;Service-specific restriction: Facility approved for some services but not the billed one.&lt;/span&gt;&lt;/div&gt;&lt;/td&gt;&lt;td class="td-res"&gt;• Verify facility enrollment/credential status with payer (Medicare PECOS, Medicaid directory, commercial network portal).&lt;br&gt;• If enrolled but flagged in error → appeal with proof (PTAN letter, network confirmation).&lt;br&gt;• If not authorized → transfer care to authorized facility or accept denial.&lt;br&gt;• Post write-off or bill patient (after notification; check state laws on balance billing).&lt;br&gt;• Contact payer credentialing/enrollment department for status update/reprocessing.&lt;/td&gt;&lt;/tr&gt;</t>
  </si>
  <si>
    <t>&lt;tr data-carc="CO 96/197" data-type="co" data-rarc="N761 — This provider is not authorized to receive payment for the service(s)." data-denial="The claim was denied because the billing or rendering provider (individual physician, NP/PA, therapist, supplier, etc.) is not authorized, enrolled, certified, licensed, or credentialed by the payer to receive payment for the specific service(s) billed. Payer will not reimburse the provider directly (unlike facility denials with N760)." data-root="• Provider not enrolled/credentialed with payer (missing Medicare enrollment, Medicaid ID, commercial contract).\n• Provider out-of-network or non-participating with patient's plan.\n• Credentialing lapse: Enrollment expired, revoked, or not updated in payer systems.\n• Service-specific restriction: Provider authorized for some services but not the billed one.\n• Oversight: Billed without verifying provider eligibility for patient's plan."&gt;&lt;td&gt;&lt;div class="row-num"&gt;#36&lt;/div&gt;&lt;span class="carc-badge co"&gt;CO 96/197&lt;/span&gt;&lt;/td&gt;&lt;td&gt;&lt;span class="denial-reason"&gt;Provider Not Authorized&lt;/span&gt;&lt;/td&gt;&lt;td class="rarc-wrap"&gt;&lt;div class="rarc-id"&gt;N761&lt;/div&gt;&lt;div class="rarc-desc"&gt;This provider is not authorized to receive payment for the service(s).&lt;/div&gt;&lt;/td&gt;&lt;td class="td-meaning"&gt;The claim was denied because the billing or rendering provider (individual physician, NP/PA, therapist, supplier, etc.) is not authorized, enrolled, certified, licensed, or credentialed by the payer to receive payment for the specific service(s) billed. Payer will not reimburse the provider directly (unlike facility denials with N760).&lt;/td&gt;&lt;td&gt;&lt;div class="chip-row"&gt;&lt;span class="chip chip-green"&gt;Physician or mid-level bills Medicare but not enrolled with valid NPI/PTAN → denied.&lt;/span&gt;&lt;span class="chip chip-green"&gt;Out-of-network specialist/therapist treats patient under Medicare Advantage/commercial → rejected.&lt;/span&gt;&lt;span class="chip chip-green"&gt;DME supplier or orthotist bills without proper accreditation/supplier standards compliance.&lt;/span&gt;&lt;span class="chip chip-green"&gt;Non-physician (NP/PA) bills independently when payer requires physician billing/supervision.&lt;/span&gt;&lt;/div&gt;&lt;/td&gt;&lt;td&gt;&lt;div class="chip-row"&gt;&lt;span class="chip chip-green"&gt;Provider not enrolled/credentialed with payer (missing Medicare enrollment, Medicaid ID, commercial contract).&lt;/span&gt;&lt;span class="chip chip-green"&gt;Provider out-of-network or non-participating with patient's plan.&lt;/span&gt;&lt;span class="chip chip-green"&gt;Credentialing lapse: Enrollment expired, revoked, or not updated in payer systems.&lt;/span&gt;&lt;span class="chip chip-green"&gt;Service-specific restriction: Provider authorized for some services but not the billed one.&lt;/span&gt;&lt;span class="chip chip-green"&gt;Oversight: Billed without verifying provider eligibility for patient's plan.&lt;/span&gt;&lt;/div&gt;&lt;/td&gt;&lt;td class="td-res"&gt;• Verify provider enrollment/credential status with payer (PECOS, NPPES, Medicaid directory, commercial portal).&lt;br&gt;• If enrolled but flagged in error → appeal with proof (PTAN/NPI confirmation, network letter).&lt;br&gt;• If not authorized → refer to authorized provider; resubmit under correct provider if possible.&lt;br&gt;• Post write-off or bill patient (after notification; check state laws on balance billing).&lt;br&gt;• Contact payer credentialing/enrollment for status update/reprocessing if recently enrolled.&lt;/td&gt;&lt;/tr&gt;</t>
  </si>
  <si>
    <t>&lt;tr data-carc="CO 185/8" data-type="co" data-rarc="N95 — This provider type/provider specialty may not bill this service." data-denial="The claim was denied because the billing or rendering provider's type (individual vs. group, facility vs. professional) or specialty (e.g., MD vs. therapist, chiropractor vs. physician) is not permitted by the payer to bill or receive reimbursement for the specific service/procedure code. Payers enforce strict rules on "who can bill" based on licensure, scope of practice, supervision, or program guidelines." data-root="• Provider type/specialty not eligible per payer rules (Medicare PFS indicators, state scope of practice, payer policy).\n• Billing restricted code without required supervision/incident-to/collaboration.\n• Credentialing mismatch: Provider specialty/taxonomy does not support service.\n• Oversight: Billed under provider NPI without checking payer's allowed provider list."&gt;&lt;td&gt;&lt;div class="row-num"&gt;#37&lt;/div&gt;&lt;span class="carc-badge co"&gt;CO 185/8&lt;/span&gt;&lt;/td&gt;&lt;td&gt;&lt;span class="denial-reason"&gt;Provider not Authorized&lt;/span&gt;&lt;/td&gt;&lt;td class="rarc-wrap"&gt;&lt;div class="rarc-id"&gt;N95&lt;/div&gt;&lt;div class="rarc-desc"&gt;This provider type/provider specialty may not bill this service.&lt;/div&gt;&lt;/td&gt;&lt;td class="td-meaning"&gt;The claim was denied because the billing or rendering provider's type (individual vs. group, facility vs. professional) or specialty (e.g., MD vs. therapist, chiropractor vs. physician) is not permitted by the payer to bill or receive reimbursement for the specific service/procedure code. Payers enforce strict rules on "who can bill" based on licensure, scope of practice, supervision, or program guidelines.&lt;/td&gt;&lt;td&gt;&lt;div class="chip-row"&gt;&lt;span class="chip chip-green"&gt;Chiropractor bills E/M code (99213) or injection (20610) restricted to MD/DO.&lt;/span&gt;&lt;span class="chip chip-green"&gt;Physical therapist bills physician-level procedure (e.g., 20550 tendon injection) without incident-to.&lt;/span&gt;&lt;span class="chip chip-green"&gt;Nurse practitioner bills surgical code requiring physician specialty in restricted state/plan.&lt;/span&gt;&lt;/div&gt;&lt;/td&gt;&lt;td&gt;&lt;div class="chip-row"&gt;&lt;span class="chip chip-green"&gt;Provider type/specialty not eligible per payer rules (Medicare PFS indicators, state scope of practice, payer policy).&lt;/span&gt;&lt;span class="chip chip-green"&gt;Billing restricted code without required supervision/incident-to/collaboration.&lt;/span&gt;&lt;span class="chip chip-green"&gt;Credentialing mismatch: Provider specialty/taxonomy does not support service.&lt;/span&gt;&lt;span class="chip chip-green"&gt;Oversight: Billed under provider NPI without checking payer's allowed provider list.&lt;/span&gt;&lt;/div&gt;&lt;/td&gt;&lt;td class="td-res"&gt;• Verify payer guidelines (Medicare PFS, Medicaid manual, commercial policy) for who can bill the service.&lt;br&gt;• If wrong provider billed → resubmit under correct authorized provider/NPI (frequency 7).&lt;br&gt;• Appeal with supervision notes, collaborative agreement, or documentation if payer allows exceptions.&lt;br&gt;• Refer future similar services to eligible provider type/specialty.&lt;br&gt;Accept denial and write off or bill patient if provider not eligible.&lt;/td&gt;&lt;/tr&gt;</t>
  </si>
  <si>
    <t>&lt;tr data-carc="CO 16" data-type="co" data-rarc="M127 — Missing patient medical record for this service." data-denial="The claim was denied because the payer required supporting patient medical records (progress notes, operative reports, physician orders, test results, treatment plans) for the billed service, but no records were attached, uploaded, or provided. Common for services under medical review, medical necessity audits, pre-payment reviews, or specific payer policies (e.g., surgery, infusions, therapy, DME, high-cost drugs)." data-root="• Supporting records not attached/uploaded to claim or sent in response to ADR.\n• Documentation exists but not collected before submission.\n• Service triggers automatic medical review/ADR (Medicare CERT/RAC, payer high-risk list).\n• Billing error: Records not scanned/linked or attachment indicator missing."&gt;&lt;td&gt;&lt;div class="row-num"&gt;#38&lt;/div&gt;&lt;span class="carc-badge co"&gt;CO 16&lt;/span&gt;&lt;/td&gt;&lt;td&gt;&lt;span class="denial-reason"&gt;Missing Patient Medical Record&lt;/span&gt;&lt;/td&gt;&lt;td class="rarc-wrap"&gt;&lt;div class="rarc-id"&gt;M127&lt;/div&gt;&lt;div class="rarc-desc"&gt;Missing patient medical record for this service.&lt;/div&gt;&lt;/td&gt;&lt;td class="td-meaning"&gt;The claim was denied because the payer required supporting patient medical records (progress notes, operative reports, physician orders, test results, treatment plans) for the billed service, but no records were attached, uploaded, or provided. Common for services under medical review, medical necessity audits, pre-payment reviews, or specific payer policies (e.g., surgery, infusions, therapy, DME, high-cost drugs).&lt;/td&gt;&lt;td&gt;&lt;div class="chip-row"&gt;&lt;span class="chip chip-green"&gt;Complex surgery (spinal fusion) denied pending operative report and pre-op notes.&lt;/span&gt;&lt;span class="chip chip-green"&gt;Infusion/chemotherapy claim denied – missing physician orders or infusion records.&lt;/span&gt;&lt;span class="chip chip-green"&gt;DME (power wheelchair) denied because face-to-face evaluation or detailed written order not submitted.&lt;/span&gt;&lt;span class="chip chip-green"&gt;PT/OT beyond initial visits denied without progress notes or functional assessment.&lt;/span&gt;&lt;/div&gt;&lt;/td&gt;&lt;td&gt;&lt;div class="chip-row"&gt;&lt;span class="chip chip-green"&gt;Supporting records not attached/uploaded to claim or sent in response to ADR.&lt;/span&gt;&lt;span class="chip chip-green"&gt;Documentation exists but not collected before submission.&lt;/span&gt;&lt;span class="chip chip-green"&gt;Service triggers automatic medical review/ADR (Medicare CERT/RAC, payer high-risk list).&lt;/span&gt;&lt;span class="chip chip-green"&gt;Billing error: Records not scanned/linked or attachment indicator missing.&lt;/span&gt;&lt;/div&gt;&lt;/td&gt;&lt;td class="td-res"&gt;• Review EOB/ERA and any ADR/review request to identify required records.&lt;br&gt;• Gather complete supporting documentation (notes, orders, reports, plans) from medical record.&lt;br&gt;• Ensure records show medical necessity, Dx linkage, and service details (dates, signatures, specificity).&lt;br&gt;• Submit records via payer portal/fax/mail/upload (include claim #, patient ID, DOS).&lt;br&gt;• Resubmit claim with records attached (or wait for reprocessing after ADR response).&lt;br&gt;• Appeal denial with full documentation package if records were previously sent or misapplied.&lt;/td&gt;&lt;/tr&gt;</t>
  </si>
  <si>
    <t>&lt;tr data-carc="CO 97" data-type="co" data-rarc="M15 — Separately billed services/tests have been bundled as they are considered components of the same procedure. Separate payment is not allowed." data-denial="The claim was denied or adjusted because separately billed services/tests were bundled into the primary procedure code as components of the same service. Separate payment is not allowed per NCCI edits, CPT guidelines, or payer policy (unbundling prohibition)." data-root="• Unbundling: Billing component services separately instead of using comprehensive code.\n• Missing or incorrect modifier (e.g., -59/-XU not used or not justified).\n• Provider unaware of NCCI edits or payer bundling rules.\n• Billing software did not flag bundled services."&gt;&lt;td&gt;&lt;div class="row-num"&gt;#39&lt;/div&gt;&lt;span class="carc-badge co"&gt;CO 97&lt;/span&gt;&lt;/td&gt;&lt;td&gt;&lt;span class="denial-reason"&gt;Bundling&lt;/span&gt;&lt;/td&gt;&lt;td class="rarc-wrap"&gt;&lt;div class="rarc-id"&gt;M15&lt;/div&gt;&lt;div class="rarc-desc"&gt;Separately billed services/tests have been bundled as they are considered components of the same procedure. Separate payment is not allowed.&lt;/div&gt;&lt;/td&gt;&lt;td class="td-meaning"&gt;The claim was denied or adjusted because separately billed services/tests were bundled into the primary procedure code as components of the same service. Separate payment is not allowed per NCCI edits, CPT guidelines, or payer policy (unbundling prohibition).&lt;/td&gt;&lt;td&gt;&lt;div class="chip-row"&gt;&lt;span class="chip chip-green"&gt;E/M visit billed with minor procedure on same day → E/M bundled into procedure.&lt;/span&gt;&lt;span class="chip chip-green"&gt;Lab test or imaging billed separately when considered part of main procedure (e.g., intra-operative monitoring).&lt;/span&gt;&lt;span class="chip chip-green"&gt;Injection or supply billed apart from surgical code that includes it.&lt;/span&gt;&lt;/div&gt;&lt;/td&gt;&lt;td&gt;&lt;div class="chip-row"&gt;&lt;span class="chip chip-green"&gt;Unbundling: Billing component services separately instead of using comprehensive code.&lt;/span&gt;&lt;span class="chip chip-green"&gt;Missing or incorrect modifier (e.g., -59/-XU not used or not justified).&lt;/span&gt;&lt;span class="chip chip-green"&gt;Provider unaware of NCCI edits or payer bundling rules.&lt;/span&gt;&lt;span class="chip chip-green"&gt;Billing software did not flag bundled services.&lt;/span&gt;&lt;/div&gt;&lt;/td&gt;&lt;td class="td-res"&gt;• Review NCCI edits and payer policy for the billed codes to confirm bundling.&lt;br&gt;• If modifier appropriate (e.g., -59 for distinct service) → add correct modifier and resubmit (frequency 7).&lt;br&gt;• If truly bundled → accept adjustment and post write-off.&lt;br&gt;• Appeal with documentation (op notes, progress notes) proving distinct service if justified.&lt;/td&gt;&lt;/tr&gt;</t>
  </si>
  <si>
    <t>&lt;tr data-carc="CO 97" data-type="co" data-rarc="M97 — Not paid to practitioner when provided to patient in this place of service. Payment included in the reimbursement issued the facility." data-denial="The practitioner claim was denied or adjusted because the service was provided in a facility place of service (e.g., hospital outpatient, ASC, SNF) where payment for the service is included in the facility reimbursement. The practitioner cannot bill separately; the technical component is bundled into the facility payment." data-root="• Service billed by practitioner in facility POS (e.g., 21, 22, 23, 24) where technical component is bundled.\n• Place of service code incorrect or not matching facility reimbursement rules.\n• Provider unaware of payer bundling policy for facility-based services.\n• Billing software did not flag practitioner claims in facility POS."&gt;&lt;td&gt;&lt;div class="row-num"&gt;#40&lt;/div&gt;&lt;span class="carc-badge co"&gt;CO 97&lt;/span&gt;&lt;/td&gt;&lt;td&gt;&lt;span class="denial-reason"&gt;Place Of Service&lt;/span&gt;&lt;/td&gt;&lt;td class="rarc-wrap"&gt;&lt;div class="rarc-id"&gt;M97&lt;/div&gt;&lt;div class="rarc-desc"&gt;Not paid to practitioner when provided to patient in this place of service. Payment included in the reimbursement issued the facility.&lt;/div&gt;&lt;/td&gt;&lt;td class="td-meaning"&gt;The practitioner claim was denied or adjusted because the service was provided in a facility place of service (e.g., hospital outpatient, ASC, SNF) where payment for the service is included in the facility reimbursement. The practitioner cannot bill separately; the technical component is bundled into the facility payment.&lt;/td&gt;&lt;td&gt;&lt;div class="chip-row"&gt;&lt;span class="chip chip-green"&gt;Physician bills interpretation (-26) of X-ray performed in hospital outpatient department → denied (technical bundled in facility payment).&lt;/span&gt;&lt;span class="chip chip-green"&gt;Surgeon bills E/M in hospital outpatient clinic → denied (included in facility rate).&lt;/span&gt;&lt;span class="chip chip-green"&gt;Therapy or injection in ASC/SNF billed by practitioner → adjusted or denied (facility payment includes service).&lt;/span&gt;&lt;/div&gt;&lt;/td&gt;&lt;td&gt;&lt;div class="chip-row"&gt;&lt;span class="chip chip-green"&gt;Service billed by practitioner in facility POS (e.g., 21, 22, 23, 24) where technical component is bundled.&lt;/span&gt;&lt;span class="chip chip-green"&gt;Place of service code incorrect or not matching facility reimbursement rules.&lt;/span&gt;&lt;span class="chip chip-green"&gt;Provider unaware of payer bundling policy for facility-based services.&lt;/span&gt;&lt;span class="chip chip-green"&gt;Billing software did not flag practitioner claims in facility POS.&lt;/span&gt;&lt;/div&gt;&lt;/td&gt;&lt;td class="td-res"&gt;• Review POS code on claim (CMS-1500 Box 24B or 837P Loop 2300 CLM05-1) and confirm facility setting.&lt;br&gt;• If correct facility POS → accept denial (payment bundled in facility claim).&lt;br&gt;• If POS error (e.g., should be office) → correct POS and resubmit (frequency 7).&lt;br&gt;• Appeal with documentation showing non-facility setting if misapplied.&lt;br&gt;• Coordinate with facility billing to ensure proper facility claim submission.&lt;/td&gt;&lt;/tr&gt;</t>
  </si>
  <si>
    <t>&lt;tr data-carc="CO 16" data-type="co" data-rarc="MA30 — Missing/incomplete/invalid type of bill." data-denial="The claim was denied or rejected because the Type of Bill (TOB) code is missing, incomplete (wrong format/length), or invalid (not recognized or not allowed for the services/payer). TOB (4-digit code on UB-04 FL 4 or 837I CLM05-3) indicates claim type (e.g., hospital inpatient 111, home health 329, SNF 211) and is required for institutional claims to determine processing rules and payment." data-root="• TOB field (UB-04 FL 4 or 837I CLM05-3) left blank or omitted.\n• Wrong/invalid TOB code entered (incorrect facility type or frequency digit).\n• Billing software/manual entry error (typo or wrong selection).\n• Provider unaware of correct TOB for service type (inpatient, outpatient, home health, SNF).\n• TOB	Facility Type\n111	Hospital Inpatient\n121	Hospital Inpatient Part B\n131	Hospital Outpatient\n137	Hospital Outpatient Replacement\n141	Hospital Lab\n151	Skilled Nursing Facility\n171	Rural Health Clinic\n181	Swing Bed\n191	Religious Non-Medical\n831	Ambulatory Surgery Center"&gt;&lt;td&gt;&lt;div class="row-num"&gt;#41&lt;/div&gt;&lt;span class="carc-badge co"&gt;CO 16&lt;/span&gt;&lt;/td&gt;&lt;td&gt;&lt;span class="denial-reason"&gt;Invalid Type Of Bill&lt;/span&gt;&lt;/td&gt;&lt;td class="rarc-wrap"&gt;&lt;div class="rarc-id"&gt;MA30&lt;/div&gt;&lt;div class="rarc-desc"&gt;Missing/incomplete/invalid type of bill.&lt;/div&gt;&lt;/td&gt;&lt;td class="td-meaning"&gt;The claim was denied or rejected because the Type of Bill (TOB) code is missing, incomplete (wrong format/length), or invalid (not recognized or not allowed for the services/payer). TOB (4-digit code on UB-04 FL 4 or 837I CLM05-3) indicates claim type (e.g., hospital inpatient 111, home health 329, SNF 211) and is required for institutional claims to determine processing rules and payment.&lt;/td&gt;&lt;td&gt;&lt;div class="chip-row"&gt;&lt;span class="chip chip-green"&gt;Hospital inpatient claim submitted without TOB (e.g., blank FL 4) → rejected.&lt;/span&gt;&lt;span class="chip chip-green"&gt;Home health claim (should be 329) billed with invalid TOB (e.g., 110) → denied.&lt;/span&gt;&lt;span class="chip chip-green"&gt;SNF claim (should be 211) missing TOB or using wrong frequency digit → rejected.&lt;/span&gt;&lt;/div&gt;&lt;/td&gt;&lt;td&gt;&lt;div class="chip-row"&gt;&lt;span class="chip chip-green"&gt;TOB field (UB-04 FL 4 or 837I CLM05-3) left blank or omitted.&lt;/span&gt;&lt;span class="chip chip-green"&gt;Wrong/invalid TOB code entered (incorrect facility type or frequency digit).&lt;/span&gt;&lt;span class="chip chip-green"&gt;Billing software/manual entry error (typo or wrong selection).&lt;/span&gt;&lt;span class="chip chip-green"&gt;Provider unaware of correct TOB for service type (inpatient, outpatient, home health, SNF).&lt;/span&gt;&lt;span class="chip chip-green"&gt;TOB	Facility Type&lt;/span&gt;&lt;span class="chip chip-green"&gt;111	Hospital Inpatient&lt;/span&gt;&lt;span class="chip chip-green"&gt;121	Hospital Inpatient Part B&lt;/span&gt;&lt;span class="chip chip-green"&gt;131	Hospital Outpatient&lt;/span&gt;&lt;span class="chip chip-green"&gt;137	Hospital Outpatient Replacement&lt;/span&gt;&lt;span class="chip chip-green"&gt;141	Hospital Lab&lt;/span&gt;&lt;span class="chip chip-green"&gt;151	Skilled Nursing Facility&lt;/span&gt;&lt;span class="chip chip-green"&gt;171	Rural Health Clinic&lt;/span&gt;&lt;span class="chip chip-green"&gt;181	Swing Bed&lt;/span&gt;&lt;span class="chip chip-green"&gt;191	Religious Non-Medical&lt;/span&gt;&lt;span class="chip chip-green"&gt;831	Ambulatory Surgery Center&lt;/span&gt;&lt;/div&gt;&lt;/td&gt;&lt;td class="td-res"&gt;• Review UB-04 FL 4 (or 837I CLM05-3) and confirm correct TOB for service (e.g., 111 inpatient, 131 outpatient hospital, 329 home health).&lt;br&gt;• Correct TOB code per payer guidelines (CMS TOB list or payer manual).&lt;br&gt;• Resubmit corrected claim (frequency 7).&lt;br&gt;• Appeal with corrected TOB and documentation if misapplied.&lt;br&gt;• Contact payer if TOB rejection persists (verify allowed codes).&lt;/td&gt;&lt;/tr&gt;</t>
  </si>
  <si>
    <t>&lt;tr data-carc="CO 50/96" data-type="co" data-rarc="N115 — 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 data-denial="The claim was denied or adjusted based on a Local Coverage Determination (LCD) policy. LCDs are payer-specific guidelines (issued by Medicare MACs) that define coverage criteria, medical necessity requirements, diagnosis codes, documentation, and limitations for specific items/services. The remark informs the provider that the denial follows an LCD and provides the source (cms.gov/mcd) for the policy." data-root="• Service/diagnosis does not meet LCD coverage criteria (wrong Dx code, missing documentation, insufficient medical necessity).\n• Provider unaware of applicable LCD for the service/item in the MAC jurisdiction.\n• Documentation incomplete or not submitted (e.g., no physician order, no progress notes).\n• Billing without checking LCD policy during pre-service or claim preparation."&gt;&lt;td&gt;&lt;div class="row-num"&gt;#42&lt;/div&gt;&lt;span class="carc-badge co"&gt;CO 50/96&lt;/span&gt;&lt;/td&gt;&lt;td&gt;&lt;span class="denial-reason"&gt;Medical Necessity&lt;/span&gt;&lt;/td&gt;&lt;td class="rarc-wrap"&gt;&lt;div class="rarc-id"&gt;N115&lt;/div&gt;&lt;div class="rarc-desc"&gt;This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LCD.&lt;/div&gt;&lt;/td&gt;&lt;td class="td-meaning"&gt;The claim was denied or adjusted based on a Local Coverage Determination (LCD) policy. LCDs are payer-specific guidelines (issued by Medicare MACs) that define coverage criteria, medical necessity requirements, diagnosis codes, documentation, and limitations for specific items/services. The remark informs the provider that the denial follows an LCD and provides the source (cms.gov/mcd) for the policy.&lt;/td&gt;&lt;td&gt;&lt;div class="chip-row"&gt;&lt;span class="chip chip-green"&gt;Advanced imaging (MRI/CT) denied – diagnosis not on LCD covered list.&lt;/span&gt;&lt;span class="chip chip-green"&gt;DME (power wheelchair) denied – missing face-to-face evaluation or mobility assessment per LCD.&lt;/span&gt;&lt;span class="chip chip-green"&gt;Therapy services beyond limit denied – documentation fails LCD medical necessity criteria.&lt;/span&gt;&lt;span class="chip chip-green"&gt;Injectable drug or biologic denied – indication or diagnosis not meeting LCD requirements.&lt;/span&gt;&lt;/div&gt;&lt;/td&gt;&lt;td&gt;&lt;div class="chip-row"&gt;&lt;span class="chip chip-green"&gt;Service/diagnosis does not meet LCD coverage criteria (wrong Dx code, missing documentation, insufficient medical necessity).&lt;/span&gt;&lt;span class="chip chip-green"&gt;Provider unaware of applicable LCD for the service/item in the MAC jurisdiction.&lt;/span&gt;&lt;span class="chip chip-green"&gt;Documentation incomplete or not submitted (e.g., no physician order, no progress notes).&lt;/span&gt;&lt;span class="chip chip-green"&gt;Billing without checking LCD policy during pre-service or claim preparation.&lt;/span&gt;&lt;/div&gt;&lt;/td&gt;&lt;td class="td-res"&gt;• Access the LCD policy via cms.gov/mcd (search by LCD number or keyword) or contact MAC.&lt;br&gt;• Review LCD requirements (covered Dx list, documentation, frequency limits).&lt;br&gt;• Correct claim/documentation to meet LCD criteria (add Dx, attach notes/orders).&lt;br&gt;• Resubmit corrected claim (frequency 7) with required supporting records.&lt;br&gt;• Appeal with full documentation proving compliance with LCD (progress notes, orders, test results).&lt;br&gt;• If non-covered per LCD → accept denial or bill patient (after ABN if Medicare).&lt;/td&gt;&lt;/tr&gt;</t>
  </si>
  <si>
    <t>&lt;tr data-carc="CO 4" data-type="co" data-rarc="N122 — Add-on code cannot be billed by itself." data-denial="The claim was denied because an add-on procedure code (+ symbol in CPT, e.g., +11045, +69990) was billed alone without its required primary/base procedure code on the same claim. Add-on codes are never payable independently; they must accompany the primary service they supplement." data-root="• Add-on code (+XXXXX) submitted without corresponding primary/base procedure code.\n• Primary code omitted, on different claim, or not billed on same date of service.\n• Billing software or manual entry error (add-on code selected alone).\n• Provider unaware add-on codes require primary code on same claim.\n• Coding error: Misidentifying an add-on code as standalone or forgetting to pair it.\n• Claim split or resubmission error: Primary code processed earlier; add-on billed later without reference.\n• Lack of pre-billing check for required primary code linkage per CPT guidelines."&gt;&lt;td&gt;&lt;div class="row-num"&gt;#43&lt;/div&gt;&lt;span class="carc-badge co"&gt;CO 4&lt;/span&gt;&lt;/td&gt;&lt;td&gt;&lt;span class="denial-reason"&gt;Add-on code&lt;/span&gt;&lt;/td&gt;&lt;td class="rarc-wrap"&gt;&lt;div class="rarc-id"&gt;N122&lt;/div&gt;&lt;div class="rarc-desc"&gt;Add-on code cannot be billed by itself.&lt;/div&gt;&lt;/td&gt;&lt;td class="td-meaning"&gt;The claim was denied because an add-on procedure code (+ symbol in CPT, e.g., +11045, +69990) was billed alone without its required primary/base procedure code on the same claim. Add-on codes are never payable independently; they must accompany the primary service they supplement.&lt;/td&gt;&lt;td&gt;&lt;div class="chip-row"&gt;&lt;span class="chip chip-green"&gt;49568 (hernia mesh implantation) billed alone without a primary hernia repair code (e.g., 49560–49566) → denied.&lt;/span&gt;&lt;span class="chip chip-green"&gt;15777 (grafting for wound closure) submitted without the primary closure/reconstruction code (e.g., 13100–13160 series).&lt;/span&gt;&lt;span class="chip chip-green"&gt;69990 (microsurgical techniques) billed by itself instead of with the primary neurosurgical or ENT procedure.&lt;/span&gt;&lt;span class="chip chip-green"&gt;99199 (unlisted special service) or +95972 (complex programming of neurostimulator) submitted standalone → rejected.&lt;/span&gt;&lt;span class="chip chip-green"&gt;95971 (simple programming of neurostimulator) billed without the primary implantation code (e.g., 64555, 64561).&lt;/span&gt;&lt;span class="chip chip-green"&gt;Anesthesia add-on time code or time-based add-on (e.g., +99354 prolonged service) submitted without base code.&lt;/span&gt;&lt;/div&gt;&lt;/td&gt;&lt;td&gt;&lt;div class="chip-row"&gt;&lt;span class="chip chip-green"&gt;Add-on code (+XXXXX) submitted without corresponding primary/base procedure code.&lt;/span&gt;&lt;span class="chip chip-green"&gt;Primary code omitted, on different claim, or not billed on same date of service.&lt;/span&gt;&lt;span class="chip chip-green"&gt;Billing software or manual entry error (add-on code selected alone).&lt;/span&gt;&lt;span class="chip chip-green"&gt;Provider unaware add-on codes require primary code on same claim.&lt;/span&gt;&lt;span class="chip chip-green"&gt;Coding error: Misidentifying an add-on code as standalone or forgetting to pair it.&lt;/span&gt;&lt;span class="chip chip-green"&gt;Claim split or resubmission error: Primary code processed earlier; add-on billed later without reference.&lt;/span&gt;&lt;span class="chip chip-green"&gt;Lack of pre-billing check for required primary code linkage per CPT guidelines.&lt;/span&gt;&lt;/div&gt;&lt;/td&gt;&lt;td class="td-res"&gt;• Identify add-on code from EOB and confirm primary code needed (CPT book or NCCI lookup).&lt;br&gt;• Verify primary procedure was performed and billed (same DOS, same claim).&lt;br&gt;• Resubmit corrected claim including both primary and add-on codes (frequency 7).&lt;br&gt;• If primary code already billed separately → appeal with claim history and documentation showing linkage.&lt;br&gt;• Accept denial if no primary procedure performed (post write-off).&lt;/td&gt;&lt;/tr&gt;</t>
  </si>
  <si>
    <t>&lt;tr data-carc="CO 50/96" data-type="co" data-rarc="N130 — Consult plan benefit documents/guidelines for information about restrictions for this service." data-denial="The service is restricted, limited, or subject to specific plan rules (e.g., frequency limits, prior authorization, medical necessity criteria, or exclusion). Payer advises checking the patient's benefit documents, policy guidelines, or summary plan description for exact coverage details/restrictions." data-root="• Service exceeds plan limits (visits, quantity, frequency).\n• Prior authorization, step therapy, or medical necessity not met per policy.\n• Provider unaware of patient-specific benefit restrictions.\n• Claim billed without verifying coverage guidelines."&gt;&lt;td&gt;&lt;div class="row-num"&gt;#44&lt;/div&gt;&lt;span class="carc-badge co"&gt;CO 50/96&lt;/span&gt;&lt;/td&gt;&lt;td&gt;&lt;span class="denial-reason"&gt;Medical Necessity&lt;/span&gt;&lt;/td&gt;&lt;td class="rarc-wrap"&gt;&lt;div class="rarc-id"&gt;N130&lt;/div&gt;&lt;div class="rarc-desc"&gt;Consult plan benefit documents/guidelines for information about restrictions for this service.&lt;/div&gt;&lt;/td&gt;&lt;td class="td-meaning"&gt;The service is restricted, limited, or subject to specific plan rules (e.g., frequency limits, prior authorization, medical necessity criteria, or exclusion). Payer advises checking the patient's benefit documents, policy guidelines, or summary plan description for exact coverage details/restrictions.&lt;/td&gt;&lt;td&gt;&lt;div class="chip-row"&gt;&lt;span class="chip chip-green"&gt;Physical therapy beyond 12 visits denied → payer points to plan visit limit.&lt;/span&gt;&lt;span class="chip chip-green"&gt;Advanced imaging (MRI) denied → restriction on non-emergent use without conservative treatment first.&lt;/span&gt;&lt;span class="chip chip-green"&gt;DME (CPAP) or specialty drug limited to certain diagnosis or step therapy → consult benefits.&lt;/span&gt;&lt;span class="chip chip-green"&gt;Cosmetic or experimental service partially covered → check exclusion list in plan docs.&lt;/span&gt;&lt;/div&gt;&lt;/td&gt;&lt;td&gt;&lt;div class="chip-row"&gt;&lt;span class="chip chip-green"&gt;Service exceeds plan limits (visits, quantity, frequency).&lt;/span&gt;&lt;span class="chip chip-green"&gt;Prior authorization, step therapy, or medical necessity not met per policy.&lt;/span&gt;&lt;span class="chip chip-green"&gt;Provider unaware of patient-specific benefit restrictions.&lt;/span&gt;&lt;span class="chip chip-green"&gt;Claim billed without verifying coverage guidelines.&lt;/span&gt;&lt;/div&gt;&lt;/td&gt;&lt;td class="td-res"&gt;• Access the patient's plan benefit documents (via payer portal, member ID card, EOC, or benefit summary) or contact payer to obtain current guidelines.&lt;br&gt;• Compare the billed service against plan restrictions (e.g., visit limits, covered codes, authorization rules).&lt;br&gt;• If compliant but denied in error → Appeal with proof from plan documents showing coverage (attach EOC excerpts or benefit summary).&lt;br&gt;• If restricted → Correct claim if possible (e.g., reduce units to allowed limit) and resubmit (frequency 7 corrected), or obtain retroactive authorization if allowed.&lt;br&gt;• If non-covered → Post adjustment/write-off or bill patient (after Advance Beneficiary Notice/ABN if Medicare-related); inform patient of benefit limits.&lt;/td&gt;&lt;/tr&gt;</t>
  </si>
  <si>
    <t>&lt;tr data-carc="CO 96" data-type="co" data-rarc="M1 — X-ray not taken within the past 12 months or near enough to the start of treatment." data-denial="Service denied – no X-ray taken or X-ray does not show required findings to support medical necessity (common for chiropractic manipulation, certain therapy/orthopedic services)." data-root="• No X-ray ordered or performed before treatment.\n• X-ray taken but shows normal findings (no subluxation/pathology).\n• X-ray report not documenting required criteria (e.g., misalignment).\n• Payer policy for X-ray justification ignored."&gt;&lt;td&gt;&lt;div class="row-num"&gt;#52&lt;/div&gt;&lt;span class="carc-badge co"&gt;CO 96&lt;/span&gt;&lt;/td&gt;&lt;td&gt;&lt;span class="denial-reason"&gt;Non Covered Charge&lt;/span&gt;&lt;/td&gt;&lt;td class="rarc-wrap"&gt;&lt;div class="rarc-id"&gt;M1&lt;/div&gt;&lt;div class="rarc-desc"&gt;X-ray not taken within the past 12 months or near enough to the start of treatment.&lt;/div&gt;&lt;/td&gt;&lt;td class="td-meaning"&gt;Service denied – no X-ray taken or X-ray does not show required findings to support medical necessity (common for chiropractic manipulation, certain therapy/orthopedic services).&lt;/td&gt;&lt;td&gt;&lt;div class="chip-row"&gt;&lt;span class="chip chip-green"&gt;Chiropractic adjustment denied – no spinal X-ray performed.&lt;/span&gt;&lt;span class="chip chip-green"&gt;Spinal decompression or PT denied – X-ray shows no misalignment/subluxation.&lt;/span&gt;&lt;span class="chip chip-green"&gt;Manipulation or injection denied – imaging lacks structural evidence justifying service.&lt;/span&gt;&lt;/div&gt;&lt;/td&gt;&lt;td&gt;&lt;div class="chip-row"&gt;&lt;span class="chip chip-green"&gt;No X-ray ordered or performed before treatment.&lt;/span&gt;&lt;span class="chip chip-green"&gt;X-ray taken but shows normal findings (no subluxation/pathology).&lt;/span&gt;&lt;span class="chip chip-green"&gt;X-ray report not documenting required criteria (e.g., misalignment).&lt;/span&gt;&lt;span class="chip chip-green"&gt;Payer policy for X-ray justification ignored.&lt;/span&gt;&lt;/div&gt;&lt;/td&gt;&lt;td class="td-res"&gt;• Check if X-ray was done and report supports service (subluxation or pathology).&lt;br&gt;• If available &amp; sufficient → resubmit with X-ray report attached.&lt;br&gt;• If missing or insufficient → order new X-ray if appropriate, document findings, then resubmit.&lt;br&gt;• Appeal with clinical notes + X-ray showing necessity if denied incorrectly.&lt;/td&gt;&lt;/tr&gt;</t>
  </si>
  <si>
    <t>&lt;tr data-carc="CO 96" data-type="co" data-rarc="M10 — Equipment purchases are limited to the first or the tenth month of medical necessity." data-denial="Equipment purchase denied — allowed only in the 1st or 10th month of medical necessity per DME rules." data-root="• Purchase billed outside 1st or 10th month.\n• No rental history documented.\n• Timing rules not followed."&gt;&lt;td&gt;&lt;div class="row-num"&gt;#53&lt;/div&gt;&lt;span class="carc-badge co"&gt;CO 96&lt;/span&gt;&lt;/td&gt;&lt;td&gt;&lt;span class="denial-reason"&gt;Non Covered Charge&lt;/span&gt;&lt;/td&gt;&lt;td class="rarc-wrap"&gt;&lt;div class="rarc-id"&gt;M10&lt;/div&gt;&lt;div class="rarc-desc"&gt;Equipment purchases are limited to the first or the tenth month of medical necessity.&lt;/div&gt;&lt;/td&gt;&lt;td class="td-meaning"&gt;Equipment purchase denied — allowed only in the 1st or 10th month of medical necessity per DME rules.&lt;/td&gt;&lt;td&gt;&lt;div class="chip-row"&gt;&lt;span class="chip chip-green"&gt;Wheelchair billed as purchase in month 4–9.&lt;/span&gt;&lt;span class="chip chip-green"&gt;Hospital bed converted to purchase too early.&lt;/span&gt;&lt;span class="chip chip-green"&gt;Capped rental item billed as purchase outside allowed window.&lt;/span&gt;&lt;/div&gt;&lt;/td&gt;&lt;td&gt;&lt;div class="chip-row"&gt;&lt;span class="chip chip-green"&gt;Purchase billed outside 1st or 10th month.&lt;/span&gt;&lt;span class="chip chip-green"&gt;No rental history documented.&lt;/span&gt;&lt;span class="chip chip-green"&gt;Timing rules not followed.&lt;/span&gt;&lt;/div&gt;&lt;/td&gt;&lt;td class="td-res"&gt;• Verify rental months and medical necessity timeline.&lt;br&gt;• Resubmit as rental if still within rental period.&lt;br&gt;• Appeal with documentation if purchase timing is justified.&lt;/td&gt;&lt;/tr&gt;</t>
  </si>
  <si>
    <t>&lt;tr data-carc="CO 96" data-type="co" data-rarc="M100 — We do not pay for an oral anti-emetic drug that is not administered for use immediately before, at, or within 48 hours of administration of a covered chemotherapy drug." data-denial="The claim was denied because the oral anti-emetic drug was not administered immediately before, at the time of, or within 48 hours after a covered chemotherapy drug. Payers (Medicare, Medicaid, and most commercial plans) strictly limit coverage of oral anti-emetics to this specific time window to support chemotherapy administration. Outside this window, the drug is considered non-covered." data-root="• Anti-emetic administered outside the required 48-hour window around chemotherapy.\n• No chemotherapy service billed on the same claim or within the allowed timeframe.\n• Incorrect billing of supportive care drugs without linking to the qualifying chemotherapy drug.\n• Failure to verify payer-specific anti-emetic coverage rules during pre-service or billing.\n• Documentation does not clearly show the timing relationship between chemo and anti-emetic.\n• Claim submitted without referencing the chemotherapy drug or administration date."&gt;&lt;td&gt;&lt;div class="row-num"&gt;#54&lt;/div&gt;&lt;span class="carc-badge co"&gt;CO 96&lt;/span&gt;&lt;/td&gt;&lt;td&gt;&lt;span class="denial-reason"&gt;Non Covered Charge&lt;/span&gt;&lt;/td&gt;&lt;td class="rarc-wrap"&gt;&lt;div class="rarc-id"&gt;M100&lt;/div&gt;&lt;div class="rarc-desc"&gt;We do not pay for an oral anti-emetic drug that is not administered for use immediately before, at, or within 48 hours of administration of a covered chemotherapy drug.&lt;/div&gt;&lt;/td&gt;&lt;td class="td-meaning"&gt;The claim was denied because the oral anti-emetic drug was not administered immediately before, at the time of, or within 48 hours after a covered chemotherapy drug. Payers (Medicare, Medicaid, and most commercial plans) strictly limit coverage of oral anti-emetics to this specific time window to support chemotherapy administration. Outside this window, the drug is considered non-covered.&lt;/td&gt;&lt;td&gt;&lt;div class="chip-row"&gt;&lt;span class="chip chip-green"&gt;Oral nausea medication (e.g., ondansetron) billed separately without matching chemotherapy on the same claim.&lt;/span&gt;&lt;span class="chip chip-green"&gt;Anti-emetic given more than 48 hours after chemotherapy session.&lt;/span&gt;&lt;span class="chip chip-green"&gt;Supportive oral drug billed on a different date than the covered chemo infusion.&lt;/span&gt;&lt;span class="chip chip-green"&gt;Medicare claim for oral anti-emetic denied when not tied to a covered chemotherapy drug within the 48-hour window.&lt;/span&gt;&lt;span class="chip chip-green"&gt;Commercial payer denies oral Zofran when administered 3 days after chemo.&lt;/span&gt;&lt;span class="chip chip-green"&gt;Follow-up anti-emetic for delayed nausea denied because it falls outside the 48-hour coverage rule.&lt;/span&gt;&lt;/div&gt;&lt;/td&gt;&lt;td&gt;&lt;div class="chip-row"&gt;&lt;span class="chip chip-green"&gt;Anti-emetic administered outside the required 48-hour window around chemotherapy.&lt;/span&gt;&lt;span class="chip chip-green"&gt;No chemotherapy service billed on the same claim or within the allowed timeframe.&lt;/span&gt;&lt;span class="chip chip-green"&gt;Incorrect billing of supportive care drugs without linking to the qualifying chemotherapy drug.&lt;/span&gt;&lt;span class="chip chip-green"&gt;Failure to verify payer-specific anti-emetic coverage rules during pre-service or billing.&lt;/span&gt;&lt;span class="chip chip-green"&gt;Documentation does not clearly show the timing relationship between chemo and anti-emetic.&lt;/span&gt;&lt;span class="chip chip-green"&gt;Claim submitted without referencing the chemotherapy drug or administration date.&lt;/span&gt;&lt;/div&gt;&lt;/td&gt;&lt;td class="td-res"&gt;• Review EOB/ERA and original claim to confirm the timing issue and any attached documentation.&lt;br&gt;• Verify chemotherapy administration date and anti-emetic timing from medical records.&lt;br&gt;• If timing was compliant → Resubmit claim with chemotherapy drug linked and timing clearly documented.&lt;br&gt;• If outside window → Obtain new authorization or appeal with clinical notes showing medical necessity.&lt;br&gt;• If truly non-covered → Post write-off or bill patient (after ABN if Medicare).&lt;br&gt;• Use payer portal to check anti-emetic policy and resubmit with correct linkage.&lt;/td&gt;&lt;/tr&gt;</t>
  </si>
  <si>
    <t>&lt;tr data-carc="CO 96" data-type="co" data-rarc="M102 — Service not performed on equipment approved by the FDA for this purpose." data-denial="The claim was denied because the service or procedure was performed using equipment that is not approved or cleared by the FDA for that specific purpose. Payers (Medicare, Medicaid, commercial) require FDA approval/clearance for devices, equipment, or technology used in billed services (e.g., certain therapeutic devices, diagnostic tools, DME)." data-root="• Equipment used lacks FDA approval/clearance for the specific service or indication.\n• Provider selected non-approved device without verifying FDA status.\n• Failure to check FDA database (510(k), PMA, De Novo) before treatment.\n• Billing without confirming equipment meets payer FDA requirement.\n• Documentation does not reference FDA approval or device clearance number.\n• Payer policy (e.g., Medicare NCD/LCD) requires FDA-approved equipment ignored."&gt;&lt;td&gt;&lt;div class="row-num"&gt;#55&lt;/div&gt;&lt;span class="carc-badge co"&gt;CO 96&lt;/span&gt;&lt;/td&gt;&lt;td&gt;&lt;span class="denial-reason"&gt;Non Covered Charge&lt;/span&gt;&lt;/td&gt;&lt;td class="rarc-wrap"&gt;&lt;div class="rarc-id"&gt;M102&lt;/div&gt;&lt;div class="rarc-desc"&gt;Service not performed on equipment approved by the FDA for this purpose.&lt;/div&gt;&lt;/td&gt;&lt;td class="td-meaning"&gt;The claim was denied because the service or procedure was performed using equipment that is not approved or cleared by the FDA for that specific purpose. Payers (Medicare, Medicaid, commercial) require FDA approval/clearance for devices, equipment, or technology used in billed services (e.g., certain therapeutic devices, diagnostic tools, DME).&lt;/td&gt;&lt;td&gt;&lt;div class="chip-row"&gt;&lt;span class="chip chip-green"&gt;Treatment using a non-FDA-cleared laser or device for pain relief denied.&lt;/span&gt;&lt;span class="chip chip-green"&gt;Experimental or investigational equipment used for physical therapy or wound care.&lt;/span&gt;&lt;span class="chip chip-green"&gt;DME item (e.g., unapproved TENS unit, compression pump) billed under Medicare.&lt;/span&gt;&lt;span class="chip chip-green"&gt;Diagnostic test or procedure performed on device lacking FDA 510(k) clearance or PMA for the indication.&lt;/span&gt;&lt;span class="chip chip-green"&gt;Commercial payer denies claim for biofeedback or electrical stimulation device not FDA-approved for billed use.&lt;/span&gt;&lt;span class="chip chip-green"&gt;Investigational device exemption (IDE) not in place, leading to non-coverage.&lt;/span&gt;&lt;/div&gt;&lt;/td&gt;&lt;td&gt;&lt;div class="chip-row"&gt;&lt;span class="chip chip-green"&gt;Equipment used lacks FDA approval/clearance for the specific service or indication.&lt;/span&gt;&lt;span class="chip chip-green"&gt;Provider selected non-approved device without verifying FDA status.&lt;/span&gt;&lt;span class="chip chip-green"&gt;Failure to check FDA database (510(k), PMA, De Novo) before treatment.&lt;/span&gt;&lt;span class="chip chip-green"&gt;Billing without confirming equipment meets payer FDA requirement.&lt;/span&gt;&lt;span class="chip chip-green"&gt;Documentation does not reference FDA approval or device clearance number.&lt;/span&gt;&lt;span class="chip chip-green"&gt;Payer policy (e.g., Medicare NCD/LCD) requires FDA-approved equipment ignored.&lt;/span&gt;&lt;/div&gt;&lt;/td&gt;&lt;td class="td-res"&gt;• Verify FDA status of the device (FDA 510(k) database, PMA, or classification) for the specific use.&lt;br&gt;• If equipment is FDA-approved but flagged in error → Resubmit with FDA clearance documentation attached (e.g., 510(k) letter, device labeling).&lt;br&gt;• If not approved → Switch to FDA-approved equipment and re-perform service if possible, then resubmit.&lt;br&gt;• Appeal with FDA approval proof, device manual, or clinical justification if policy allows exception.&lt;br&gt;• If non-covered → Post write-off or bill patient (after ABN if Medicare).&lt;/td&gt;&lt;/tr&gt;</t>
  </si>
  <si>
    <t>&lt;tr data-carc="CO 96" data-type="co" data-rarc="M103 — Information supplied supports a break in therapy. However, the medical information we have for this patient does not support the need for this item as billed." data-denial="The claim was adjusted (reduced payment) because records show a break in therapy/use of the DME item, and the medical information does not fully support the need at the billed level/amount. Payer approved a lower payment and started a new capped rental period upon delivery of the equipment." data-root="• Break in therapy or continuous use documented, triggering new rental period.\n• Medical records/physician notes do not support ongoing need at the full billed level or amount.\n• Insufficient documentation of continued medical necessity during the gap.\n• Provider billed full amount without adjusting for reduced support or new rental start."&gt;&lt;td&gt;&lt;div class="row-num"&gt;#56&lt;/div&gt;&lt;span class="carc-badge co"&gt;CO 96&lt;/span&gt;&lt;/td&gt;&lt;td&gt;&lt;span class="denial-reason"&gt;Non Covered Charge&lt;/span&gt;&lt;/td&gt;&lt;td class="rarc-wrap"&gt;&lt;div class="rarc-id"&gt;M103&lt;/div&gt;&lt;div class="rarc-desc"&gt;Information supplied supports a break in therapy. However, the medical information we have for this patient does not support the need for this item as billed.&lt;/div&gt;&lt;/td&gt;&lt;td class="td-meaning"&gt;The claim was adjusted (reduced payment) because records show a break in therapy/use of the DME item, and the medical information does not fully support the need at the billed level/amount. Payer approved a lower payment and started a new capped rental period upon delivery of the equipment.&lt;/td&gt;&lt;td&gt;&lt;div class="chip-row"&gt;&lt;span class="chip chip-green"&gt;Oxygen concentrator rental resumed after gap; medical records do not justify full billed amount → reduced payment + new rental period.&lt;/span&gt;&lt;span class="chip chip-green"&gt;Hospital bed or CPAP rental restarted after break; payer approves lower rate and resets capped rental cycle.&lt;/span&gt;&lt;span class="chip chip-green"&gt;Wheelchair or nebulizer rental billed at full rate after interruption; payer reduces to supported level and begins new 13-month capped rental.&lt;/span&gt;&lt;/div&gt;&lt;/td&gt;&lt;td&gt;&lt;div class="chip-row"&gt;&lt;span class="chip chip-green"&gt;Break in therapy or continuous use documented, triggering new rental period.&lt;/span&gt;&lt;span class="chip chip-green"&gt;Medical records/physician notes do not support ongoing need at the full billed level or amount.&lt;/span&gt;&lt;span class="chip chip-green"&gt;Insufficient documentation of continued medical necessity during the gap.&lt;/span&gt;&lt;span class="chip chip-green"&gt;Provider billed full amount without adjusting for reduced support or new rental start.&lt;/span&gt;&lt;/div&gt;&lt;/td&gt;&lt;td class="td-res"&gt;• Review EOB/ERA, medical records, and rental history to confirm break and medical necessity level.&lt;br&gt;• Gather updated physician notes or documentation justifying higher need if possible.&lt;br&gt;• Resubmit corrected claim at the approved/reduced level with supporting records attached.&lt;br&gt;• Appeal with detailed medical evidence (progress notes, orders) showing continued necessity at billed amount.&lt;br&gt;• Accept adjustment and post write-off for difference if records confirm payer's decision.&lt;/td&gt;&lt;/tr&gt;</t>
  </si>
  <si>
    <t>&lt;tr data-carc="CO 96" data-type="co" data-rarc="M104 — Information supplied supports a break in therapy. A new capped rental period will begin with delivery of the equipment. This is the maximum approved under the fee schedule for this item or service." data-denial="The claim was adjusted because records show a break in therapy/use of the DME item, triggering a new capped rental period upon delivery. Payment is limited to the maximum allowed under the fee schedule for the item/service (common in Medicare DME capped rental rules for items like oxygen, hospital beds, wheelchairs)." data-root="• Documented break in continuous therapy or equipment use.\n• No documentation preventing new rental period reset.\n• Provider billed without accounting for rental cycle restart.\n• Payer policy automatically resets capped rental after therapy gap."&gt;&lt;td&gt;&lt;div class="row-num"&gt;#57&lt;/div&gt;&lt;span class="carc-badge co"&gt;CO 96&lt;/span&gt;&lt;/td&gt;&lt;td&gt;&lt;span class="denial-reason"&gt;Non Covered Charge&lt;/span&gt;&lt;/td&gt;&lt;td class="rarc-wrap"&gt;&lt;div class="rarc-id"&gt;M104&lt;/div&gt;&lt;div class="rarc-desc"&gt;Information supplied supports a break in therapy. A new capped rental period will begin with delivery of the equipment. This is the maximum approved under the fee schedule for this item or service.&lt;/div&gt;&lt;/td&gt;&lt;td class="td-meaning"&gt;The claim was adjusted because records show a break in therapy/use of the DME item, triggering a new capped rental period upon delivery. Payment is limited to the maximum allowed under the fee schedule for the item/service (common in Medicare DME capped rental rules for items like oxygen, hospital beds, wheelchairs).&lt;/td&gt;&lt;td&gt;&lt;div class="chip-row"&gt;&lt;span class="chip chip-green"&gt;Oxygen concentrator rental resumed after gap → new 13-month capped rental period started.&lt;/span&gt;&lt;span class="chip chip-green"&gt;Hospital bed or CPAP rental restarted after break → payment capped at fee schedule maximum.&lt;/span&gt;&lt;span class="chip chip-green"&gt;Wheelchair or nebulizer rental billed after interruption → new rental cycle began with delivery date.&lt;/span&gt;&lt;/div&gt;&lt;/td&gt;&lt;td&gt;&lt;div class="chip-row"&gt;&lt;span class="chip chip-green"&gt;Documented break in continuous therapy or equipment use.&lt;/span&gt;&lt;span class="chip chip-green"&gt;No documentation preventing new rental period reset.&lt;/span&gt;&lt;span class="chip chip-green"&gt;Provider billed without accounting for rental cycle restart.&lt;/span&gt;&lt;span class="chip chip-green"&gt;Payer policy automatically resets capped rental after therapy gap.&lt;/span&gt;&lt;/div&gt;&lt;/td&gt;&lt;td class="td-res"&gt;• Review EOB/ERA, rental history, and delivery date to confirm break and new period start.&lt;br&gt;• Verify fee schedule maximum for the item and accept capped adjustment.&lt;br&gt;• Resubmit corrected claim if rental period miscalculated or break not accurate.&lt;br&gt;• Appeal with proof of continuous use if records show no true break.&lt;br&gt;• Post write-off for any difference beyond the maximum approved amount.&lt;/td&gt;&lt;/tr&gt;</t>
  </si>
  <si>
    <t>&lt;tr data-carc="CO 96" data-type="co" data-rarc="M105 — Information supplied does not support a break in therapy. The medical information we have for this patient does not support the need for this item as billed." data-denial="The claim was reduced because records do not support a true break in therapy/use of the DME item, but the medical information also does not fully justify the need at the billed level/amount." data-root="• No documented break in therapy (payer sees continuity).\n• Medical records/physician notes insufficient to support ongoing need at the full billed level.\n• Documentation lacks specificity, updated certification, or evidence of continued medical necessity.\n• Provider billed full amount without adjusting for reduced medical support."&gt;&lt;td&gt;&lt;div class="row-num"&gt;#58&lt;/div&gt;&lt;span class="carc-badge co"&gt;CO 96&lt;/span&gt;&lt;/td&gt;&lt;td&gt;&lt;span class="denial-reason"&gt;Non Covered Charge&lt;/span&gt;&lt;/td&gt;&lt;td class="rarc-wrap"&gt;&lt;div class="rarc-id"&gt;M105&lt;/div&gt;&lt;div class="rarc-desc"&gt;Information supplied does not support a break in therapy. The medical information we have for this patient does not support the need for this item as billed.&lt;/div&gt;&lt;/td&gt;&lt;td class="td-meaning"&gt;The claim was reduced because records do not support a true break in therapy/use of the DME item, but the medical information also does not fully justify the need at the billed level/amount.&lt;/td&gt;&lt;td&gt;&lt;div class="chip-row"&gt;&lt;span class="chip chip-green"&gt;Oxygen concentrator rental continued after short gap; records show no real break but need not fully documented → payment reduced.&lt;/span&gt;&lt;span class="chip chip-green"&gt;CPAP or hospital bed rental billed at full rate; payer finds insufficient medical justification for full amount.&lt;/span&gt;&lt;span class="chip chip-green"&gt;Wheelchair rental ongoing; medical notes do not support billed level of need → adjusted to lower approved rate.&lt;/span&gt;&lt;/div&gt;&lt;/td&gt;&lt;td&gt;&lt;div class="chip-row"&gt;&lt;span class="chip chip-green"&gt;No documented break in therapy (payer sees continuity).&lt;/span&gt;&lt;span class="chip chip-green"&gt;Medical records/physician notes insufficient to support ongoing need at the full billed level.&lt;/span&gt;&lt;span class="chip chip-green"&gt;Documentation lacks specificity, updated certification, or evidence of continued medical necessity.&lt;/span&gt;&lt;span class="chip chip-green"&gt;Provider billed full amount without adjusting for reduced medical support.&lt;/span&gt;&lt;/div&gt;&lt;/td&gt;&lt;td class="td-res"&gt;• Gather updated physician notes or documentation justifying higher need if possible.&lt;br&gt;• Resubmit corrected claim at the approved/reduced level with supporting records attached.&lt;br&gt;• Appeal with detailed medical evidence (progress notes, orders) showing continued necessity at billed amount.&lt;br&gt;• Accept adjustment and post write-off for difference if records confirm payer's decision.&lt;/td&gt;&lt;/tr&gt;</t>
  </si>
  <si>
    <t>&lt;tr data-carc="CO 96" data-type="co" data-rarc="M107 — Payment reduced as 90-day rolling average hematocrit for ESRD patient exceeded 36.5%." data-denial="Payment for erythropoiesis-stimulating agents (ESAs such as EPO or darbepoetin) was reduced because the patient's 90-day rolling average hematocrit level exceeded 36.5% (Medicare policy threshold for ESRD patients on dialysis)." data-root="• Patient's hematocrit levels exceeded 36.5% on 90-day rolling average.\n• No medical justification or exception documented for higher target.\n• ESA dosing not adjusted based on hematocrit trends.\n• Labs not monitored or reported timely to prevent over-threshold average."&gt;&lt;td&gt;&lt;div class="row-num"&gt;#59&lt;/div&gt;&lt;span class="carc-badge co"&gt;CO 96&lt;/span&gt;&lt;/td&gt;&lt;td&gt;&lt;span class="denial-reason"&gt;Non Covered Charge&lt;/span&gt;&lt;/td&gt;&lt;td class="rarc-wrap"&gt;&lt;div class="rarc-id"&gt;M107&lt;/div&gt;&lt;div class="rarc-desc"&gt;Payment reduced as 90-day rolling average hematocrit for ESRD patient exceeded 36.5%.&lt;/div&gt;&lt;/td&gt;&lt;td class="td-meaning"&gt;Payment for erythropoiesis-stimulating agents (ESAs such as EPO or darbepoetin) was reduced because the patient's 90-day rolling average hematocrit level exceeded 36.5% (Medicare policy threshold for ESRD patients on dialysis).&lt;/td&gt;&lt;td&gt;&lt;div class="chip-row"&gt;&lt;span class="chip chip-green"&gt;ESRD patient on dialysis receiving EPO injections; 90-day average hematocrit &gt;36.5% → reduced payment for ESA.&lt;/span&gt;&lt;span class="chip chip-green"&gt;Darbepoetin claim for chronic kidney disease patient denied or adjusted due to elevated rolling hematocrit average.&lt;/span&gt;&lt;span class="chip chip-green"&gt;Monthly ESA billing reduced because recent labs show hematocrit consistently above 36.5% over 90 days.&lt;/span&gt;&lt;/div&gt;&lt;/td&gt;&lt;td&gt;&lt;div class="chip-row"&gt;&lt;span class="chip chip-green"&gt;Patient's hematocrit levels exceeded 36.5% on 90-day rolling average.&lt;/span&gt;&lt;span class="chip chip-green"&gt;No medical justification or exception documented for higher target.&lt;/span&gt;&lt;span class="chip chip-green"&gt;ESA dosing not adjusted based on hematocrit trends.&lt;/span&gt;&lt;span class="chip chip-green"&gt;Labs not monitored or reported timely to prevent over-threshold average.&lt;/span&gt;&lt;/div&gt;&lt;/td&gt;&lt;td class="td-res"&gt;• Review recent labs and 90-day hematocrit average to confirm threshold breach.&lt;br&gt;• Check if exception applies (e.g., documented medical reason for higher target).&lt;br&gt;• Resubmit with supporting documentation if reduction was misapplied.&lt;br&gt;• Appeal with lab trends, physician notes, and justification for continued ESA.&lt;br&gt;• Accept reduction and adjust future dosing to keep hematocrit ≤36.5%.&lt;/td&gt;&lt;/tr&gt;</t>
  </si>
  <si>
    <t>&lt;tr data-carc="CO 97" data-type="co" data-rarc="M109 — We have provided you with a bundled payment for a teleconsultation. You must send 25 percent of the teleconsultation payment to the referring practitioner." data-denial="The payer issued a bundled payment for the teleconsultation service, but 25% of that payment must be forwarded to the referring practitioner (consultant or specialist who referred the patient). This is an informational remark to remind the billing provider of the split-payment requirement under certain telehealth or consultation policies" data-root="• Teleconsultation billed under bundled payment rule without splitting payment to referring practitioner.\n• Provider unaware of 25% referral share requirement in the payer's teleconsultation policy.\n• No mechanism in billing system to track and forward 25% to referring provider.\n• Payment received but not redistributed as required."&gt;&lt;td&gt;&lt;div class="row-num"&gt;#60&lt;/div&gt;&lt;span class="carc-badge co"&gt;CO 97&lt;/span&gt;&lt;/td&gt;&lt;td&gt;&lt;span class="denial-reason"&gt;Bundling&lt;/span&gt;&lt;/td&gt;&lt;td class="rarc-wrap"&gt;&lt;div class="rarc-id"&gt;M109&lt;/div&gt;&lt;div class="rarc-desc"&gt;We have provided you with a bundled payment for a teleconsultation. You must send 25 percent of the teleconsultation payment to the referring practitioner.&lt;/div&gt;&lt;/td&gt;&lt;td class="td-meaning"&gt;The payer issued a bundled payment for the teleconsultation service, but 25% of that payment must be forwarded to the referring practitioner (consultant or specialist who referred the patient). This is an informational remark to remind the billing provider of the split-payment requirement under certain telehealth or consultation policies&lt;/td&gt;&lt;td&gt;&lt;div class="chip-row"&gt;&lt;span class="chip chip-green"&gt;Teleconsultation between primary provider and specialist; payer pays bundled amount to primary but requires 25% sent to referring specialist.&lt;/span&gt;&lt;span class="chip chip-green"&gt;Remote consultation billed by consulting physician; payer issues bundled payment and instructs 25% share to referring doctor.&lt;/span&gt;&lt;span class="chip chip-green"&gt;Telehealth referral case where primary provider bills the service; payer pays full bundled rate but mandates 25% pass-through to referrer.&lt;/span&gt;&lt;/div&gt;&lt;/td&gt;&lt;td&gt;&lt;div class="chip-row"&gt;&lt;span class="chip chip-green"&gt;Teleconsultation billed under bundled payment rule without splitting payment to referring practitioner.&lt;/span&gt;&lt;span class="chip chip-green"&gt;Provider unaware of 25% referral share requirement in the payer's teleconsultation policy.&lt;/span&gt;&lt;span class="chip chip-green"&gt;No mechanism in billing system to track and forward 25% to referring provider.&lt;/span&gt;&lt;span class="chip chip-green"&gt;Payment received but not redistributed as required.&lt;/span&gt;&lt;/div&gt;&lt;/td&gt;&lt;td class="td-res"&gt;• Confirm bundled payment amount and referring practitioner details from EOB/ERA.&lt;br&gt;• Calculate 25% of the teleconsultation payment and send to the referring practitioner promptly.&lt;br&gt;• Keep record of payment sent (check, EFT, or transfer receipt) for audit/compliance.&lt;br&gt;• Respond to payer inquiry if requested (proof of payment to referrer).&lt;br&gt;• Update billing notes to reflect split-payment compliance for future reference.&lt;/td&gt;&lt;/tr&gt;</t>
  </si>
  <si>
    <t>&lt;tr data-carc="CO 96" data-type="co" data-rarc="M11 — DME, orthotics and prosthetics must be billed to the DME carrier who services the patient's zip code." data-denial="The claim was denied because durable medical equipment (DME), orthotics, or prosthetics were billed to the wrong DME Medicare Administrative Contractor (MAC). Medicare requires billing to the MAC that covers the patient's geographic zip code (jurisdiction-based), not the provider's location or any other MAC." data-root="• Wrong DME MAC selected based on provider location instead of patient zip code.\n• Patient zip code not verified or updated in billing system.\n• No lookup of current DME MAC jurisdiction map before submission.\n• Billing staff unaware of Medicare DME jurisdiction rules."&gt;&lt;td&gt;&lt;div class="row-num"&gt;#61&lt;/div&gt;&lt;span class="carc-badge co"&gt;CO 96&lt;/span&gt;&lt;/td&gt;&lt;td&gt;&lt;span class="denial-reason"&gt;Non Covered Charge&lt;/span&gt;&lt;/td&gt;&lt;td class="rarc-wrap"&gt;&lt;div class="rarc-id"&gt;M11&lt;/div&gt;&lt;div class="rarc-desc"&gt;DME, orthotics and prosthetics must be billed to the DME carrier who services the patient's zip code.&lt;/div&gt;&lt;/td&gt;&lt;td class="td-meaning"&gt;The claim was denied because durable medical equipment (DME), orthotics, or prosthetics were billed to the wrong DME Medicare Administrative Contractor (MAC). Medicare requires billing to the MAC that covers the patient's geographic zip code (jurisdiction-based), not the provider's location or any other MAC.&lt;/td&gt;&lt;td&gt;&lt;div class="chip-row"&gt;&lt;span class="chip chip-green"&gt;Wheelchair billed to Jurisdiction B MAC when patient lives in Jurisdiction A zip code → denied.&lt;/span&gt;&lt;span class="chip chip-green"&gt;CPAP or orthotic brace submitted to wrong DME MAC based on patient residence.&lt;/span&gt;&lt;span class="chip chip-green"&gt;Prosthetic limb claim sent to provider's local MAC instead of patient's zip code MAC.&lt;/span&gt;&lt;span class="chip chip-green"&gt;Oxygen equipment billed to incorrect jurisdiction (e.g., Noridian instead of Palmetto for patient's area).&lt;/span&gt;&lt;/div&gt;&lt;/td&gt;&lt;td&gt;&lt;div class="chip-row"&gt;&lt;span class="chip chip-green"&gt;Wrong DME MAC selected based on provider location instead of patient zip code.&lt;/span&gt;&lt;span class="chip chip-green"&gt;Patient zip code not verified or updated in billing system.&lt;/span&gt;&lt;span class="chip chip-green"&gt;No lookup of current DME MAC jurisdiction map before submission.&lt;/span&gt;&lt;span class="chip chip-green"&gt;Billing staff unaware of Medicare DME jurisdiction rules.&lt;/span&gt;&lt;/div&gt;&lt;/td&gt;&lt;td class="td-res"&gt;• Verify patient's current zip code and look up correct DME MAC jurisdiction (use CMS DME MAC Jurisdiction Map).&lt;br&gt;• Resubmit claim to the correct MAC with updated billing information.&lt;br&gt;• Appeal with proof of correct jurisdiction (patient address, zip code) if misapplied.&lt;br&gt;• Contact wrong MAC to forward claim or obtain denial letter for re-submission.&lt;/td&gt;&lt;/tr&gt;</t>
  </si>
  <si>
    <t>&lt;tr data-carc="CO 96" data-type="co" data-rarc="M111 — We do not pay for chiropractic manipulative treatment when the patient refuses to have an x-ray taken." data-denial="Chiropractic manipulative treatment (spinal adjustment) is denied because the patient refused an X-ray, which is required by the payer (Medicare and many commercial plans) to document subluxation or medical necessity before treatment begins." data-root="• Patient refused X-ray when offered or required.\n• No X-ray ordered or documented before starting treatment.\n• Provider did not obtain signed refusal or alternative documentation.\n• Payer policy (e.g., Medicare chiropractic coverage) requires X-ray ignored."&gt;&lt;td&gt;&lt;div class="row-num"&gt;#62&lt;/div&gt;&lt;span class="carc-badge co"&gt;CO 96&lt;/span&gt;&lt;/td&gt;&lt;td&gt;&lt;span class="denial-reason"&gt;Non Covered Charge&lt;/span&gt;&lt;/td&gt;&lt;td class="rarc-wrap"&gt;&lt;div class="rarc-id"&gt;M111&lt;/div&gt;&lt;div class="rarc-desc"&gt;We do not pay for chiropractic manipulative treatment when the patient refuses to have an x-ray taken.&lt;/div&gt;&lt;/td&gt;&lt;td class="td-meaning"&gt;Chiropractic manipulative treatment (spinal adjustment) is denied because the patient refused an X-ray, which is required by the payer (Medicare and many commercial plans) to document subluxation or medical necessity before treatment begins.&lt;/td&gt;&lt;td&gt;&lt;div class="chip-row"&gt;&lt;span class="chip chip-green"&gt;Spinal manipulation (98940–98943) denied after patient refused spinal X-ray.&lt;/span&gt;&lt;span class="chip chip-green"&gt;Chiropractic adjustment for back pain denied due to no X-ray performed.&lt;/span&gt;&lt;span class="chip chip-green"&gt;Follow-up manipulation visit denied because initial X-ray was refused.&lt;/span&gt;&lt;/div&gt;&lt;/td&gt;&lt;td&gt;&lt;div class="chip-row"&gt;&lt;span class="chip chip-green"&gt;Patient refused X-ray when offered or required.&lt;/span&gt;&lt;span class="chip chip-green"&gt;No X-ray ordered or documented before starting treatment.&lt;/span&gt;&lt;span class="chip chip-green"&gt;Provider did not obtain signed refusal or alternative documentation.&lt;/span&gt;&lt;span class="chip chip-green"&gt;Payer policy (e.g., Medicare chiropractic coverage) requires X-ray ignored.&lt;/span&gt;&lt;/div&gt;&lt;/td&gt;&lt;td class="td-res"&gt;• Confirm if X-ray was offered and refused (check patient notes).&lt;br&gt;• Obtain signed patient refusal form if not already done.&lt;br&gt;• Resubmit with refusal documentation or X-ray report if performed later.&lt;br&gt;• Appeal with clinical notes showing medical necessity despite refusal.&lt;br&gt;• If no X-ray possible → accept denial and bill patient (after ABN if Medicare).&lt;/td&gt;&lt;/tr&gt;</t>
  </si>
  <si>
    <t>&lt;tr data-carc="CO 96" data-type="co" data-rarc="M115 — This item is denied when provided to this patient by a non-contract or non-demonstration supplier." data-denial="The claim was denied because the DME item was supplied by a provider/supplier that is not a contract winner or participant in the DMEPOS Competitive Bidding Program (CBP) or a related Demonstration Project in the patient's Competitive Bidding Area (CBA)." data-root="• Supplier not a winning bidder or demonstration participant in patient's CBA.\n• Item falls under CBP or demonstration rules for patient's zip code.\n• Provider billed without checking contract/demonstration status.\n• Patient resides in CBA but supplier is outside program."&gt;&lt;td&gt;&lt;div class="row-num"&gt;#63&lt;/div&gt;&lt;span class="carc-badge co"&gt;CO 96&lt;/span&gt;&lt;/td&gt;&lt;td&gt;&lt;span class="denial-reason"&gt;Non Covered Charge&lt;/span&gt;&lt;/td&gt;&lt;td class="rarc-wrap"&gt;&lt;div class="rarc-id"&gt;M115&lt;/div&gt;&lt;div class="rarc-desc"&gt;This item is denied when provided to this patient by a non-contract or non-demonstration supplier.&lt;/div&gt;&lt;/td&gt;&lt;td class="td-meaning"&gt;The claim was denied because the DME item was supplied by a provider/supplier that is not a contract winner or participant in the DMEPOS Competitive Bidding Program (CBP) or a related Demonstration Project in the patient's Competitive Bidding Area (CBA).&lt;/td&gt;&lt;td&gt;&lt;div class="chip-row"&gt;&lt;span class="chip chip-green"&gt;CPAP supplied by non-winning bidder in patient's CBA → denied.&lt;/span&gt;&lt;span class="chip chip-green"&gt;Power wheelchair or oxygen equipment from non-contract supplier in competitive bidding area.&lt;/span&gt;&lt;span class="chip chip-green"&gt;Orthotic brace or hospital bed provided by supplier not part of CBP or demonstration project.&lt;/span&gt;&lt;/div&gt;&lt;/td&gt;&lt;td&gt;&lt;div class="chip-row"&gt;&lt;span class="chip chip-green"&gt;Supplier not a winning bidder or demonstration participant in patient's CBA.&lt;/span&gt;&lt;span class="chip chip-green"&gt;Item falls under CBP or demonstration rules for patient's zip code.&lt;/span&gt;&lt;span class="chip chip-green"&gt;Provider billed without checking contract/demonstration status.&lt;/span&gt;&lt;span class="chip chip-green"&gt;Patient resides in CBA but supplier is outside program.&lt;/span&gt;&lt;/div&gt;&lt;/td&gt;&lt;td class="td-res"&gt;• Verify patient's zip code is in a CBA and check supplier's CBP/demonstration status (CMS map or DME MAC).&lt;br&gt;• If supplier is non-contract → refer patient to a contract winner or accept denial.&lt;br&gt;• If error (supplier is contract winner) → resubmit with proof of contract status.&lt;br&gt;• Appeal with documentation showing supplier participation if misapplied.&lt;br&gt;• Post write-off or bill patient (after ABN if Medicare).&lt;/td&gt;&lt;/tr&gt;</t>
  </si>
  <si>
    <t>&lt;tr data-carc="CO 96" data-type="co" data-rarc="M117 — Not covered unless submitted via electronic claim." data-denial="The claim was denied because it was submitted on paper (CMS-1500 or UB-04) instead of electronically (837 format). Certain payers (Medicare, Medicaid, some commercial) require electronic submission for specific services, providers, or claim types; paper claims are non-covered or rejected." data-root="• Claim submitted on paper instead of electronically.\n• Provider not set up for electronic submission (no clearinghouse or direct EDI).\n• Payer policy mandates electronic billing for the service/provider type.\n• Oversight: Paper used for convenience or error."&gt;&lt;td&gt;&lt;div class="row-num"&gt;#64&lt;/div&gt;&lt;span class="carc-badge co"&gt;CO 96&lt;/span&gt;&lt;/td&gt;&lt;td&gt;&lt;span class="denial-reason"&gt;Non Covered Charge&lt;/span&gt;&lt;/td&gt;&lt;td class="rarc-wrap"&gt;&lt;div class="rarc-id"&gt;M117&lt;/div&gt;&lt;div class="rarc-desc"&gt;Not covered unless submitted via electronic claim.&lt;/div&gt;&lt;/td&gt;&lt;td class="td-meaning"&gt;The claim was denied because it was submitted on paper (CMS-1500 or UB-04) instead of electronically (837 format). Certain payers (Medicare, Medicaid, some commercial) require electronic submission for specific services, providers, or claim types; paper claims are non-covered or rejected.&lt;/td&gt;&lt;td&gt;&lt;div class="chip-row"&gt;&lt;span class="chip chip-green"&gt;Paper CMS-1500 or UB-04 claim denied for service requiring electronic billing (high-volume provider).&lt;/span&gt;&lt;span class="chip chip-green"&gt;Medicare DME or therapy claim rejected when submitted on paper instead of 837P/837I.&lt;/span&gt;&lt;span class="chip chip-green"&gt;Medicaid or commercial plan denies paper claim for professional or institutional services.&lt;/span&gt;&lt;/div&gt;&lt;/td&gt;&lt;td&gt;&lt;div class="chip-row"&gt;&lt;span class="chip chip-green"&gt;Claim submitted on paper instead of electronically.&lt;/span&gt;&lt;span class="chip chip-green"&gt;Provider not set up for electronic submission (no clearinghouse or direct EDI).&lt;/span&gt;&lt;span class="chip chip-green"&gt;Payer policy mandates electronic billing for the service/provider type.&lt;/span&gt;&lt;span class="chip chip-green"&gt;Oversight: Paper used for convenience or error.&lt;/span&gt;&lt;/div&gt;&lt;/td&gt;&lt;td class="td-res"&gt;• Confirm payer requires electronic submission for the service/provider.&lt;br&gt;• Convert and resubmit claim electronically via clearinghouse or direct EDI (837P/837I).&lt;br&gt;• If paper was allowed in rare exception → appeal with justification.&lt;br&gt;• Accept denial and write off if electronic resubmission not possible.&lt;br&gt;• Reprocess electronically to receive payment.&lt;/td&gt;&lt;/tr&gt;</t>
  </si>
  <si>
    <t>&lt;tr data-carc="CO 16" data-type="co" data-rarc="M119 — Missing/incomplete/invalid/ deactivated/withdrawn National Drug Code (NDC)." data-denial="Drug claim denied because the National Drug Code (NDC) is missing, incomplete, invalid, uses a deactivated/withdrawn number, or is in wrong format (usually must be 11 digits without hyphens)." data-root="• NDC field left blank or omitted.\n• Wrong format (hyphens kept, 10 digits, typo).\n• NDC deactivated or withdrawn by manufacturer.\n• Billing software/manual entry error (wrong drug selected)."&gt;&lt;td&gt;&lt;div class="row-num"&gt;#65&lt;/div&gt;&lt;span class="carc-badge co"&gt;CO 16&lt;/span&gt;&lt;/td&gt;&lt;td&gt;&lt;span class="denial-reason"&gt;Invalid National Drug Code (NDC)&lt;/span&gt;&lt;/td&gt;&lt;td class="rarc-wrap"&gt;&lt;div class="rarc-id"&gt;M119&lt;/div&gt;&lt;div class="rarc-desc"&gt;Missing/incomplete/invalid/ deactivated/withdrawn National Drug Code (NDC).&lt;/div&gt;&lt;/td&gt;&lt;td class="td-meaning"&gt;Drug claim denied because the National Drug Code (NDC) is missing, incomplete, invalid, uses a deactivated/withdrawn number, or is in wrong format (usually must be 11 digits without hyphens).&lt;/td&gt;&lt;td&gt;&lt;div class="chip-row"&gt;&lt;span class="chip chip-green"&gt;Chemotherapy J-code billed without NDC or with wrong 11-digit format.&lt;/span&gt;&lt;span class="chip chip-green"&gt;Injectable/vaccine claim rejected – NDC is 10 digits instead of 11.&lt;/span&gt;&lt;span class="chip chip-green"&gt;Specialty drug or insulin denied because NDC is deactivated or withdrawn.&lt;/span&gt;&lt;/div&gt;&lt;/td&gt;&lt;td&gt;&lt;div class="chip-row"&gt;&lt;span class="chip chip-green"&gt;NDC field left blank or omitted.&lt;/span&gt;&lt;span class="chip chip-green"&gt;Wrong format (hyphens kept, 10 digits, typo).&lt;/span&gt;&lt;span class="chip chip-green"&gt;NDC deactivated or withdrawn by manufacturer.&lt;/span&gt;&lt;span class="chip chip-green"&gt;Billing software/manual entry error (wrong drug selected).&lt;/span&gt;&lt;/div&gt;&lt;/td&gt;&lt;td class="td-res"&gt;• Obtain correct 11-digit NDC from package label, invoice, or FDA database.&lt;br&gt;• Correct NDC in claim (CMS-1500 Box 24A or Loop 2410 LIN02 on 837P).&lt;br&gt;• Resubmit corrected claim (frequency 7).&lt;br&gt;• If deactivated/withdrawn → switch to current equivalent drug or appeal with justification.&lt;/td&gt;&lt;/tr&gt;</t>
  </si>
  <si>
    <t>&lt;tr data-carc="CO 16" data-type="co" data-rarc="M12 — Diagnostic tests performed by a physician must indicate whether purchased services are included on the claim." data-denial="Physician must indicate on the claim if any part of the diagnostic test (technical component) was purchased/outsourced." data-root="• Box 20 (CMS-1500) left blank or “No” when services were purchased.\n• No equivalent indicator on UB-04 (FL 39–41 or remarks).\n• Billing software did not prompt for purchased service disclosure."&gt;&lt;td&gt;&lt;div class="row-num"&gt;#66&lt;/div&gt;&lt;span class="carc-badge co"&gt;CO 16&lt;/span&gt;&lt;/td&gt;&lt;td&gt;&lt;span class="denial-reason"&gt;Bundling&lt;/span&gt;&lt;/td&gt;&lt;td class="rarc-wrap"&gt;&lt;div class="rarc-id"&gt;M12&lt;/div&gt;&lt;div class="rarc-desc"&gt;Diagnostic tests performed by a physician must indicate whether purchased services are included on the claim.&lt;/div&gt;&lt;/td&gt;&lt;td class="td-meaning"&gt;Physician must indicate on the claim if any part of the diagnostic test (technical component) was purchased/outsourced.&lt;/td&gt;&lt;td&gt;&lt;div class="chip-row"&gt;&lt;span class="chip chip-green"&gt;ECG or X-ray global billing without marking purchased services.&lt;/span&gt;&lt;span class="chip chip-green"&gt;Lab/radiology outsourced; claim lacks indicator.&lt;/span&gt;&lt;span class="chip chip-green"&gt;Interpretation-only billing without disclosing purchased component.&lt;/span&gt;&lt;/div&gt;&lt;/td&gt;&lt;td&gt;&lt;div class="chip-row"&gt;&lt;span class="chip chip-green"&gt;Box 20 (CMS-1500) left blank or “No” when services were purchased.&lt;/span&gt;&lt;span class="chip chip-green"&gt;No equivalent indicator on UB-04 (FL 39–41 or remarks).&lt;/span&gt;&lt;span class="chip chip-green"&gt;Billing software did not prompt for purchased service disclosure.&lt;/span&gt;&lt;/div&gt;&lt;/td&gt;&lt;td class="td-res"&gt;• Check Box 20 on CMS-1500 (or UB-04 equivalent) for purchased services indicator.&lt;br&gt;• Correct claim: Mark “Yes” in Box 20 (CMS-1500) and enter purchased amount if required.&lt;br&gt;• Resubmit corrected claim (frequency 7).&lt;br&gt;• Appeal with documentation showing purchased vs. performed components.&lt;/td&gt;&lt;/tr&gt;</t>
  </si>
  <si>
    <t>&lt;tr data-carc="CO 96" data-type="co" data-rarc="M121 — We pay for this service only when performed with a covered cryosurgical ablation." data-denial="The claim was denied because the billed service is covered only when performed in conjunction with a covered cryosurgical ablation procedure. Without the cryosurgery on the claim (or proper linkage), the service is non-covered." data-root="• Cryosurgical ablation not performed or not billed on the same claim.\n• Service billed separately without linkage to cryoablation (e.g., no modifier or same DOS).\n• Provider unaware of payer policy requiring cryosurgery as prerequisite.\n• Documentation lacks evidence of cryoablation or its medical necessity for the service."&gt;&lt;td&gt;&lt;div class="row-num"&gt;#67&lt;/div&gt;&lt;span class="carc-badge co"&gt;CO 96&lt;/span&gt;&lt;/td&gt;&lt;td&gt;&lt;span class="denial-reason"&gt;Non Covered Charge&lt;/span&gt;&lt;/td&gt;&lt;td class="rarc-wrap"&gt;&lt;div class="rarc-id"&gt;M121&lt;/div&gt;&lt;div class="rarc-desc"&gt;We pay for this service only when performed with a covered cryosurgical ablation.&lt;/div&gt;&lt;/td&gt;&lt;td class="td-meaning"&gt;The claim was denied because the billed service is covered only when performed in conjunction with a covered cryosurgical ablation procedure. Without the cryosurgery on the claim (or proper linkage), the service is non-covered.&lt;/td&gt;&lt;td&gt;&lt;div class="chip-row"&gt;&lt;span class="chip chip-green"&gt;Prostate brachytherapy or radiation service denied – no cryosurgical ablation on same claim.&lt;/span&gt;&lt;span class="chip chip-green"&gt;Ancillary procedure (e.g., biopsy, imaging guidance) billed separately without matching cryosurgery code.&lt;/span&gt;&lt;span class="chip chip-green"&gt;Follow-up treatment after cryoablation denied because ablation not documented or billed together.&lt;/span&gt;&lt;/div&gt;&lt;/td&gt;&lt;td&gt;&lt;div class="chip-row"&gt;&lt;span class="chip chip-green"&gt;Cryosurgical ablation not performed or not billed on the same claim.&lt;/span&gt;&lt;span class="chip chip-green"&gt;Service billed separately without linkage to cryoablation (e.g., no modifier or same DOS).&lt;/span&gt;&lt;span class="chip chip-green"&gt;Provider unaware of payer policy requiring cryosurgery as prerequisite.&lt;/span&gt;&lt;span class="chip chip-green"&gt;Documentation lacks evidence of cryoablation or its medical necessity for the service.&lt;/span&gt;&lt;/div&gt;&lt;/td&gt;&lt;td class="td-res"&gt;• Verify if cryosurgical ablation was performed (check procedure notes, operative report).&lt;br&gt;• If performed → resubmit claim with cryoablation code (e.g., 53899 or appropriate CPT) on same DOS or linked.&lt;br&gt;• If not performed → accept denial or appeal with clinical justification if policy allows standalone coverage.&lt;br&gt;• Attach supporting documentation (op report, cryoablation details) on resubmission or appeal.&lt;br&gt;• Post write-off or bill patient (after ABN if Medicare) if truly non-covered.&lt;/td&gt;&lt;/tr&gt;</t>
  </si>
  <si>
    <t>&lt;tr data-carc="CO 16" data-type="co" data-rarc="M122 — Missing/incomplete/invalid level of subluxation." data-denial="Chiropractic claim denied or adjusted because the level of subluxation (specific spinal segment(s) treated) is missing, incomplete (e.g., vague description), invalid (e.g., wrong format or non-existent code), or not documented properly to support medical necessity.\nREAL SCENARIOS" data-root="• Subluxation level not documented or entered on claim (required in Box 21 diagnosis or remarks).\n• Vague or non-specific description used (e.g., “low back” instead of L4-L5).\n• Invalid or incorrect spinal segment code/format.\n• Provider notes lack clear subluxation diagnosis linking to treatment."&gt;&lt;td&gt;&lt;div class="row-num"&gt;#68&lt;/div&gt;&lt;span class="carc-badge co"&gt;CO 16&lt;/span&gt;&lt;/td&gt;&lt;td&gt;&lt;span class="denial-reason"&gt;Non Covered Charge&lt;/span&gt;&lt;/td&gt;&lt;td class="rarc-wrap"&gt;&lt;div class="rarc-id"&gt;M122&lt;/div&gt;&lt;div class="rarc-desc"&gt;Missing/incomplete/invalid level of subluxation.&lt;/div&gt;&lt;/td&gt;&lt;td class="td-meaning"&gt;Chiropractic claim denied or adjusted because the level of subluxation (specific spinal segment(s) treated) is missing, incomplete (e.g., vague description), invalid (e.g., wrong format or non-existent code), or not documented properly to support medical necessity.&lt;br&gt;REAL SCENARIOS&lt;/td&gt;&lt;td&gt;&lt;div class="chip-row"&gt;&lt;span class="chip chip-green"&gt;Spinal manipulation (98940–98943) billed without specifying subluxation level (e.g., C5, L4-5).&lt;/span&gt;&lt;span class="chip chip-green"&gt;Chiropractic claim denied – subluxation listed as “lumbar” instead of specific segment(s).&lt;/span&gt;&lt;span class="chip chip-green"&gt;Multiple-region adjustment billed without documenting exact levels for each region.&lt;/span&gt;&lt;/div&gt;&lt;/td&gt;&lt;td&gt;&lt;div class="chip-row"&gt;&lt;span class="chip chip-green"&gt;Subluxation level not documented or entered on claim (required in Box 21 diagnosis or remarks).&lt;/span&gt;&lt;span class="chip chip-green"&gt;Vague or non-specific description used (e.g., “low back” instead of L4-L5).&lt;/span&gt;&lt;span class="chip chip-green"&gt;Invalid or incorrect spinal segment code/format.&lt;/span&gt;&lt;span class="chip chip-green"&gt;Provider notes lack clear subluxation diagnosis linking to treatment.&lt;/span&gt;&lt;/div&gt;&lt;/td&gt;&lt;td class="td-res"&gt;• Review patient chart for specific subluxation level(s) documented by chiropractor.&lt;br&gt;• Correct claim: Add precise level(s) in diagnosis field (Box 21 CMS-1500) or remarks.&lt;br&gt;• Resubmit corrected claim (frequency 7).&lt;br&gt;• Appeal with treatment notes showing exact subluxation level and medical necessity.&lt;br&gt;• If documentation missing → obtain updated notes from provider and resubmit.&lt;/td&gt;&lt;/tr&gt;</t>
  </si>
  <si>
    <t>&lt;tr data-carc="CO 16" data-type="co" data-rarc="M123 — Missing/incomplete/invalid name, strength, or dosage of the drug furnished." data-denial="The claim was denied or adjusted because the drug furnished is missing key details: drug name, strength (e.g., mg/mL), or dosage (e.g., units administered). Payers require these in NDC claims or J-code lines to verify identity, quantity, and coverage." data-root="• Drug name, strength, or dosage not entered on claim.\n• Incomplete/invalid format (e.g., dosage in wrong units, missing mg).\n• Billing software or manual entry error (typo or omitted fields).\n• NDC line missing corresponding drug details."&gt;&lt;td&gt;&lt;div class="row-num"&gt;#69&lt;/div&gt;&lt;span class="carc-badge co"&gt;CO 16&lt;/span&gt;&lt;/td&gt;&lt;td&gt;&lt;span class="denial-reason"&gt;Non Covered Charge&lt;/span&gt;&lt;/td&gt;&lt;td class="rarc-wrap"&gt;&lt;div class="rarc-id"&gt;M123&lt;/div&gt;&lt;div class="rarc-desc"&gt;Missing/incomplete/invalid name, strength, or dosage of the drug furnished.&lt;/div&gt;&lt;/td&gt;&lt;td class="td-meaning"&gt;The claim was denied or adjusted because the drug furnished is missing key details: drug name, strength (e.g., mg/mL), or dosage (e.g., units administered). Payers require these in NDC claims or J-code lines to verify identity, quantity, and coverage.&lt;/td&gt;&lt;td&gt;&lt;div class="chip-row"&gt;&lt;span class="chip chip-green"&gt;Chemotherapy J-code billed without drug name, strength (e.g., 100 mg), or exact dosage units.&lt;/span&gt;&lt;span class="chip chip-green"&gt;Injectable (e.g., vaccine, biologic) claim rejected – missing strength or administered dose.&lt;/span&gt;&lt;span class="chip chip-green"&gt;Specialty drug infusion denied because dosage field blank or invalid.&lt;/span&gt;&lt;/div&gt;&lt;/td&gt;&lt;td&gt;&lt;div class="chip-row"&gt;&lt;span class="chip chip-green"&gt;Drug name, strength, or dosage not entered on claim.&lt;/span&gt;&lt;span class="chip chip-green"&gt;Incomplete/invalid format (e.g., dosage in wrong units, missing mg).&lt;/span&gt;&lt;span class="chip chip-green"&gt;Billing software or manual entry error (typo or omitted fields).&lt;/span&gt;&lt;span class="chip chip-green"&gt;NDC line missing corresponding drug details.&lt;/span&gt;&lt;/div&gt;&lt;/td&gt;&lt;td class="td-res"&gt;• Review claim and obtain exact drug name, strength, and administered dosage from pharmacy record or administration log.&lt;br&gt;• Correct claim: Add details in NDC line (Loop 2410 on 837P) or remarks (Box 19 CMS-1500).&lt;br&gt;• Resubmit corrected claim (frequency 7).&lt;br&gt;• Appeal with administration record/pharmacy label showing correct name/strength/dosage.&lt;/td&gt;&lt;/tr&gt;</t>
  </si>
  <si>
    <t>&lt;tr data-carc="CO 16" data-type="co" data-rarc="M124 — Missing indication of whether the patient owns the equipment that requires the part or supply." data-denial="The claim was denied or adjusted because the claim does not indicate whether the patient owns the base equipment (e.g., wheelchair, ventilator, CPAP) for which the part, accessory, or supply (e.g., battery, tubing, cushion) is being billed." data-root="• Ownership indicator (e.g., “patient owns equipment” checkbox or remark) left blank or missing.\n• Claim does not specify if part/supply is for patient-owned or supplier-owned equipment.\n• Billing software or manual entry omitted ownership field.\n• Provider unaware of payer requirement for ownership disclosure on replacement/repair claims."&gt;&lt;td&gt;&lt;div class="row-num"&gt;#70&lt;/div&gt;&lt;span class="carc-badge co"&gt;CO 16&lt;/span&gt;&lt;/td&gt;&lt;td&gt;&lt;span class="denial-reason"&gt;Non Covered Charge&lt;/span&gt;&lt;/td&gt;&lt;td class="rarc-wrap"&gt;&lt;div class="rarc-id"&gt;M124&lt;/div&gt;&lt;div class="rarc-desc"&gt;Missing indication of whether the patient owns the equipment that requires the part or supply.&lt;/div&gt;&lt;/td&gt;&lt;td class="td-meaning"&gt;The claim was denied or adjusted because the claim does not indicate whether the patient owns the base equipment (e.g., wheelchair, ventilator, CPAP) for which the part, accessory, or supply (e.g., battery, tubing, cushion) is being billed.&lt;/td&gt;&lt;td&gt;&lt;div class="chip-row"&gt;&lt;span class="chip chip-green"&gt;Wheelchair battery or cushion billed without indicating patient owns the chair → denied.&lt;/span&gt;&lt;span class="chip chip-green"&gt;CPAP mask or tubing replacement denied – no ownership indicator for base CPAP machine.&lt;/span&gt;&lt;span class="chip chip-green"&gt;Ventilator filter or tracheostomy supply claim rejected because patient ownership of ventilator not specified.&lt;/span&gt;&lt;/div&gt;&lt;/td&gt;&lt;td&gt;&lt;div class="chip-row"&gt;&lt;span class="chip chip-green"&gt;Ownership indicator (e.g., “patient owns equipment” checkbox or remark) left blank or missing.&lt;/span&gt;&lt;span class="chip chip-green"&gt;Claim does not specify if part/supply is for patient-owned or supplier-owned equipment.&lt;/span&gt;&lt;span class="chip chip-green"&gt;Billing software or manual entry omitted ownership field.&lt;/span&gt;&lt;span class="chip chip-green"&gt;Provider unaware of payer requirement for ownership disclosure on replacement/repair claims.&lt;/span&gt;&lt;/div&gt;&lt;/td&gt;&lt;td class="td-res"&gt;• Review claim and obtain documentation showing patient owns the base equipment (e.g., delivery receipt, prior claim).&lt;br&gt;• Correct claim: Add ownership indicator (CMS-1500 Box 19 or remarks; UB-04 FL 63 or remarks).&lt;br&gt;• Resubmit corrected claim (frequency 7).&lt;br&gt;• Appeal with proof of patient ownership (delivery ticket, prior approval, or patient statement).&lt;br&gt;• If supplier owns equipment → resubmit under rental/repair rules if applicable.&lt;/td&gt;&lt;/tr&gt;</t>
  </si>
  <si>
    <t>&lt;tr data-carc="CO 16" data-type="co" data-rarc="M125 — Missing/incomplete/invalid information on the period of time for which the service/supply/equipment will be needed." data-denial="The claim was denied or adjusted because the required information on the period of time (start date, end date, duration, or estimated length of need) for the service, supply, or equipment is missing," data-root="• Period of need field blank or omitted (e.g., no dates in remarks or attachment).\n• Incomplete/invalid format (e.g., vague “ongoing” instead of specific dates).\n• Physician certification lacks clear duration of medical necessity.\n• Billing software or manual entry failed to include required period information."&gt;&lt;td&gt;&lt;div class="row-num"&gt;#71&lt;/div&gt;&lt;span class="carc-badge co"&gt;CO 16&lt;/span&gt;&lt;/td&gt;&lt;td&gt;&lt;span class="denial-reason"&gt;Non Covered Charge&lt;/span&gt;&lt;/td&gt;&lt;td class="rarc-wrap"&gt;&lt;div class="rarc-id"&gt;M125&lt;/div&gt;&lt;div class="rarc-desc"&gt;Missing/incomplete/invalid information on the period of time for which the service/supply/equipment will be needed.&lt;/div&gt;&lt;/td&gt;&lt;td class="td-meaning"&gt;The claim was denied or adjusted because the required information on the period of time (start date, end date, duration, or estimated length of need) for the service, supply, or equipment is missing,&lt;/td&gt;&lt;td&gt;&lt;div class="chip-row"&gt;&lt;span class="chip chip-green"&gt;DME item (wheelchair, CPAP) billed without estimated length of need or end date.&lt;/span&gt;&lt;span class="chip chip-green"&gt;Home health or therapy plan denied – no start/end dates or duration specified.&lt;/span&gt;&lt;span class="chip chip-green"&gt;Oxygen or hospital bed claim rejected – missing “lifetime” or specific months/years of need.&lt;/span&gt;&lt;/div&gt;&lt;/td&gt;&lt;td&gt;&lt;div class="chip-row"&gt;&lt;span class="chip chip-green"&gt;Period of need field blank or omitted (e.g., no dates in remarks or attachment).&lt;/span&gt;&lt;span class="chip chip-green"&gt;Incomplete/invalid format (e.g., vague “ongoing” instead of specific dates).&lt;/span&gt;&lt;span class="chip chip-green"&gt;Physician certification lacks clear duration of medical necessity.&lt;/span&gt;&lt;span class="chip chip-green"&gt;Billing software or manual entry failed to include required period information.&lt;/span&gt;&lt;/div&gt;&lt;/td&gt;&lt;td class="td-res"&gt;• Review physician certification or treatment plan for documented period of need (start/end dates or duration).&lt;br&gt;• Correct claim: Add period of need in remarks (CMS-1500 Box 19) or attachment (837P Loop 2400 NTE).&lt;br&gt;• Resubmit corrected claim (frequency 7).&lt;br&gt;• Appeal with updated certification or notes showing medical necessity duration.&lt;br&gt;• If no documentation → obtain new physician certification and resubmit.&lt;/td&gt;&lt;/tr&gt;</t>
  </si>
  <si>
    <t>&lt;tr data-carc="CO 16" data-type="co" data-rarc="M126 — Missing/incomplete/invalid individual lab codes included in the test." data-denial="The claim was denied or adjusted because the panel/multicomponent lab test (e.g., CMP, CBC, lipid panel) does not include or properly list the individual component lab codes (CPT/HCPCS) that make up the test." data-root="• Panel code billed without required individual component codes in remarks or attachment.\n• Incomplete/invalid list of included tests (missing some CPTs or wrong codes).\n• Billing software or manual entry omitted component breakdown.\n• Provider unaware of payer requirement to itemize lab panel components."&gt;&lt;td&gt;&lt;div class="row-num"&gt;#72&lt;/div&gt;&lt;span class="carc-badge co"&gt;CO 16&lt;/span&gt;&lt;/td&gt;&lt;td&gt;&lt;span class="denial-reason"&gt;Non Covered Charge&lt;/span&gt;&lt;/td&gt;&lt;td class="rarc-wrap"&gt;&lt;div class="rarc-id"&gt;M126&lt;/div&gt;&lt;div class="rarc-desc"&gt;Missing/incomplete/invalid individual lab codes included in the test.&lt;/div&gt;&lt;/td&gt;&lt;td class="td-meaning"&gt;The claim was denied or adjusted because the panel/multicomponent lab test (e.g., CMP, CBC, lipid panel) does not include or properly list the individual component lab codes (CPT/HCPCS) that make up the test.&lt;/td&gt;&lt;td&gt;&lt;div class="chip-row"&gt;&lt;span class="chip chip-green"&gt;Comprehensive metabolic panel (80053) billed without listing individual codes (e.g., 82374, 82435, 82947).&lt;/span&gt;&lt;span class="chip chip-green"&gt;CBC with differential (85025) denied – no breakdown of component codes submitted.&lt;/span&gt;&lt;span class="chip chip-green"&gt;Lipid panel (80061) claim rejected because individual cholesterol/triglyceride codes missing.&lt;/span&gt;&lt;/div&gt;&lt;/td&gt;&lt;td&gt;&lt;div class="chip-row"&gt;&lt;span class="chip chip-green"&gt;Panel code billed without required individual component codes in remarks or attachment.&lt;/span&gt;&lt;span class="chip chip-green"&gt;Incomplete/invalid list of included tests (missing some CPTs or wrong codes).&lt;/span&gt;&lt;span class="chip chip-green"&gt;Billing software or manual entry omitted component breakdown.&lt;/span&gt;&lt;span class="chip chip-green"&gt;Provider unaware of payer requirement to itemize lab panel components.&lt;/span&gt;&lt;/div&gt;&lt;/td&gt;&lt;td class="td-res"&gt;• Review claim and lab requisition/report to identify all individual component codes in the panel.&lt;br&gt;• Correct claim: Add individual CPT/HCPCS codes in remarks (Box 19 CMS-1500) or attachment (837P Loop 2400 NTE).&lt;br&gt;• Resubmit corrected claim (frequency 7).&lt;br&gt;• Appeal with lab report or requisition showing all components included in the panel.&lt;br&gt;• If panel code correct but payer misapplied → resubmit with clarification.&lt;/td&gt;&lt;/tr&gt;</t>
  </si>
  <si>
    <t>&lt;tr data-carc="CO 16" data-type="co" data-rarc="M129 — Missing/incomplete/invalid indicator of x-ray availability for review." data-denial="The claim was denied or adjusted because the required indicator showing that X-ray films/images are available for review (by the payer or consultant) is missing, incomplete, or invalid. This is typically required for chiropractic, orthopedic, or certain diagnostic/manipulative services where payer policy demands proof of X-ray availability (e.g., Medicare chiropractic claims)." data-root="• X-ray availability indicator (CMS-1500 Box 19 or remarks, or 837P NTE segment) left blank or omitted.\n• Invalid response (e.g., wrong code/wording instead of “X-rays available” or “on file”).\n• Billing software/manual entry failed to include required indicator.\n• Provider unaware of payer requirement for X-ray availability statement."&gt;&lt;td&gt;&lt;div class="row-num"&gt;#73&lt;/div&gt;&lt;span class="carc-badge co"&gt;CO 16&lt;/span&gt;&lt;/td&gt;&lt;td&gt;&lt;span class="denial-reason"&gt;Missing Patient Medical Record&lt;/span&gt;&lt;/td&gt;&lt;td class="rarc-wrap"&gt;&lt;div class="rarc-id"&gt;M129&lt;/div&gt;&lt;div class="rarc-desc"&gt;Missing/incomplete/invalid indicator of x-ray availability for review.&lt;/div&gt;&lt;/td&gt;&lt;td class="td-meaning"&gt;The claim was denied or adjusted because the required indicator showing that X-ray films/images are available for review (by the payer or consultant) is missing, incomplete, or invalid. This is typically required for chiropractic, orthopedic, or certain diagnostic/manipulative services where payer policy demands proof of X-ray availability (e.g., Medicare chiropractic claims).&lt;/td&gt;&lt;td&gt;&lt;div class="chip-row"&gt;&lt;span class="chip chip-green"&gt;Chiropractic manipulation (98940–98943) denied – no indicator that X-rays are available for review.&lt;/span&gt;&lt;span class="chip chip-green"&gt;Spinal adjustment claim rejected because X-ray availability box unchecked or invalid response.&lt;/span&gt;&lt;span class="chip chip-green"&gt;Orthopedic or pain management service requiring X-ray review denied – missing availability statement.&lt;/span&gt;&lt;/div&gt;&lt;/td&gt;&lt;td&gt;&lt;div class="chip-row"&gt;&lt;span class="chip chip-green"&gt;X-ray availability indicator (CMS-1500 Box 19 or remarks, or 837P NTE segment) left blank or omitted.&lt;/span&gt;&lt;span class="chip chip-green"&gt;Invalid response (e.g., wrong code/wording instead of “X-rays available” or “on file”).&lt;/span&gt;&lt;span class="chip chip-green"&gt;Billing software/manual entry failed to include required indicator.&lt;/span&gt;&lt;span class="chip chip-green"&gt;Provider unaware of payer requirement for X-ray availability statement.&lt;/span&gt;&lt;/div&gt;&lt;/td&gt;&lt;td class="td-res"&gt;• Review claim (Box 19 CMS-1500 or remarks) for X-ray availability indicator.&lt;br&gt;• Confirm X-rays were taken and are available (check patient chart/images).&lt;br&gt;• Correct claim: Add indicator (e.g., “X-rays available for review” in Box 19 or remarks).&lt;br&gt;• Resubmit corrected claim (frequency 7).&lt;br&gt;• Appeal with documentation (X-ray report, date taken, storage location) if misapplied.&lt;/td&gt;&lt;/tr&gt;</t>
  </si>
  <si>
    <t>&lt;tr data-carc="CO 96" data-type="co" data-rarc="M13 — Only one initial visit is covered per specialty per medical group." data-denial="The claim was denied because the payer allows only one initial/new patient visit per specialty within the same medical group per patient. Additional initial visits in the same specialty/group are not covered (common in managed care, HMO, Medicaid managed care, and some commercial plans to prevent duplicate billing)." data-root="• Second (or more) initial/new patient visit billed in same specialty within same medical group.\n• Provider unaware of payer’s “one initial per specialty per group” rule.\n• Billing system or staff did not check prior visits in group/specialty.\n• Patient seen by multiple providers in same specialty/group without coordination."&gt;&lt;td&gt;&lt;div class="row-num"&gt;#74&lt;/div&gt;&lt;span class="carc-badge co"&gt;CO 96&lt;/span&gt;&lt;/td&gt;&lt;td&gt;&lt;span class="denial-reason"&gt;Non Covered Charge&lt;/span&gt;&lt;/td&gt;&lt;td class="rarc-wrap"&gt;&lt;div class="rarc-id"&gt;M13&lt;/div&gt;&lt;div class="rarc-desc"&gt;Only one initial visit is covered per specialty per medical group.&lt;/div&gt;&lt;/td&gt;&lt;td class="td-meaning"&gt;The claim was denied because the payer allows only one initial/new patient visit per specialty within the same medical group per patient. Additional initial visits in the same specialty/group are not covered (common in managed care, HMO, Medicaid managed care, and some commercial plans to prevent duplicate billing).&lt;/td&gt;&lt;td&gt;&lt;div class="chip-row"&gt;&lt;span class="chip chip-green"&gt;Patient sees two cardiologists in same medical group; second initial visit (99204) denied.&lt;/span&gt;&lt;span class="chip chip-green"&gt;New patient visit to orthopedic surgeon in same group after prior ortho visit → denied as duplicate initial.&lt;/span&gt;&lt;span class="chip chip-green"&gt;Specialty consult (e.g., neurology) billed as new patient but patient already seen by another neurologist in group.&lt;/span&gt;&lt;/div&gt;&lt;/td&gt;&lt;td&gt;&lt;div class="chip-row"&gt;&lt;span class="chip chip-green"&gt;Second (or more) initial/new patient visit billed in same specialty within same medical group.&lt;/span&gt;&lt;span class="chip chip-green"&gt;Provider unaware of payer’s “one initial per specialty per group” rule.&lt;/span&gt;&lt;span class="chip chip-green"&gt;Billing system or staff did not check prior visits in group/specialty.&lt;/span&gt;&lt;span class="chip chip-green"&gt;Patient seen by multiple providers in same specialty/group without coordination.&lt;/span&gt;&lt;/div&gt;&lt;/td&gt;&lt;td class="td-res"&gt;• Review patient history in group/specialty to confirm prior initial visit.&lt;br&gt;• If error (e.g., established patient miscoded as new) → correct to established code (99213–99215) and resubmit (frequency 7).&lt;br&gt;• If second initial justified (e.g., different group) → appeal with proof (different TIN/group NPI, prior visit records).&lt;br&gt;• Accept denial and write off or bill patient if rule applies.&lt;br&gt;Contact payer to verify group/specialty definition if unclear.&lt;/td&gt;&lt;/tr&gt;</t>
  </si>
  <si>
    <t>• DME (wheelchair, CPAP) prescribed by physician who owns or has financial interest in supplier → denied without disclosure form.
• Home health or infusion therapy claim rejected – missing physician financial relationship certification.
• Durable medical equipment or therapy service billed when prescribing physician has ownership stake in provider → no form attached.</t>
  </si>
  <si>
    <t>• Physician financial relationship disclosure form not attached/uploaded.
• Form incomplete (missing physician signature, date, or relationship details).
• Provider unaware of Medicare Stark Law/self-referral disclosure requirement.
• Billing software/manual entry omitted required attachment/indicator.</t>
  </si>
  <si>
    <t>• Obtain completed physician financial relationship form (certifying no prohibited financial relationship or disclosing if any exists).
• Attach form to claim (CMS-1500 Box 19 remarks, 837P Loop 2400 NTE, or UB-04 attachment).
• Resubmit corrected claim (frequency 7) with form included.
• Appeal with signed form and documentation if misapplied or relationship compliant.</t>
  </si>
  <si>
    <t>• Physical therapy claim beyond initial period denied – no signed plan of care with goals/frequency.
• Home health episode billed without updated physician-certified plan of treatment.
• Occupational therapy or speech therapy denied – plan missing duration or physician signature/date.</t>
  </si>
  <si>
    <t>• Plan of treatment not attached/uploaded or not included in claim.
• Plan incomplete (missing goals, frequency, duration, physician certification/signature).
• Plan expired or not recertified timely (e.g., therapy plans every 30–90 days).
• Billing software/manual entry omitted required plan attachment/indicator.</t>
  </si>
  <si>
    <t>• Obtain complete, signed plan of treatment from therapist/provider (include goals, frequency, duration, physician certification).
• Verify plan matches billed services and is current (not expired).
• Attach plan to claim (CMS-1500 Box 19 remarks, 837P Loop 2400 NTE, UB-04 attachment).
• Resubmit corrected claim (frequency 7).
• Appeal with updated plan and documentation if misapplied or late certification allowed.</t>
  </si>
  <si>
    <t>The claim was denied or adjusted because the required indication (statement, modifier, or documentation) that the service was supervised, evaluated, or interpreted by a physician is missing, incomplete, or invalid.</t>
  </si>
  <si>
    <t>Review claim for supervision/evaluation indicator (CMS-1500 Box 19 remarks, 837P NTE, or modifier).
Confirm physician involvement (supervision note, signature, or interpretation report).
Correct claim: Add indicator (e.g., “Physician supervised/evaluated service”) or modifier (-26, -AF).
Resubmit corrected claim (frequency 7).
Appeal with documentation (physician note, supervision log, interpretation report) if misapplied.</t>
  </si>
  <si>
    <t>• No indication of physician supervision/evaluation (e.g., Box 19 remarks, modifier, or attached note).
• Missing/incorrect modifier (e.g., no -AF for assistant-at-surgery or -26 for interpretation).
• Documentation lacks physician involvement (signature, date, or supervision note).
• Billing software or manual entry omitted required supervision indicator.</t>
  </si>
  <si>
    <t>• Incident-to service by NP/PA (e.g., E/M or injection) billed without physician supervision indication or -AF modifier.
• Diagnostic test interpretation (e.g., ECG, X-ray) denied – no physician evaluation statement or -26 modifier.
• Therapy service (PT/OT) billed under non-physician without physician oversight documentation.</t>
  </si>
  <si>
    <t>No separate payment allowed for an injection given during an office visit. If the patient only received an injection (no significant E/M service), the office visit is also not payable. The injection is bundled into the visit or considered the primary service.</t>
  </si>
  <si>
    <t>• Patient seen only for injection (e.g., corticosteroid 20610) → E/M visit (99213) denied.
• Office visit + injection billed; payer bundles injection into visit → no separate payment for injection.
• Minor E/M + therapeutic injection same day → E/M denied if not significant/separately identifiable.</t>
  </si>
  <si>
    <t>• Injection billed separately when considered part of office visit.
• No significant, separately identifiable E/M service documented (missing -25 modifier).
• Patient visit solely for injection → no billable E/M component.
• Provider unaware of bundling rules for injections during office visits.</t>
  </si>
  <si>
    <t>• Review documentation: Confirm if significant E/M occurred (history, exam, decision-making beyond injection).
• If significant E/M → resubmit with -25 modifier on E/M code.
• If only injection → accept denial for E/M and keep injection payment (or vice versa).
• Appeal with detailed notes proving separate E/M service if -25 justified.</t>
  </si>
  <si>
    <t>The claim was denied or adjusted because the required physician-certified plan of care (certification/recertification of medical necessity, including goals, frequency, duration, and physician signature/date) is missing, incomplete, or invalid. Mandatory for ongoing services like home health, hospice, therapy (PT/OT/SLP), or certain chronic/rehab care programs.</t>
  </si>
  <si>
    <t>• Home health episode denied – no physician-certified plan of care attached.
• Physical therapy beyond initial period denied – missing signed/certified plan with goals/frequency.
• Hospice or long-term therapy claim rejected – plan lacks physician signature or recertification date.</t>
  </si>
  <si>
    <t>• Physician-certified plan of care not attached/uploaded or omitted from claim.
• Plan incomplete (missing goals, frequency, duration, physician signature/date).
• Certification/recertification expired or not timely (e.g., home health every 60 days).
• Billing software/manual entry failed to include required plan attachment.</t>
  </si>
  <si>
    <t>• Obtain complete, signed physician-certified plan of care (include goals, frequency, duration, signature/date).
• Verify plan matches billed services and is current (not expired).
• Attach plan to claim (CMS-1500 Box 19 remarks, 837P Loop 2400 NTE, UB-04 attachment).
• Resubmit corrected claim (frequency 7).
• Appeal with updated plan and supporting notes if misapplied or late certification allowed.</t>
  </si>
  <si>
    <t>Credentialling</t>
  </si>
  <si>
    <t>The claim was denied or rejected because the provider's license information on file with the payer is outdated, incomplete, invalid, expired, or not updated. The payer requires current, valid license details (state license number, expiration date, etc.) to process payment.</t>
  </si>
  <si>
    <t>• Physician or therapist claim denied – license expiration date on file is past current date.
• NP/PA or other licensed provider billed after state license renewal not reported to payer.
• Provider changed state or license number; old info still on file → claim rejected.</t>
  </si>
  <si>
    <t>• Provider license expired, renewed, or changed but not updated with payer.
• License number missing, incomplete, or invalid in payer enrollment system.
• Failure to submit updated license information during credentialing or revalidation.
• Billing under NPI with outdated payer license record.</t>
  </si>
  <si>
    <t>• Contact payer credentialing/enrollment department to confirm current license status on file.
• Submit updated license copy (front/back, expiration date) via payer portal, fax, or mail.
• Wait for payer to update record (may take 7–30 days).
Resubmit claim after license update confirmed (or appeal once processed).
• If urgent → request expedited update or temporary processing.</t>
  </si>
  <si>
    <t>The claim was denied or adjusted because payment for pre-operative and/or post-operative care (e.g., E/M visits, consultations, or related services) is bundled into the global surgical allowance for the primary surgery/procedure. Separate billing is not allowed during the global period (typically 0, 10, or 90 days per CPT).</t>
  </si>
  <si>
    <t>• E/M visit day before surgery denied – bundled into surgical global fee.
• Post-op follow-up visit within 90-day global period billed separately → denied.
• Pre-op consultation or post-op complication management denied – included in surgery allowance.</t>
  </si>
  <si>
    <t>• Pre-/post-op service billed separately during global surgical period.
• No exception modifier (e.g., -24, -79) used for unrelated E/M during global.
• Provider unaware of global surgery package rules (0/10/90-day periods).
• Billing software did not flag global period bundling.</t>
  </si>
  <si>
    <t>• Check global period for surgery code (0, 10, or 90 days) using CPT book or payer tool.
• If service unrelated → add appropriate modifier (-24 unrelated E/M, -79 unrelated procedure) and resubmit (frequency 7).
• If related → accept bundling and write off separate E/M charge.
• Appeal with documentation proving unrelated service if modifier justified.</t>
  </si>
  <si>
    <t>The claim was paid this time only because the payer determined you did not know (and could not reasonably have been expected to know) that the service was not normally covered for this patient. This is a one-time leniency. In the future, you will be liable for the same or similar non-covered services under the same or similar conditions (no more waivers).</t>
  </si>
  <si>
    <t>The service is covered only when provided for home use. Neither a hospital nor a Skilled Nursing Facility (SNF) qualifies as the patient's home. Claim denied because the place of service (POS) was hospital or SNF instead of home (POS 12 or 14).</t>
  </si>
  <si>
    <t>• Home health aide or DME (CPAP, nebulizer) billed with hospital POS → denied.
• Respiratory therapy or infusion service in SNF billed as home-use only → rejected.
• Certain supplies (ostomy, wound care) provided in hospital/SNF → non-covered.</t>
  </si>
  <si>
    <t>• Incorrect POS code used (e.g., 21/22 hospital or 31 SNF instead of 12 home).
• Service billed in facility setting but policy restricts to home use only.
• Provider unaware of payer's "home use" restriction for the item/service.
• Billing error: Facility claimed home-use service.</t>
  </si>
  <si>
    <t>• Confirm POS code on claim (Box 24B CMS-1500 or 837P CLM05-1) matches actual location.
• If service was for home use → correct POS to 12 (home) and resubmit (frequency 7).
• If service truly provided in hospital/SNF → accept denial (non-covered in facility).
• Appeal with documentation proving home use if POS misapplied or exception exists.</t>
  </si>
  <si>
    <t>The claim for oxygen therapy or related equipment was denied because the required physician certification or recertification of medical necessity is missing, incomplete, or invalid.</t>
  </si>
  <si>
    <t>• Experimental or investigational service paid once due to lack of prior knowledge → future claims denied.
• Service outside patient’s benefit plan (e.g., cosmetic procedure miscoded) paid as first occurrence.
• Non-covered supply or therapy billed and paid due to reasonable ignorance → subsequent claims liable.</t>
  </si>
  <si>
    <t>• Service not normally covered under patient’s plan, but provider had no reasonable way to know (first occurrence, unclear policy).
• No prior similar denials or warnings for this patient/service.
• Payer applied one-time “good faith” payment leniency.</t>
  </si>
  <si>
    <t>• Accept this one-time payment (no action needed for current claim).
• Document this alert in patient record and billing notes for future reference.
• Review patient benefits/policy for the service to understand coverage restrictions.
• For future similar services → verify coverage/eligibility before rendering or bill patient upfront.
• If future denial occurs → appeal only if new information shows coverage applies.</t>
  </si>
  <si>
    <t>• Home oxygen (E1390) billed without initial CMN certification → denied.
• Continued oxygen therapy denied – missing recertification at 61 days or 91 days.
• Portable oxygen concentrator claim rejected – no updated certification with blood gas values.</t>
  </si>
  <si>
    <t>• Initial CMN or recertification form not attached/uploaded or omitted.
• Certification incomplete (missing flow rate, blood gas results, physician signature/date).
• Recertification not performed timely (e.g., missed 61-day or 91-day window).
• Billing software/manual entry failed to include required certification attachment.</t>
  </si>
  <si>
    <t>• Obtain complete, signed physician certification/recertification (CMN form with diagnosis, flow rate, blood gas, signature/date).
• Verify certification matches billed oxygen (flow, duration, group I/II criteria).
• Attach CMN/certification to claim (CMS-1500 Box 19 remarks, 837P Loop 2400 NTE, or UB-04 attachment).
• Resubmit corrected claim (frequency 7).
• Appeal with updated certification and supporting labs/notes if misapplied.</t>
  </si>
  <si>
    <t>The service or procedure was denied separate payment because the patient was an inpatient at the time of service. Certain services (e.g., consultations, E/M visits, diagnostic tests, injections) are bundled into the inpatient stay payment (DRG or per diem) and cannot be billed separately by the practitioner or facility.</t>
  </si>
  <si>
    <t>• Consultant E/M visit (99251–99255) billed during inpatient stay → denied (bundled into DRG).
• Diagnostic test (e.g., X-ray, lab) performed on inpatient → no separate payment to physician.
• Injection or minor procedure during hospitalization denied separate reimbursement.</t>
  </si>
  <si>
    <t>• Service billed separately while patient was inpatient (POS 21 or 51).
• Provider unaware of inpatient bundling rules (services included in DRG/per diem).
• Incorrect POS code or failure to coordinate with facility billing.
• Billing software did not flag inpatient services as bundled.</t>
  </si>
  <si>
    <t>• Confirm patient was inpatient at time of service (check POS 21/51 on claim).
• If service truly bundled → accept denial (payment included in inpatient DRG/per diem).
• If unrelated/outpatient → correct POS and resubmit (frequency 7).
• Appeal with documentation proving service was separate/outpatient if misapplied.
• Coordinate with facility billing to ensure inpatient claim covers bundled services.</t>
  </si>
  <si>
    <t>The claim was denied or adjusted because the HCPCS code is missing, incomplete (e.g., wrong length, partial code), or invalid (e.g., non-existent code, wrong format, deactivated code, or not matching the service billed). HCPCS codes are required for certain supplies, drugs, DME, injections, and procedures (especially Medicare/Medicaid).</t>
  </si>
  <si>
    <t>• DME (wheelchair, CPAP) billed without HCPCS code (e.g., E1390) → denied.
• Injection (e.g., J-code for corticosteroid) submitted without valid HCPCS code.
• Supply or orthotic claim rejected – HCPCS code missing or invalid (e.g., old/deactivated code used).</t>
  </si>
  <si>
    <t>• HCPCS code field left blank or omitted (CMS-1500 Box 24D or 837P Loop 2400 SV202-2).
• Incomplete/invalid format (wrong length, typo, or deactivated code).
• Billing software/manual entry error (wrong code selected).
• Provider unaware HCPCS required for the service/supply/drug.</t>
  </si>
  <si>
    <t>• Verify correct HCPCS code from CPT/HCPCS book, payer manual, or FDA/NDC crosswalk.
• Correct HCPCS code in claim (Box 24D CMS-1500 or Loop 2400 SV202-2 on 837P).
• Resubmit corrected claim (frequency 7).
• Appeal with documentation (e.g., invoice, supplier catalog) showing correct HCPCS if misapplied.
• If code truly invalid → switch to appropriate code and resubmit.</t>
  </si>
  <si>
    <t>The claim was denied or adjusted because the place of residence (patient's home address or location) for a home-based service or item (e.g., home health, DME delivered to home, home infusion) is missing, incomplete (e.g., partial address), or invalid (e.g., wrong format, PO Box only, or not matching payer records). Required to confirm the service/item was provided in the patient's home and not a facility.</t>
  </si>
  <si>
    <t>• Home health visit (G0154) denied – no patient home address in claim.
• DME (CPAP, wheelchair) delivered to home billed without residence address or with invalid PO Box.
• Home infusion therapy claim rejected – missing/incomplete patient home location.</t>
  </si>
  <si>
    <t>• Place of residence field (CMS-1500 Box 5 or 837P Loop 2010BA) left blank or omitted.
• Address incomplete (missing apartment, zip code, or street details).
• Invalid format (PO Box only, commercial address, or facility address used for home service).
• Billing software/manual entry failed to include or validate residence address.</t>
  </si>
  <si>
    <t>• Review patient record for correct home address (street, city, state, zip).
• Correct claim: Add complete residence address in Box 5 (CMS-1500) or Loop 2010BA (837P).
• Resubmit corrected claim (frequency 7).
• Appeal with proof of home delivery/service (delivery ticket, visit note) if misapplied.
• Confirm address matches payer records (eligibility response or patient file).</t>
  </si>
  <si>
    <t>Missing Invoice Record</t>
  </si>
  <si>
    <t>The claim was denied or adjusted because the required invoice (supplier invoice, cost statement, or purchase documentation) is missing, incomplete, or invalid.</t>
  </si>
  <si>
    <t>• DME item (wheelchair, CPAP) billed without supplier invoice showing cost.
• Orthotic or prosthetic device denied – no invoice or cost statement attached.
• High-cost supply or drug (e.g., specialty injection) rejected – missing purchase invoice.</t>
  </si>
  <si>
    <t>• Invoice from supplier not attached/uploaded or omitted from claim.
• Invoice incomplete (missing cost, date, supplier details, or certification).
• Billing software/manual entry failed to include required invoice attachment.
• Provider unaware of payer requirement for invoice on specific items.</t>
  </si>
  <si>
    <t>• Obtain complete supplier invoice (showing actual cost, item description, date, supplier info).
• Attach invoice to claim (CMS-1500 Box 19 remarks, 837P Loop 2400 NTE, or UB-04 attachment).
• Resubmit corrected claim (frequency 7).
• Appeal with invoice and supporting documentation if misapplied.
• If invoice unavailable → accept denial and write off or bill patient.</t>
  </si>
  <si>
    <t>Missing Number of Dose Per Vial</t>
  </si>
  <si>
    <t>The claim was denied or adjusted because the number of doses per vial (or units per vial) for the drug is missing, incomplete (e.g., wrong number), or invalid (e.g., not matching the drug's package insert, NDC, or payer rules). Required for multi-dose vials (e.g., vaccines, injectables, chemotherapy) to calculate correct billing units and prevent overbilling.</t>
  </si>
  <si>
    <t>• Multi-dose vial drug (e.g., vaccine or insulin) billed without specifying doses per vial → denied.
• Chemotherapy or biologic injection denied – missing/invalid doses per vial in NDC line.
• Injectable claim rejected because number of doses does not match drug label or NDC description.</t>
  </si>
  <si>
    <t>• Doses per vial field blank or omitted in NDC line (Loop 2410 on 837P or remarks).
• Wrong/invalid number entered (typo, not matching package insert/NDC).
• Billing software/manual entry failed to include or validate doses per vial.
• Provider unaware of requirement for multi-dose vial drugs.</t>
  </si>
  <si>
    <t>• Review drug package insert, label, or NDC database for accurate doses per vial.
• Correct claim: Add doses per vial in NDC line (Loop 2410) or remarks (Box 19 CMS-1500).
• Resubmit corrected claim (frequency 7).
• Appeal with package insert/label showing correct doses per vial if misapplied.
• If vial information unavailable → accept denial and write off or bill patient.</t>
  </si>
  <si>
    <t>The claim was denied or downcoded because the submitted information (documentation, notes, records) does not support medical necessity for the billed level of service (e.g., higher E/M level, more complex procedure, or extended service).</t>
  </si>
  <si>
    <t>The claim was downcoded or denied because the documentation does not support medical necessity for the billed level of service (e.g., higher E/M level, more complex procedure). This is a medical necessity denial.</t>
  </si>
  <si>
    <t>• 99215 (high-level E/M) downcoded to 99214 – notes do not support comprehensive exam/MDM.
• Complex procedure or extended therapy denied – documentation lacks sufficient detail/justification.
• Injection or diagnostic test at higher level denied – insufficient medical necessity evidence.</t>
  </si>
  <si>
    <t>• 99215 billed but notes support only 99214 → downcoded and refund required for patient overpayment.
• Complex procedure downcoded to simpler code – excess patient payment must be refunded within 30 days.
• High-level consult or extended therapy denied – any patient copay/deductible collected on higher level must be returned.</t>
  </si>
  <si>
    <t>• Documentation insufficient (missing history, exam, MDM, or medical necessity justification).
• Billed level too high for recorded clinical findings or time spent.
• Provider did not provide adequate supporting records with claim.
• Payer medical review found level not substantiated per guidelines (E/M, procedure, or LCD).</t>
  </si>
  <si>
    <t>• Documentation insufficient (missing history, exam, MDM, time, or medical necessity justification).
• Billed level too high compared to recorded clinical findings.
• No or inadequate supporting records submitted with claim.
• Payer medical review found level not substantiated per guidelines (E/M, procedure, LCD).</t>
  </si>
  <si>
    <t>• Review documentation against billed level (e.g., E/M guidelines, procedure notes).
• If level justified → appeal within 120 days with complete records (progress notes, exam findings, MDM).
• If level incorrect → accept downcode or resubmit corrected claim (frequency 7) at appropriate level.
• If patient paid excess → monitor for patient reimbursement request; refund overpayment to avoid payer recovery.</t>
  </si>
  <si>
    <t>• Review documentation against billed level (E/M guidelines, procedure notes).
• If level justified → appeal within timeframe with complete records (progress notes, exam findings, MDM).
• If level incorrect → accept downcode, calculate overpayment (difference between billed and allowed), and refund patient within 30 days.
• Send refund to patient and retain proof (check copy, letter).</t>
  </si>
  <si>
    <t>The patient is relieved of payment responsibility under the Limitation of Liability provision (Medicare Waiver of Liability/ABN rules).</t>
  </si>
  <si>
    <t>• Non-covered DME (e.g., unapproved wheelchair) delivered without valid ABN → provider liable for patient charges.
• Custodial care in SNF billed to Medicare → patient waived liability, provider held responsible.
• Experimental or non-medically necessary service provided without proper notice → provider must refund patient and face recovery.</t>
  </si>
  <si>
    <t>• Service deemed not reasonable/necessary or custodial, and provider should have known (no valid ABN/waiver obtained).
• ABN not issued, invalid, or not properly executed before service.
• Provider continued non-covered service despite knowledge or prior similar denials.
• Failure to verify coverage/medical necessity before rendering service.</t>
  </si>
  <si>
    <t>• Review EOB/ERA and medical records to confirm non-coverage reason (not reasonable/necessary or custodial).
• Check if valid ABN was issued before service (if yes → appeal on basis of good faith reliance).
• File appeal within 120 days through the payer office (include coverage and due care arguments).
• If appeal unsuccessful → accept liability, refund patient any collected amounts, and prepare for overpayment recovery.</t>
  </si>
  <si>
    <t>The service was denied under Medicare Part B because it should have been covered under Part A (hospital insurance), but Part A coverage is exhausted, not available, or the service is not eligible for Part B payment when Part A benefits are unavailable.</t>
  </si>
  <si>
    <t>• Home health services billed under Part B after Part A SNF benefit exhausted → denied.
• Inpatient rehab or SNF follow-up care denied under Part B when Part A days used up.
• DME or therapy billed to Part B when service qualifies only under Part A (e.g., during SNF stay).</t>
  </si>
  <si>
    <t>• Service qualifies under Part A but Part A benefits exhausted or not available (e.g., no qualifying inpatient stay).
• Provider billed to Part B instead of coordinating with Part A coverage.
• Incorrect Part A/Part B eligibility check or misunderstanding of benefit periods.
• No documentation showing Part A exhaustion or non-availability.</t>
  </si>
  <si>
    <t>• Verify Part A benefit status (days remaining, qualifying hospital stay) via Medicare portal or eligibility check.
• Confirm if service qualifies under Part A (e.g., SNF, home health after 3-day hospital stay).
• If Part A exhausted → resubmit to Part B with proof of exhaustion (Medicare Summary Notice or eligibility response).
• Appeal with documentation showing Part A exhaustion/non-availability and medical necessity under Part B.
• Accept denial and bill patient (after ABN if Medicare) if service truly Part A-only.</t>
  </si>
  <si>
    <t>The claim was denied because the payer requires the operative note or surgical report to review medical necessity, procedure details, or coding accuracy, and the documentation was not submitted or was incomplete. This denial is most commonly associated with surgical procedures, invasive services, or procedures that require detailed operative documentation to support reimbursement.</t>
  </si>
  <si>
    <t>• Surgical procedure billed without attaching the operative report → payer requests documentation and denies when not received.
• Unlisted CPT procedure submitted without operative notes explaining the service performed → denied due to insufficient documentation.
• Modifier usage (e.g., -22, -52, -59) requiring operative details but documentation not provided → denial issued.
• ASC or hospital outpatient surgery claim where operative report was not included in medical records submission → denied.
• Medical records requested during review or audit but operative note not sent within payer timeframe → denial applied.</t>
  </si>
  <si>
    <t>• Operative report not submitted with the claim when required by payer policy.
• Medical records request (ADR) received but not responded to within the deadline.
• Documentation existed but was incomplete, unsigned, or missing key surgical details.
• Workflow gap between clinical documentation and billing submission teams.
• Incorrect assumption that operative notes are only needed for appeals rather than initial submission.
• System or clearinghouse attachment transmission failure.</t>
  </si>
  <si>
    <t>• Confirm whether the operative note exists in the medical record and is complete, signed, and dated.
• Submit the operative report to the payer via the appropriate channel (portal, fax, EDI attachment, or reconsideration request).
• If denial followed an ADR request, send documentation with reference number and reconsideration request.
• Review coding accuracy to ensure procedure billed matches operative findings.
• Appeal denial with operative note, physician documentation, and medical necessity support if claim was incorrectly denied.
• If documentation truly unavailable → coordinate with provider to obtain or correct records before resubmission.</t>
  </si>
  <si>
    <t>The claim was denied because the payer determined that the Durable Medical Equipment (DME) being billed is the same as, or similar to, equipment the patient already owns or is currently renting. Coverage is not allowed for duplicate or overlapping equipment within the same reasonable useful lifetime (RUL) or rental period.</t>
  </si>
  <si>
    <t>• Patient already has a wheelchair on file within the reasonable useful lifetime, and a new wheelchair is billed → denied as same/similar equipment.
• CPAP device billed while another supplier is still in active rental period → denied due to existing equipment rental.
• Replacement hospital bed billed before the 5-year reasonable useful lifetime expired without medical justification → denial issued.
• Oxygen equipment billed by a new provider when patient is still under capped rental with another supplier → denied.
• Orthotic brace billed when a similar brace was previously provided recently → payer denies as duplicate equipment.</t>
  </si>
  <si>
    <t>• Eligibility verification for prior equipment ownership or rental status was not performed before billing.
• Patient transferred from another supplier but prior equipment rental period still active.
• Replacement equipment billed without documentation of medical necessity, damage, or change in condition.
• Incorrect HCPCS coding causing payer to classify equipment as same/similar.
• Lack of coordination between providers regarding existing DME history.
• Missing documentation supporting replacement due to loss, theft, or irreparable damage.</t>
  </si>
  <si>
    <t>• Verify patient DME history through payer portal, Medicare IVR, or documentation from prior supplier.
• Confirm whether the patient owns equipment or is still in rental period with another provider.
• If replacement is medically necessary → submit documentation supporting change in condition, damage, or non-functionality.
• Obtain and submit physician order and medical necessity records supporting need for different equipment.
• If patient changed suppliers during rental period → coordinate billing transfer according to payer rules.
• Appeal with documentation showing equipment is not same/similar (different HCPCS, upgraded need, or medical change).</t>
  </si>
  <si>
    <t>M30/31 — Missing pathology &amp; radiology report.</t>
  </si>
  <si>
    <t>The claim was denied because the payer requires the pathology report to validate the diagnosis, confirm medical necessity, or support the procedure performed, and the documentation was not submitted or was incomplete.</t>
  </si>
  <si>
    <t>• Biopsy procedure billed without submitting pathology findings confirming tissue analysis → denied.
• Skin lesion excision coded based on malignant diagnosis but pathology report not provided → payer denies pending documentation.
• Molecular or specialized pathology testing billed without lab report attached → denial issued.
• Medical records requested by payer but pathology documentation not submitted within timeframe → claim denied.
• Procedure billed with diagnosis dependent on pathology confirmation (e.g., tumor removal) but report missing → denial applied.</t>
  </si>
  <si>
    <t>• Pathology report not submitted with claim when payer required documentation.
• Medical records request received but not fulfilled before deadline.
• Documentation incomplete, unsigned, or missing final diagnosis.
• Workflow disconnect between laboratory/pathology department and billing team.
• Incorrect assumption that pathology documentation is not required for initial claim submission.
• Attachment transmission failure through clearinghouse or payer portal.</t>
  </si>
  <si>
    <t>• Confirm pathology report exists, is finalized, signed, and includes diagnostic findings.
• Submit pathology report via payer portal, EDI attachment, fax, or reconsideration process.
• If denial followed documentation request, include reference number when resubmitting.
• Validate coding accuracy to ensure diagnosis and procedure match pathology findings.
• Appeal with pathology documentation and medical necessity support if denial was inappropriate.
• If report unavailable → coordinate with laboratory or provider to obtain finalized documentation before resubmission.</t>
  </si>
  <si>
    <t>M32 — Conditional Payment Made Pending Primary Payer Decision (Coordination of Benefits).</t>
  </si>
  <si>
    <t>The payer issued a conditional payment because another insurer is considered the primary payer, but payment was made temporarily to avoid delays in patient care or provider reimbursement.</t>
  </si>
  <si>
    <t>• Medicare makes a conditional payment while employer group health insurance is primary but has not yet processed the claim.
• Auto insurance, workers’ compensation, or liability insurance is primary, but Medicare pays conditionally due to processing delays.
• Patient has multiple insurance policies, and coordination of benefits was not finalized at time of billing.
• Provider submits claim to Medicare without primary payer EOB, resulting in conditional payment issuance.
• Primary insurance later pays the claim, requiring refund to the conditional payer.</t>
  </si>
  <si>
    <t>• Incorrect insurance order or incomplete • Coordination of Benefits (COB) information at registration.
• Claim submitted to secondary payer before primary payer adjudication.
• Failure to identify Medicare Secondary Payer situations (employment, liability, no-fault, workers’ compensation).
• Missing primary payer EOB when billing secondary insurance.
• Patient insurance information not updated or verified before claim submission.
• Workflow gaps in tracking conditional payments and refund obligations.</t>
  </si>
  <si>
    <t>• Verify patient insurance hierarchy and determine the correct primary payer.
• Bill the primary insurance if not already done and obtain the Explanation of Benefits (EOB).
• Submit the primary payer EOB to the conditional payer (e.g., Medicare) for coordination and adjustment.
• If payment received from primary after conditional payment → promptly refund the conditional payer to avoid recoupment penalties.
• Update patient account to reflect correct payer responsibility.
• If conditional payment was made appropriately and no other payer exists → provide documentation confirming no other coverage.</t>
  </si>
  <si>
    <t>The claim was denied because the service billed has payer-specific coverage criteria that restrict reimbursement based on patient age, and the patient does not meet the minimum age requirement (under 35 years old).</t>
  </si>
  <si>
    <t>• Screening or diagnostic procedure billed for a patient younger than the payer’s covered age threshold → denied due to age limitation.
• Fertility-related, preventive, or specialty testing services with minimum age criteria billed for a patient under 35 → denial issued.
• Genetic or risk-based screening submitted without qualifying risk factors for a patient under age requirement → denied.
• Procedure covered only for older population (based on medical policy) billed without documentation supporting exception → denial applied.
• Preventive service billed outside payer-approved age parameters without medical necessity justification → denied.</t>
  </si>
  <si>
    <t>• Patient age does not meet payer medical policy criteria for coverage.
• Eligibility or payer policy guidelines were not verified prior to billing.
• Service billed as screening rather than diagnostic with supporting medical necessity.
• Missing documentation supporting exception criteria (high-risk condition, symptoms, physician justification).
• Coding selection did not reflect medical necessity that might override age restriction.
• Lack of awareness of payer-specific age limitations by ordering provider or billing staff.</t>
  </si>
  <si>
    <t>• Verify payer medical policy to confirm age-based coverage requirements for the service.
• Review clinical documentation to determine whether medical necessity or risk factors justify coverage despite age.
• If medical necessity exists → appeal with physician notes, symptoms, diagnosis, and supporting clinical rationale.
• Correct coding if service should be billed as diagnostic rather than screening.
• If service truly non-covered due to age → transfer responsibility to patient only if proper patient notification or ABN (for Medicare) was obtained.
• If payer policy misapplied → submit reconsideration with policy reference supporting coverage.</t>
  </si>
  <si>
    <t>The claim indicates that the payer will not cover the service, and the patient is responsible for payment because they were notified in advance, in writing, that the service might not be covered and agreed to assume financial responsibility.</t>
  </si>
  <si>
    <t>• Medicare service expected to be non-covered (e.g., medical necessity not met) performed after obtaining a signed ABN → patient responsible.
• Screening or preventive service outside coverage guidelines performed with prior patient financial consent → denial with patient liability.
• Experimental or non-covered procedure completed after patient signed waiver acknowledging responsibility → charges transferred to patient.
• Frequency limitation exceeded (e.g., lab tests or imaging) but service performed with ABN on file → patient liable.</t>
  </si>
  <si>
    <t>• Service does not meet payer coverage criteria, but provider obtained proper patient consent prior to performing service.
• Valid ABN or financial waiver documentation present shifting liability to patient.
• Coverage limitations known in advance (medical necessity, frequency, policy exclusion).
• Provider appropriately followed notification requirements before rendering service.
• Payer denial is expected and not considered an error when ABN is valid.</t>
  </si>
  <si>
    <t>• Verify that a valid ABN or financial waiver was obtained prior to the service date.
• Ensure documentation includes patient signature, date, service description, and estimated cost.
• Post patient responsibility to the account according to payer adjudication.
• Bill patient for the denied amount per signed agreement.
• If ABN invalid or missing → evaluate for provider write-off or appeal depending on circumstances.
• If denial applied incorrectly by payer → submit reconsideration with ABN copy and claim details.</t>
  </si>
  <si>
    <t>The claim indicates that the service is not covered; however, the patient cannot be held financially responsible because the advance notice of non-coverage provided did not meet program requirements.</t>
  </si>
  <si>
    <t>• ABN obtained after the service was performed instead of before → patient not liable.
• ABN missing required elements (cost estimate, service description, options, signature) → denial with provider liability.
• Generic or blanket ABN used instead of service-specific notification → invalid notice determination.
• Wrong reason selected on ABN (e.g., frequency vs medical necessity) causing non-compliance → patient protected from charges.
• ABN not provided at all for a service expected to be non-covered → provider responsible for write-off.
• Electronic ABN not properly documented or stored → payer considers notice invalid.</t>
  </si>
  <si>
    <t>• Failure to follow ABN regulatory requirements before rendering the service.
• ABN obtained incorrectly (timing, format, or content deficiencies).
• Staff unfamiliar with proper ABN completion standards.
• Missing documentation or inability to retrieve signed ABN during review.
• Workflow gaps between clinical staff, registration, and billing teams.
• Use of outdated ABN forms or templates not compliant with payer guidelines.</t>
  </si>
  <si>
    <t>• Verify whether a valid ABN exists that meets all program requirements.
• If ABN is invalid or missing → adjust account with provider write-off per payer guidelines.
• If payer applied denial incorrectly and valid ABN exists → submit reconsideration with ABN documentation.
• Educate patient regarding coverage outcome if needed, but do not bill patient when liability is provider-assigned.
• Review internal process to identify why compliant notice was not obtained.
• Correct documentation storage issues to ensure ABNs are retrievable for future claims.</t>
  </si>
  <si>
    <t>CO 109</t>
  </si>
  <si>
    <t>The claim was denied because the service must be billed by the practitioner’s employer or the entity that holds the billing rights (such as a group practice, facility, or organization), and the claim was submitted incorrectly by an individual provider or the wrong billing entity.</t>
  </si>
  <si>
    <t>• Employed physician submits claim under individual NPI instead of group/practice NPI → denied.
• Provider working under a hospital or clinic employment contract bills services directly rather than through employer → denial issued.
• Services performed in a facility setting requiring billing by facility entity but submitted by individual practitioner → denied.
• Locum tenens or contract provider billing without proper reassignment enrollment → claim rejected/denied.
• Incorrect billing provider information submitted (Type 1 vs Type 2 NPI mismatch) → payer requires employer submission.</t>
  </si>
  <si>
    <t>• Incorrect billing provider selected during claim submission.
• Provider enrollment or reassignment of benefits not properly established with payer.
• Lack of awareness that employed providers must bill under employer entity.
• Credentialing or PECOS enrollment incomplete or outdated.
• System configuration errors causing wrong billing NPI population.
• Workflow gap between credentialing and billing departments.</t>
  </si>
  <si>
    <t>• Verify provider employment status and determine correct billing entity.
• Confirm reassignment of benefits enrollment with payer (e.g., group enrollment active).
• Correct claim with appropriate billing provider (employer/group NPI) and resubmit.
• If enrollment missing → complete credentialing or reassignment process before rebilling.
• Appeal if claim was denied incorrectly despite proper billing structure.
• Review contracts to confirm billing responsibility when services involve multiple entities.</t>
  </si>
  <si>
    <t>The claim was denied because the payer determined that the patient does not have a legal financial obligation for the service.</t>
  </si>
  <si>
    <t>• Service provided under a research study or clinical trial where sponsor covers costs → payer denies because patient not liable.
• Provider attempts to bill payer for a service already covered under a bundled payment or global arrangement → denied.
• Services furnished without proper patient financial responsibility (e.g., no ABN when required) → payer assigns provider liability.
• Charity care or no-charge services submitted to payer despite no patient obligation → denied.
• Contractual agreements prohibit billing patient for specific services → claim denied with provider responsibility.</t>
  </si>
  <si>
    <t>• Patient legally not responsible due to program rules, contracts, or provider policies.
• Service included in another payment (bundled, global, facility payment).
• Missing or invalid patient financial liability documentation (e.g., ABN).
• Incorrect billing of services provided at no cost or under sponsored programs.
• Misunderstanding of payer coverage rules or contractual obligations.
• Provider billing when patient responsibility cannot legally be established.</t>
  </si>
  <si>
    <t>• Verify whether the patient has any legal financial responsibility for the service.
• Review contracts, program rules, or coverage guidelines applicable to the service.
• If denial is correct → adjust account as provider write-off per payer rules.
• If patient should be liable and documentation exists → appeal with supporting financial agreement or ABN.
• Correct billing if service should have been included under another claim or bundled payment.
• Educate staff regarding situations where billing payer is not permitted.</t>
  </si>
  <si>
    <t>The claim was denied because the required medical necessity documentation (such as a Certificate of Medical Necessity — CMN, DME Information Form, or similar authorization document) was not personally signed by the attending or treating physician as required by payer policy.</t>
  </si>
  <si>
    <t>• DME equipment billed with CMN form signed by staff instead of physician → denied.
• Home oxygen certification submitted without physician signature or with stamped signature → denial issued.
• Medical necessity form signed after service date or missing signature date → claim denied.
• Electronic signature not compliant with payer requirements → documentation rejected.
• Physician assistant or nurse practitioner signed form when payer requires attending physician signature → denial applied.</t>
  </si>
  <si>
    <t>• Missing physician signature on required medical necessity documentation.
• Improper signature method (stamp, auto-sign, or unauthorized signer).
• Documentation completed but not finalized before claim submission.
• Lack of awareness of payer signature requirements.
• Workflow breakdown between clinical staff and billing department.
• Failure to obtain updated or corrected forms after changes in treatment.</t>
  </si>
  <si>
    <t>• Obtain properly completed medical necessity form with attending physician’s handwritten or compliant electronic signature.
• Ensure signature date aligns with payer requirements and service timeline.
• Submit corrected documentation to payer via reconsideration, appeal, or attachment process.
• Verify that the signer meets payer definition of attending/treating physician.
• If documentation cannot be corrected → adjust claim according to payer guidelines.
• Appeal denial if valid signed documentation already exists but was not submitted initially.</t>
  </si>
  <si>
    <r>
      <t xml:space="preserve">The claim was denied because one or more required </t>
    </r>
    <r>
      <rPr>
        <b/>
        <sz val="11"/>
        <color theme="1"/>
        <rFont val="Aptos Narrow"/>
        <family val="2"/>
        <scheme val="minor"/>
      </rPr>
      <t>occurrence codes</t>
    </r>
    <r>
      <rPr>
        <sz val="11"/>
        <color theme="1"/>
        <rFont val="Aptos Narrow"/>
        <family val="2"/>
        <scheme val="minor"/>
      </rPr>
      <t xml:space="preserve"> were missing, incomplete, invalid, or inconsistent with the claim information. Occurrence codes are primarily used on institutional (UB-04) claims to report significant dates or events related to the patient’s condition, accident, eligibility, or coverage circumstances (such as accident dates, onset of symptoms, hospice election, or MSP-related events). Without accurate occurrence codes and dates, the payer cannot properly adjudicate the claim.</t>
    </r>
  </si>
  <si>
    <t>• Inpatient claim submitted without required condition code indicating accident-related treatment → denied.
• Claim missing condition code for Medicare Secondary Payer (MSP) situation (e.g., employment, liability) → denial issued.
• Hospice or occurrence-related billing submitted without proper condition code identifying care type → denied.
• Outpatient claim requiring condition code for special program participation or coverage exception but not included → denial applied.
• Incorrect or invalid condition code entered that does not match billing scenario → claim rejected/denied.</t>
  </si>
  <si>
    <t>• Accident-related claim submitted without occurrence code reporting accident date → denied.
• Medicare Secondary Payer (MSP) claim missing occurrence code indicating employment or liability event → denial issued.
• Hospice or ESRD-related billing submitted without required occurrence date → denied.
• Outpatient claim requiring onset of symptoms date but occurrence code omitted → denial applied.
• Occurrence code entered but date missing or invalid format → claim rejected or denied.</t>
  </si>
  <si>
    <t>• Required condition code not captured during registration or billing process.
• Incorrect understanding of payer rules for when condition codes are required.
• Data entry errors or invalid code selection in claim system.
• Workflow gap between clinical documentation and billing team regarding patient circumstances.
• System configuration issues causing condition codes to drop during claim generation.
• Lack of staff training on UB-04 condition code usage.</t>
  </si>
  <si>
    <t>• Required occurrence code not captured during registration or billing workflow.
• Incorrect understanding of payer requirements for occurrence reporting.
• Data entry errors (wrong code, wrong date, or missing date).
• Mismatch between condition codes, occurrence codes, and claim details.
• System configuration issues causing occurrence codes to drop during claim creation.
• Staff unfamiliarity with UB-04 occurrence code usage rules.</t>
  </si>
  <si>
    <t>The claim was denied because the payer claim control number (also known as Internal Control Number — ICN, Claim Control Number — CCN, or Document Control Number — DCN) was missing, incomplete, or invalid. This number is required when submitting corrected claims, adjustments, voids, or secondary claims so the payer can locate the original claim in their system. Without the correct reference number, the payer cannot process the request.</t>
  </si>
  <si>
    <t>The claim was denied because the anti-emetic medication is considered self-administered and is only covered by the payer when it is provided in conjunction with a covered oral anti-cancer (chemotherapy) drug. If the anti-emetic is billed alone, or the associated oral anti-cancer therapy does not meet coverage criteria, payment is not allowed. This rule is most commonly associated with Medicare Part B drug coverage policies.</t>
  </si>
  <si>
    <t>The claim was denied because the required Certificate of Medical Necessity (CMN) or equivalent medical necessity documentation was not submitted, was incomplete, or was not available for review. A CMN is commonly required for certain services and equipment—especially Durable Medical Equipment (DME), oxygen therapy, supplies, and specific high-cost treatments—to demonstrate that the service meets payer medical necessity criteria.</t>
  </si>
  <si>
    <t>The claim was denied because more than one interpreting physician (professional component) charge was submitted on a single claim when billing a purchased diagnostic test. Payer rules require that only one interpreting physician be reported per claim when the test is purchased from another entity. If multiple physicians performed interpretations, each interpreting physician must be billed on a separate claim.</t>
  </si>
  <si>
    <t>The claim was denied because a diagnostic test subject to price limitations was billed using a procedure code that included both the professional component (interpretation) and the technical component, instead of separating them. Payer policy requires that the technical component (TC) and professional component (26) be billed as separate line items when price limitations apply. Only the technical component is subject to the pricing limitation, so the payer cannot adjudicate correctly when both components are combined.</t>
  </si>
  <si>
    <t>The claim was denied because one or more required other procedure codes were missing, incomplete, invalid, or inconsistent with the billed service. “Other procedure codes” typically refer to additional or related procedure fields required to support the primary service, such as secondary procedures, anesthesia-related procedures, surgical assistance codes, or institutional claim procedure fields (e.g., UB-04 FL 74). Without these supporting codes, the payer cannot properly adjudicate the claim.</t>
  </si>
  <si>
    <t>The payer processed the claim but did not recognize the modifier or modified procedure status because supporting documentation was not submitted or was insufficient. As a result, the service was paid at the standard (unmodified) rate instead of the higher or adjusted reimbursement requested. This commonly occurs with modifiers that require documentation to justify increased complexity, reduced services, or special circumstances.</t>
  </si>
  <si>
    <t>The payer reduced the total payment because multiple diagnostic tests or services billed were determined to overlap in content, methodology, or clinical purpose. When tests are considered duplicative or inclusive of one another under payer policy or coding guidelines, reimbursement is adjusted to prevent duplicate payment. This is typically a payment reduction rather than a full denial.</t>
  </si>
  <si>
    <t>The payer combined payment for multiple automated multichannel laboratory tests performed on the same day because they are considered part of a single panel or bundled service under coding and reimbursement guidelines. Instead of paying each test separately, the payer reimburses according to panel pricing or consolidation rules. This is typically a payment reduction or bundling adjustment rather than a full denial.</t>
  </si>
  <si>
    <t>The claim was denied because the charge amount for one or more service lines was missing, incomplete, invalid, or inconsistent with billing requirements. Each billed service must include a valid charge amount so the payer can calculate reimbursement. If the charge field is blank, zero, negative, or improperly formatted, the claim cannot be adjudicated.</t>
  </si>
  <si>
    <t>The claim was denied because the service was performed on the same date or during the same session as another service that was already processed for the patient, and payer policy considers the additional service duplicate, inclusive, or not separately payable. When services overlap or are bundled under coding guidelines (such as NCCI edits), the payer will not issue additional payment.</t>
  </si>
  <si>
    <t>The claim was denied because the diagnosis or procedure code submitted was not coded to the highest level of specificity required by the payer. Coding systems (ICD-10-CM, CPT, HCPCS) require the most detailed code available based on clinical documentation. When unspecified or incomplete codes are used while more specific codes exist, the payer cannot properly adjudicate the claim.</t>
  </si>
  <si>
    <r>
      <t xml:space="preserve">The claim was denied because the service billed has payer coverage criteria that require the patient to be </t>
    </r>
    <r>
      <rPr>
        <b/>
        <sz val="11"/>
        <color theme="1"/>
        <rFont val="Aptos Narrow"/>
        <family val="2"/>
        <scheme val="minor"/>
      </rPr>
      <t>age 50 or older</t>
    </r>
    <r>
      <rPr>
        <sz val="11"/>
        <color theme="1"/>
        <rFont val="Aptos Narrow"/>
        <family val="2"/>
        <scheme val="minor"/>
      </rPr>
      <t>, and the patient does not meet the minimum age requirement. Certain preventive screenings, diagnostic procedures, or treatments are only covered when patients fall within specific age ranges according to payer policy or clinical guidelines.</t>
    </r>
  </si>
  <si>
    <t>The claim was denied because the service is only covered when the patient meets high-risk criteria defined by payer medical policy, and the submitted documentation or coding did not demonstrate that the patient qualifies as high risk. Many preventive screenings, diagnostic tests, and monitoring services have expanded coverage only for patients with specific risk factors or medical conditions.</t>
  </si>
  <si>
    <t>The claim was denied because the medical code set used (ICD-10, CPT, HCPCS, modifiers, or revenue codes) was not valid for the date of service (DOS). Code sets are updated periodically (annually or quarterly), and payers require providers to use the version that was active at the time the service was performed. Using deleted, future-dated, or expired codes prevents proper adjudication.</t>
  </si>
  <si>
    <t>The claim was denied because the payer previously paid for the same or a similar procedure for the patient within a defined time limit or frequency period, and the current service falls within that restriction window. Payers enforce frequency edits to prevent duplicate or unnecessary services within short intervals unless medical necessity supports repetition.</t>
  </si>
  <si>
    <r>
      <t xml:space="preserve">The claim was denied because the service has a </t>
    </r>
    <r>
      <rPr>
        <b/>
        <sz val="11"/>
        <color theme="1"/>
        <rFont val="Aptos Narrow"/>
        <family val="2"/>
        <scheme val="minor"/>
      </rPr>
      <t>frequency limitation for patients under age 40</t>
    </r>
    <r>
      <rPr>
        <sz val="11"/>
        <color theme="1"/>
        <rFont val="Aptos Narrow"/>
        <family val="2"/>
        <scheme val="minor"/>
      </rPr>
      <t>, and the payer records indicate that the service was already provided once within the allowable period. Coverage policies may allow only a single occurrence under a certain age unless medical necessity or special criteria are met. Additional services beyond the allowed frequency are not covered.</t>
    </r>
  </si>
  <si>
    <t>The claim was denied because the payer allows coverage for this service only once within a 12-month period, and records indicate the patient already received the same or similar service during that timeframe. Frequency limitations are applied to prevent duplicate or unnecessary services unless medical necessity or exception criteria are met.</t>
  </si>
  <si>
    <t>The claim was denied because laboratory services performed under different CLIA (Clinical Laboratory Improvement Amendments) certification numbers were billed on the same claim. Payer policy requires that services associated with each CLIA number be submitted on separate claims, since each CLIA certificate represents a distinct laboratory entity with its own regulatory identification.</t>
  </si>
  <si>
    <t>The claim was denied because the technical component (TC) of the service was performed while the patient was an inpatient, and payer rules require that the technical portion be billed only by the inpatient facility (e.g., hospital). External providers or suppliers cannot bill separately for the technical component when services are furnished to an inpatient because those costs are included in the facility’s reimbursement. The provider may bill only the professional component (modifier -26) if applicable.</t>
  </si>
  <si>
    <t>The claim was denied because the required Universal Product Number (UPN), serial number, or device identifier was missing, incomplete, or invalid. Certain items—especially Durable Medical Equipment (DME), implants, devices, or manufacturer-tracked products—require specific product identification information for adjudication, warranty tracking, or compliance purposes. Without a valid identifier, the payer cannot process the claim.</t>
  </si>
  <si>
    <t>The payer could not process the claim as secondary insurance because the primary payer information was missing, incomplete, or illegible. Secondary payers require the primary payer’s Explanation of Benefits (EOB) details — including payment amounts, adjustments, and claim identifiers — to coordinate benefits and determine the correct secondary payment. Without this information, the claim cannot be adjudicated.</t>
  </si>
  <si>
    <t>This alert indicates that the claim information has been automatically forwarded to Medicaid for secondary review and potential payment consideration. This typically occurs in Coordination of Benefits (COB) situations where Medicare or another primary payer has processed the claim and transmitted it to Medicaid as the secondary payer (commonly called a crossover claim). This is informational and not a denial.</t>
  </si>
  <si>
    <t>This alert indicates that the claim information was not automatically forwarded to a supplemental insurance plan because either:
The patient’s supplemental coverage is not a Medigap plan eligible for Medicare crossover, or
The provider does not participate with Medicare, so automatic forwarding cannot occur.
As a result, the provider may need to submit the claim manually to the secondary or supplemental payer if additional reimbursement is expected. This is informational and not a denial.</t>
  </si>
  <si>
    <t>Missing Primary Payer Information</t>
  </si>
  <si>
    <t>Invalid Universal Product Number (UPN) / Serial Number</t>
  </si>
  <si>
    <t>CLIA Missing</t>
  </si>
  <si>
    <t>Invalid Charges</t>
  </si>
  <si>
    <t>Invalid Date Of Service</t>
  </si>
  <si>
    <t>Invalid Payer Identifier</t>
  </si>
  <si>
    <t>Invalid Total Charges</t>
  </si>
  <si>
    <t>Invalid Units of Service or Days</t>
  </si>
  <si>
    <t>Invalid From Date Of Service</t>
  </si>
  <si>
    <t>Invalid Revenue Code</t>
  </si>
  <si>
    <t>Invalid Value Code(s) or Amount(s)</t>
  </si>
  <si>
    <t>Invalid Claim Number</t>
  </si>
  <si>
    <t>Invalid Occurrence Span Code</t>
  </si>
  <si>
    <t>Invalid Occurrence Code</t>
  </si>
  <si>
    <t>Invalid Condition Code</t>
  </si>
  <si>
    <t>The claim was denied because required Occurrence Span Code(s) were missing, incomplete, invalid, or reported with incorrect date ranges. Occurrence Span Codes (UB-04 Form Locator 35–36) identify a period of time (From–Through dates) during which a specific condition or event existed that impacts claim processing. If the span code or date range is incorrect or absent, the payer cannot properly adjudicate the claim.</t>
  </si>
  <si>
    <t>The claim was denied because the required Condition Code was missing, incomplete, invalid, or not appropriate for the billing situation. Condition Codes (UB-04 Form Locator 18–28) provide additional information about the patient’s condition, billing circumstances, or special processing requirements. Without the correct condition code, the payer cannot properly adjudicate the claim.</t>
  </si>
  <si>
    <t>The claim was denied because the required Value Code(s) or corresponding amounts were missing, incomplete, invalid, or not appropriate for the billing situation. Value Codes (UB-04 Form Locator 39–41) report numeric values such as patient liability amounts, covered days, coinsurance days, benefit usage, blood units, and other financial or utilization information that impacts claim adjudication. Without valid value codes and amounts, the payer cannot process the claim correctly.</t>
  </si>
  <si>
    <t>The claim was denied because one or more Revenue Codes were missing, incomplete, invalid, or not appropriate for the services billed. Revenue Codes (UB-04 Form Locator 42) identify the department or type of service provided by the facility (e.g., room and board, pharmacy, laboratory, therapy). Without valid revenue codes aligned with CPT/HCPCS and billing rules, the payer cannot adjudicate the claim.</t>
  </si>
  <si>
    <t>The claim was denied because one or more procedure codes (CPT/HCPCS) were missing, incomplete, invalid, expired, or not recognized by the payer. Procedure codes are required to identify the service performed and determine reimbursement. If the code submitted is incorrect or absent, the payer cannot adjudicate the claim.
Claim Form Locations:
UB-04: Form Locator (FL) 44 — HCPCS / Rate / HIPPS Code
CMS-1500: Box 24D — Procedures, Services, or Supplies (CPT/HCPCS &amp; Modifiers)</t>
  </si>
  <si>
    <t>The claim was denied because the “From” date of service (start date of care or service line date) was missing, incomplete, invalid, or inconsistent with other claim information. The “From” date is required to establish the service period, determine coverage eligibility, and calculate reimbursement. Without a valid start date, the payer cannot adjudicate the claim.
Claim Form Locations:
UB-04:
FL 6 — Statement Covers Period (From Date)
FL 45 — Service Date (From) (for each revenue line)
CMS-1500:
Box 24A — Date(s) of Service (From)</t>
  </si>
  <si>
    <t>The claim was denied because the days or units of service reported were missing, incomplete, invalid, or inconsistent with the procedure code, revenue code, or billing guidelines. Accurate reporting of units (such as number of visits, minutes, treatment sessions, rental months, or inpatient days) is required for the payer to calculate reimbursement correctly. Without valid units or covered days information, the claim cannot be adjudicated.
Claim Form Locations:
UB-04:
FL 46 — Service Units (for each revenue code line)
FL 39–41 — Value Codes (for covered days, non-covered days, coinsurance days when applicable)
CMS-1500:
Box 24G — Days or Units</t>
  </si>
  <si>
    <t>The claim was denied because the total charges reported on the claim were missing, incomplete, invalid, or inconsistent with the sum of the individual service line charges. Payers require accurate total charge amounts to adjudicate claims and calculate reimbursement. If the total does not reconcile with billed services or is absent, the claim cannot be processed.
Claim Form Locations:
UB-04:
FL 47 — Total Charges (line item charges)
FL 28 — Total Charges (claim-level total)
CMS-1500:
Box 28 — Total Charge</t>
  </si>
  <si>
    <t>The claim was denied because the payer identifier (such as payer name, payer ID number, or electronic payer ID) was missing, incomplete, invalid, or not recognized. The payer identifier is required to route and adjudicate the claim correctly. If this information is incorrect or absent, the claim cannot be processed.
Claim Form Locations:
UB-04:
FL 50 — Payer Name
FL 60 — Insured’s Unique ID (Member ID)
FL 62 — Insurance Group Number (if applicable)
CMS-1500:
Box 11 — Insured’s Policy/Group Number
Box 11c — Insurance Plan Name or Program Name
Box 9 / 9a–9d — Other Insured Information (if secondary</t>
  </si>
  <si>
    <t>The claim was denied because the “To” date of service (end date of the service period or service line) was missing, incomplete, invalid, or inconsistent with other claim information. The “To” date is required when services span multiple days or when institutional claims include a statement period. Without a valid end date, the payer cannot determine the full duration of care or adjudicate the claim correctly.
Claim Form Locations:
UB-04:
FL 6 — Statement Covers Period (Through Date)
FL 45 — Service Date (To) (for each revenue code line when span billing applies)
CMS-1500:
Box 24A — Date(s) of Service (To)</t>
  </si>
  <si>
    <t>The claim was denied because the Place of Service (POS) was missing, incomplete, invalid, or inappropriate for the service billed. POS identifies the setting where the service was provided (e.g., office, outpatient hospital, inpatient hospital, home, telehealth).
Claim Form Locations:
UB-04:
POS is not directly reported as a POS code. It is derived from:
FL 4 — Type of Bill (facility type)
FL 42 — Revenue Code (service department)
CMS-1500:
Box 24B — Place of Service (POS Code)</t>
  </si>
  <si>
    <t>Invalid Date of Current Illness</t>
  </si>
  <si>
    <t>The claim was denied because the date of current illness, injury, or onset of symptoms was missing, incomplete, invalid, or inconsistent with other claim information.On the CMS-1500 claim form, this information is reported in Box 14 — Date of Current Illness, Injury, or Pregnancy (LMP). On the UB-04 claim form, similar clinical timeline information may be reported using Form Locator (FL) 31–34 — Occurrence Codes and Dates, particularly codes such as onset of symptoms or accident-related dates when applicable.</t>
  </si>
  <si>
    <t>The claim was processed and payment was determined based on the professional component (modifier -26) and/or technical component (modifier -TC) modifiers submitted. This remark indicates that reimbursement was calculated according to the component billed rather than the global service. It is typically informational but may accompany an adjustment if the modifier changed the allowable amount.
On the CMS-1500 claim form, modifiers (including -26 or -TC) are reported in Box 24D along with the CPT/HCPCS code. On the UB-04 claim form, component billing is reflected in Form Locator (FL) 44 — HCPCS/Rate/HIPPS Code, and the technical component may also align with appropriate FL 42 — Revenue Code depending on facility billing structure.</t>
  </si>
  <si>
    <t>The claim was denied because the combination of HCPCS/CPT modifiers submitted on the procedure code was invalid, incompatible, or not allowed together based on payer policy or coding guidelines. Certain modifiers cannot be used in combination because they represent conflicting circumstances (e.g., professional vs technical, bilateral vs multiple procedure logic). When incompatible modifiers are submitted together, the payer cannot adjudicate the claim correctly.
On the CMS-1500 claim form, modifiers are reported in Box 24D along with the CPT/HCPCS code. On the UB-04 claim form, modifiers are reported in Form Locator (FL) 44 — HCPCS/Rate/HIPPS Code when applicable.</t>
  </si>
  <si>
    <t>• Review EOB/ERA for exact modifiers billed and payer policy.
• Use payer modifier lookup tool (e.g., Noridian) or NCCI edits to identify conflict.
• Correct modifiers and resubmit (or replacement claim with frequency 7).
• Appeal with documentation if combo is justifiable (e.g., op notes for -59).
Top 5 Common HCPCS Modifier Ranges
| Modifier | Description                                      |
| -------- | ------------------------------------------------ |
| 26       | Professional Component                           |
| TC       | Technical Component                              |
| 25       | Significant, Separately Identifiable E/M Service |
| 59       | Distinct Procedural Service                      |
| 76 / 77  | Repeat Procedure by Same / Different Physician   |</t>
  </si>
  <si>
    <t>The service uses a non-payable reporting-only code (e.g., G-code, Q-code, or certain HCPCS codes for quality reporting, tracking, or statutorily non-covered services). The payer is warning that future submissions of this code will be rejected/denied unless a required modifier is added. The current claim may have processed with zero payment due to the missing modifier.
On the CMS-1500 claim form, modifiers are reported in Box 24D along with the procedure code. On the UB-04 claim form, modifiers are reported in Form Locator (FL) 44 — HCPCS/Rate/HIPPS Code when applicable.</t>
  </si>
  <si>
    <t>The claim was denied because the other diagnosis code(s) (secondary or additional diagnoses) were missing, incomplete, invalid, or not reported correctly. Secondary diagnoses are required when they support medical necessity, risk adjustment, complication reporting, or payer-specific coverage policies. If required additional diagnoses are absent or invalid, the payer cannot properly adjudicate the claim. On the CMS-1500 claim form, diagnosis codes are reported in Box 21 (Diagnosis or Nature of Illness/Injury) with pointers referenced in Box 24E. On the UB-04 claim form, diagnoses are reported in Form Locator (FL) 67–67Q (Principal and Other Diagnosis Codes) along with FL 69 — Admitting Diagnosis when applicable.</t>
  </si>
  <si>
    <t>The claim was denied because the diagnosis or condition code was missing, incomplete, invalid, or not appropriate for the service billed. Diagnosis codes are required to establish medical necessity, determine coverage eligibility, and support reimbursement. If the diagnosis information is absent, invalid, or inconsistent with the procedure performed, the payer cannot adjudicate the claim correctly. On the CMS-1500 claim form, diagnosis codes are reported in Box 21 (Diagnosis or Nature of Illness/Injury) with pointers referenced in Box 24E. On the UB-04 claim form, diagnoses are reported in Form Locator (FL) 67–67Q (Principal and Other Diagnosis Codes) along with FL 69 — Admitting Diagnosis when applicable.</t>
  </si>
  <si>
    <t>The claim was denied because the principal diagnosis was missing, incomplete, invalid, or not reported correctly. The principal diagnosis represents the primary condition chiefly responsible for the patient’s admission or encounter and is required for proper claim adjudication, DRG assignment (for inpatient), and medical necessity determination. If the principal diagnosis is absent or invalid, the payer cannot process the claim. On the UB-04 claim form, the principal diagnosis is reported in Form Locator (FL) 67 — Principal Diagnosis Code. On the CMS-1500 claim form, diagnosis codes (including the primary diagnosis) are reported in Box 21 (Diagnosis or Nature of Illness/Injury) with the primary diagnosis typically listed first and referenced using Box 24E — Diagnosis Pointer.</t>
  </si>
  <si>
    <t>The claim was denied because the admitting diagnosis was missing, incomplete, invalid, or not reported correctly. The admitting diagnosis reflects the patient’s condition at the time of admission and is required for institutional claims to establish the reason for hospitalization and support medical necessity review. If the admitting diagnosis is absent or invalid, the payer cannot adjudicate the claim properly. On the UB-04 claim form, the admitting diagnosis is reported in Form Locator (FL) 69 — Admitting Diagnosis Code. On the CMS-1500 claim form, there is no separate admitting diagnosis field; diagnosis codes (including the primary condition) are reported in Box 21 (Diagnosis or Nature of Illness/Injury) with pointers referenced in Box 24E.</t>
  </si>
  <si>
    <t>The claim was denied or adjusted because the diagnosis date (date of onset/current illness/injury, usually CMS-1500 Box 14 or UB-04 equivalent occurrence date) is missing, incomplete (e.g., partial date), or invalid (e.g., future date, illogical sequence, date after DOS/admission). Required for injury/accident claims, workers' comp, no-fault, or disability-related services.
On the CMS-1500 claim form, related clinical dates are commonly reported in Box 14 — Date of Current Illness/Injury/Pregnancy (LMP) and Box 15 — Other Date when applicable. On the UB-04 claim form, diagnosis-related dates are typically reported using Form Locator (FL) 31–34 — Occurrence Codes and Dates, depending on the clinical situation (e.g., onset of symptoms, accident date).</t>
  </si>
  <si>
    <t>The claim was denied or adjusted because the date associated with a secondary/additional diagnosis (e.g., onset, exacerbation, or known date of secondary condition) is missing, incomplete (e.g., partial date), or invalid (e.g., future date, illogical sequence vs. admission/DOS/principal Dx date). Required mainly on institutional claims (UB-04 occurrence codes/dates or 837I loops) for workers' comp, no-fault, inpatient. On the CMS-1500 claim form, related clinical dates are commonly reported in Box 14 — Date of Current Illness/Injury/Pregnancy (LMP) and Box 15 — Other Date when applicable. On the UB-04 claim form, diagnosis-related dates are typically reported using Form Locator (FL) 31–34 — Occurrence Codes and Dates, depending on the condition or event (e.g., onset of symptoms, accident date).</t>
  </si>
  <si>
    <t>The service, procedure, or supply is denied because it is not covered under the patient's plan when linked to the specific diagnosis code(s) billed. Payer deems it medically unnecessary, not indicated, or excluded for that diagnosis per policy, LCD/NCD, or plan guidelines. On the CMS-1500 claim form, diagnosis codes are reported in Box 21, with linkage to procedures through Box 24E — Diagnosis Pointer. On the UB-04 claim form, diagnoses are reported in Form Locator (FL) 67–67Q (Principal and Other Diagnosis Codes).</t>
  </si>
  <si>
    <t>The claim was denied because the required treatment authorization code (prior authorization number, precertification number, referral number, or authorization number) is missing, incomplete (wrong format, missing digits), or invalid (expired, wrong payer format, not matching service/date). Required for services needing pre-approval (surgery, imaging, therapy, DME, specialty visits, inpatient). On the CMS-1500 claim form, authorization information is typically reported in Box 23 — Prior Authorization Number. On the UB-04 claim form, authorization numbers are reported in Form Locator (FL) 63 — Treatment Authorization Code.</t>
  </si>
  <si>
    <t>The claim was denied because the required physician financial relationship disclosure form (or certification) is missing, incomplete, or invalid. This form certifies whether the physician has a financial relationship with the supplier/facility providing the service/item (e.g., DME, home health, infusion therapy). There is no specific dedicated field on the CMS-1500 or UB-04 claim forms for this document; however, related provider and referring physician information is reported on the CMS-1500 Box 17 / 17b (Referring Provider) and UB-04 Form Locator (FL) 78–79 (Other Provider Identifiers), with the actual financial relationship form typically submitted separately upon payer request or during enrollment/credentialing.</t>
  </si>
  <si>
    <t>The claim was denied or adjusted because the required plan of treatment (treatment plan, plan of care, or certification) is missing, incomplete (e.g., lacks required elements like goals, frequency, duration, or physician signature), or invalid (e.g., expired, not signed, or not matching services). There is no dedicated claim form field for the plan of treatment on either form; however, related ordering and certification information is reflected on the CMS-1500 Box 17 / 17b (Referring or Ordering Provider) and UB-04 Form Locator (FL) 76–79 (Attending/Other Provider Identifiers).</t>
  </si>
  <si>
    <t>• Professional claim submitted without onset date in Box 14 → denied.
• Accident-related services billed without injury date → rejection issued.
• Invalid date entered (future date or incorrect format) → denial applied.
• Onset date inconsistent with admission or treatment dates → payer unable to process claim.
• Pregnancy-related services billed without LMP date when required → claim denied.</t>
  </si>
  <si>
    <t>• Required date field left blank during claim entry.
• Data entry or formatting errors.
• Staff unaware of payer requirement for onset date reporting.
• Mismatch between documentation and claim data.
• System mapping issues causing date to drop during transmission.
• Incomplete intake or registration information capture.</t>
  </si>
  <si>
    <t>• Review medical records to determine correct onset or symptom date.
• Verify consistency with treatment dates and diagnosis information.
• Correct claim with accurate date in appropriate claim field.
• Ensure proper date format according to payer requirements.
• Resubmit corrected claim to payer.
• Appeal if denial applied incorrectly with supporting documentation.</t>
  </si>
  <si>
    <t>• Verify patient secondary or supplemental insurance type.
• Determine whether the plan participates in Medicare crossover.
• If not forwarded automatically → submit claim manually to secondary payer with Medicare EOB.
• Confirm provider participation status with Medicare if applicable.
• Update insurance information if incorrect.
• Track claim to ensure secondary adjudication occurs.</t>
  </si>
  <si>
    <t>• Supplemental payer not eligible for Medicare crossover process.
• Provider enrollment status preventing automatic forwarding.
• Incorrect assumption that all secondary plans receive crossover claims.
• Missing or incorrect secondary insurance information.
• System limitations or payer configuration issues.</t>
  </si>
  <si>
    <t>• Patient has commercial secondary insurance instead of Medigap → Medicare does not forward claim.
• Provider is non-participating with Medicare → crossover not triggered.
• Supplemental plan not enrolled in Medicare crossover program → claim not transmitted.
• Medicare processes claim but provider expects automatic secondary billing → MA08 appears.
• Incorrect supplemental payer information on file → forwarding fails.</t>
  </si>
  <si>
    <t>• Medicare processes claim for dual-eligible patient and forwards it to Medicaid automatically → MA07 appears.
• Primary commercial payer sends crossover claim to Medicaid for secondary adjudication → informational alert issued.
• Provider submits claim to Medicare only, and Medicare forwards to Medicaid per crossover agreement → no action needed initially.
• Claim forwarded but Medicaid later denies due to eligibility or coverage limitations → separate Medicaid remittance received.
• Incorrect Medicaid ID on file causing forwarding issues → Medicaid unable to process after crossover.</t>
  </si>
  <si>
    <r>
      <rPr>
        <b/>
        <sz val="10"/>
        <color theme="1"/>
        <rFont val="Calibri"/>
        <family val="2"/>
      </rPr>
      <t xml:space="preserve">• </t>
    </r>
    <r>
      <rPr>
        <sz val="10"/>
        <color theme="1"/>
        <rFont val="Calibri"/>
        <family val="2"/>
      </rPr>
      <t>Normal coordination of benefits process for dual-eligible patients.
• Automatic payer crossover agreement between primary payer and Medicaid.
• Patient enrolled in both Medicare and Medicaid programs.
• System-generated informational remark rather than an error condition.</t>
    </r>
  </si>
  <si>
    <t>• Monitor for Medicaid remittance advice to determine secondary payment outcome.
• Verify patient Medicaid eligibility and ID information if payment not received.
• If Medicaid does not process claim → submit claim manually to Medicaid with primary EOB.
• Reconcile payments once Medicaid adjudication is complete.
• Contact Medicaid if crossover claim cannot be located.</t>
  </si>
  <si>
    <t>• Obtain the primary payer Explanation of Benefits (EOB) with complete payment details.
• Verify primary payer identity, claim control number, and adjudication amounts.
• Correct COB fields on the claim (paid amount, adjustments, patient responsibility).
• Attach or transmit primary EOB clearly and accurately.
• Resubmit claim to secondary payer.
• If denial applied incorrectly → contact payer with correct information and request reconsideration.</t>
  </si>
  <si>
    <t>• Primary EOB not obtained before billing secondary payer.
• Incomplete COB fields populated during claim submission.
• Data transmission or attachment errors causing missing information.
• Staff unfamiliar with secondary billing requirements.
• Insurance order not verified correctly during registration.
• Illegible or poor-quality scanned documents submitted.</t>
  </si>
  <si>
    <t>• Secondary claim submitted without primary EOB attached → cannot process.
• Primary payment amount field missing or unreadable on claim → rejected.
• COB information transmitted incorrectly through EDI → denial issued.
• Manual claim submitted with illegible primary payer documentation → denied.
• Wrong primary payer listed or missing claim control number → secondary cannot adjudicate.</t>
  </si>
  <si>
    <t>• DME equipment billed without serial number or product identifier → denied.
• Implantable device claim missing manufacturer device number → denial issued.
• UPN entered incorrectly or with invalid format → claim rejected.
• Serial number field left blank during claim submission → denial applied.
• System transmission error caused device identifier to drop from claim → payer unable to adjudicate.</t>
  </si>
  <si>
    <t>• Required product identifier not captured during equipment delivery or documentation.
• Data entry errors when entering serial or product numbers.
• Billing system not configured to populate device identifier fields.
• Staff unaware of payer requirements for product identification reporting.
• Interface or clearinghouse issues causing identifier fields to drop.
• Incorrect or incomplete inventory tracking processes.</t>
  </si>
  <si>
    <t>• Verify correct UPN or serial number from equipment or device documentation.
• Ensure identifier format meets payer requirements.
• Correct the claim with accurate product identification information.
• Resubmit claim to payer.
• If denial applied incorrectly → appeal with documentation supporting device identification.
• Check system mapping if multiple claims affected.</t>
  </si>
  <si>
    <t>• Radiology service performed for hospitalized patient but outside provider billed global or technical component → denied.
• Diagnostic test performed in hospital inpatient setting billed by independent entity with TC included → denial issued.
• Pathology or imaging services billed globally instead of professional component only → denial applied.
• Supplier attempts to bill technical portion for inpatient procedure already covered under facility payment → denied.
• Provider unaware patient was admitted at time of service → claim rejected for TC billing.</t>
  </si>
  <si>
    <t>• Billing global or technical component for services performed during inpatient stay.
• Failure to verify patient inpatient status prior to billing.
• Misunderstanding of facility billing responsibility rules.
• System not identifying inpatient overlap during claim creation.
• Staff unaware that inpatient facility payment includes technical costs.
• Incorrect modifier usage (-26 vs global vs -TC).</t>
  </si>
  <si>
    <t>• Verify patient admission status on date of service.
• If patient was inpatient → remove technical component from claim.
• Bill professional component only using modifier -26 if applicable.
• Coordinate with inpatient facility regarding technical reimbursement if contractual arrangement exists.
• Resubmit corrected claim with appropriate modifiers.
• Appeal if patient was not inpatient at time of service and denial applied incorrectly.</t>
  </si>
  <si>
    <t>• Identify which services correspond to each CLIA certification number.
• Split the claim into separate claims — one per CLIA number.
• Ensure correct CLIA number is reported in the appropriate claim field for each submission.
• Verify rendering or performing provider information aligns with CLIA entity.
• Resubmit corrected claims individually.
• Appeal if denial occurred despite correct separation.</t>
  </si>
  <si>
    <t>• Multiple CLIA-certified entities included on one claim submission.
• Failure to split services by performing laboratory.
• Billing system limitations allowing only one CLIA number per claim.
• Staff unaware of CLIA billing requirements.
• Incorrect claim setup when reference labs are involved.
• Interface or mapping errors between lab system and billing system.</t>
  </si>
  <si>
    <t>• Multiple lab tests performed by different laboratory locations with separate CLIA numbers billed together → denied.
• Reference lab services combined with in-house lab services on one claim → payer rejects claim.
• Hospital outreach lab and physician office lab services submitted under single claim despite different CLIA IDs → denial issued.
• Point-of-care testing and external lab testing billed together → denial applied.
• Billing system populated only one CLIA number for multiple lab providers → claim denied.</t>
  </si>
  <si>
    <t>• Annual screening test billed twice within the same year → denied.
• Preventive exam performed again before 12 months from prior visit → denial issued.
• Diagnostic service repeated within frequency window without medical necessity → denied.
• DME supply replacement billed earlier than annual allowance → denial applied.
• Procedure submitted again due to scheduling error or duplicate billing → payer denies second claim.</t>
  </si>
  <si>
    <t>• Service repeated within payer frequency limitation period.
• Failure to verify patient service history prior to billing or scheduling.
• Missing documentation supporting medical necessity for repeat service.
• Incorrect coding (screening vs diagnostic) triggering frequency edit.
• Duplicate claim submission or resubmission without correction indicator.
• Staff unaware of payer frequency rules.</t>
  </si>
  <si>
    <t>• Review prior claim history and confirm date of previously paid service.
• Determine whether repeat service qualifies for medical necessity exception.
• If appropriate → appeal with documentation supporting necessity or clinical indication.
• Correct coding if service should be diagnostic rather than routine screening.
• If denial valid → transfer responsibility to patient only if proper notification obtained.
• Adjust or void duplicate claim if submitted in error.</t>
  </si>
  <si>
    <t>• Preventive screening performed a second time for a patient under 40 when policy allows only one → denied.
• Diagnostic or monitoring test repeated within restricted timeframe without medical necessity → denial issued.
• Genetic or risk-based screening billed more than once for younger patient → denied due to frequency rules.
• Procedure with lifetime or age-based limitation billed again before patient reaches eligible age → denial applied.
• Follow-up screening submitted without qualifying risk factors → payer denies additional service.</t>
  </si>
  <si>
    <t>• Service repeated beyond payer frequency limits for patient age group.
• Failure to verify prior service history before billing.
• Missing documentation supporting medical necessity for repeat service.
• Incorrect coding (screening vs diagnostic) causing frequency edit to trigger.
• Staff unaware of age-based frequency restrictions.
• Duplicate claim submission or scheduling errors.</t>
  </si>
  <si>
    <t>• Review patient history and prior claim dates to confirm frequency limitation.
• Determine whether repeat service was medically necessary and qualifies for exception.
• If appropriate → appeal with documentation supporting medical necessity or risk factors.
• Correct coding if service should be billed as diagnostic instead of screening.
• If denial valid → transfer responsibility to patient only if proper financial notice obtained.
• Adjust account if payer policy clearly restricts coverage.</t>
  </si>
  <si>
    <t>• Screening test billed again before allowed frequency interval expired → denied.
• Procedure repeated within global period without modifier indicating separate service → denial issued.
• Diagnostic imaging repeated within short timeframe without medical necessity → denied.
• DME replacement billed before reasonable useful lifetime expired → denial applied.
• Follow-up service submitted too soon after initial treatment → payer denies as duplicate timeframe service.</t>
  </si>
  <si>
    <r>
      <rPr>
        <b/>
        <sz val="10"/>
        <color theme="1"/>
        <rFont val="Calibri"/>
        <family val="2"/>
      </rPr>
      <t xml:space="preserve">• </t>
    </r>
    <r>
      <rPr>
        <sz val="10"/>
        <color theme="1"/>
        <rFont val="Calibri"/>
        <family val="2"/>
      </rPr>
      <t>Service repeated within payer frequency limitation period.
• Failure to verify prior claim history before billing.
• Missing modifier indicating repeat procedure (e.g., -76, -77, -59) when appropriate.
• Documentation lacking medical necessity for repeated service.
• System or workflow issues causing duplicate submissions.
• Staff unaware of payer frequency rules or global periods.</t>
    </r>
  </si>
  <si>
    <t>• Review prior claim history to identify previously paid service and dates.
• Determine whether repeat service was medically necessary and distinct.
• If appropriate → resubmit or appeal with supporting documentation and correct modifier.
• If duplicate billing occurred → correct or cancel claim as needed.
• Verify global period rules if procedure-related.
• Adjust account if denial is valid under frequency limitations.</t>
  </si>
  <si>
    <t>• CPT or HCPCS code used that became effective after the service date → denied.
• Deleted procedure code billed for a past date of service → denial issued.
• ICD-10 code used from new fiscal year for services performed before update effective date → denied.
• Revenue code or modifier no longer valid for DOS → claim rejected.
• Charge master updated incorrectly causing wrong code version to be billed → denial applied.</t>
  </si>
  <si>
    <t>• Use of outdated or future code sets not aligned with DOS.
• Billing system or charge master not updated correctly.
• Staff unaware of coding update effective dates.
• Automatic coding tools applying current codes instead of DOS-appropriate codes.
• Mapping errors during system upgrades or code library refresh.
• Failure to maintain historical code versions for prior DOS billing.</t>
  </si>
  <si>
    <t>• Verify correct code validity using official coding references for the service date.
• Replace invalid codes with those active on the DOS.
• Confirm modifiers, revenue codes, and diagnosis codes align with DOS requirements.
• Correct and resubmit the claim with appropriate codes.
• If denial applied incorrectly → appeal with coding references supporting validity.
• Review charge master and system configuration if multiple claims affected.</t>
  </si>
  <si>
    <t>• Screening colonoscopy billed for patient under routine coverage criteria without high-risk diagnosis → denied.
• Genetic testing submitted without documentation of family history or risk indicators → denial issued.
• Preventive service covered only for high-risk patients billed with routine screening diagnosis → denied.
• Cardiac or imaging screening submitted without risk-based medical necessity documentation → denial applied.
• Frequency-limited service billed earlier than allowed without high-risk justification → denied.</t>
  </si>
  <si>
    <t>• Missing or incorrect diagnosis codes reflecting high-risk status.
• Documentation does not support payer-defined risk criteria.
• Service billed as screening rather than diagnostic with symptoms present.
• Staff unaware of payer-specific high-risk coverage requirements.
• Incomplete provider documentation regarding patient risk factors.
• Incorrect coding selection or omission of secondary diagnosis codes.</t>
  </si>
  <si>
    <t>• Review payer medical policy to identify qualifying high-risk criteria.
• Verify clinical documentation for risk factors (family history, prior conditions, comorbidities).
• Add appropriate diagnosis codes reflecting high-risk classification if supported.
• Resubmit or appeal with physician documentation demonstrating medical necessity.
• Correct coding if service should be billed as diagnostic rather than screening.
• If patient does not meet criteria → transfer responsibility to patient only if proper notification provided.</t>
  </si>
  <si>
    <t>• Preventive screening (e.g., colon cancer screening) billed for patient younger than 50 without risk factors → denied.
• Age-restricted diagnostic test submitted without documentation supporting early screening criteria → denial issued.
• Procedure covered only for older population billed for younger patient without medical necessity → denied.
• Screening service billed instead of diagnostic service when symptoms exist → denial applied.
• Preventive benefit billed outside payer-approved age range → payer rejects claim.</t>
  </si>
  <si>
    <t>• Patient age does not meet payer medical policy requirements.
• Failure to verify payer coverage guidelines before billing.
• Service billed as screening rather than diagnostic with supporting symptoms.
• Missing documentation supporting high-risk or medical necessity exception.
• Incorrect coding selection not reflecting diagnostic indication.
• Staff unaware of age-based coverage restrictions.</t>
  </si>
  <si>
    <t>• Verify payer policy and age eligibility requirements for the service.
• Review documentation to determine whether medical necessity or high-risk criteria justify coverage.
• If criteria met → appeal with physician notes, symptoms, risk factors, and clinical justification.
• Correct coding if service should be billed as diagnostic rather than screening.
• If service truly non-covered → transfer responsibility to patient only if proper financial notice or ABN obtained.
• If payer misapplied policy → submit reconsideration with policy reference.</t>
  </si>
  <si>
    <t>• Diagnosis submitted with unspecified ICD-10 code when documentation supports a more specific condition → denied.
• Procedure billed with generic HCPCS code instead of specific available code → denial issued.
• Injury code submitted without laterality or encounter type (initial/subsequent) → denied.
• Coding missing required characters (e.g., 7th character in ICD-10) → claim rejected.
• Provider documentation detailed but coder selected unspecified code → denial applied.</t>
  </si>
  <si>
    <t>• Use of unspecified or incomplete diagnosis/procedure codes.
• Failure to include required characters such as laterality, stage, or encounter indicator.
• Staff unfamiliar with coding specificity requirements.
• Documentation supports specificity but coding not updated accordingly.
• System limitations or outdated code libraries.
• Time constraints or coding workflow errors leading to generic code selection.</t>
  </si>
  <si>
    <t>• Review clinical documentation to identify the most specific code supported.
• Select appropriate ICD-10, CPT, or HCPCS code with full specificity.
• Ensure required characters (laterality, stage, episode of care) are included.
• Correct and resubmit the claim with accurate coding.
• If denial applied incorrectly → appeal with documentation supporting code specificity.
• Educate coding staff if issue resulted from knowledge gap.</t>
  </si>
  <si>
    <t>• Procedure billed twice on the same date for the same patient without modifier indicating distinct service → denied.
• Office visit billed on same day as procedure where visit is considered included in procedure payment → denial issued.
• Diagnostic test repeated same day without medical necessity documentation → denied as duplicate.
• Multiple therapy services billed same session without appropriate modifiers → denial applied.
• Provider submits same CPT code again after initial claim processed → payer treats as duplicate service.</t>
  </si>
  <si>
    <t>• Duplicate billing for same service or session.
• Failure to apply appropriate modifiers (e.g., -59, -25, -76, -77) when services are distinct.
• Services bundled under payer coding edits or NCCI rules.
• Lack of awareness of same-day billing limitations.
• System or workflow issues causing duplicate claim submission.
• Documentation not supporting medical necessity for repeated services.</t>
  </si>
  <si>
    <t>• Review previously processed claim to identify overlapping service.
Determine whether services were truly distinct and separately billable.
• If appropriate → submit corrected claim with proper modifier and documentation.
• If duplicate billing occurred → correct or void duplicate claim.
• Appeal denial with medical necessity documentation if services were separate encounters.
• Adjust account if denial is valid per bundling rules.</t>
  </si>
  <si>
    <t>• Service line submitted without a charge amount populated → denied.
• Charge entered as zero or negative value → claim rejected.
• Incorrect decimal placement causing invalid charge amount → denial issued.
• Charge inconsistent with units billed (e.g., high units with minimal charge) → payer unable to process.
• EDI transmission error causing charge field to drop during submission → denial applied.</t>
  </si>
  <si>
    <t>• Charge amount field left blank during charge entry.
• Data entry or formatting errors (decimal or currency issues).
• Mismatch between units and charge amounts.
• System interface or mapping problems causing charges to drop.
• Charge master configuration errors.
• Staff unfamiliar with billing requirements for charge reporting.</t>
  </si>
  <si>
    <t>• Review documentation and charge master to determine correct charge amount.
• Correct the claim with accurate charge values for each service line.
• Verify units and charges are consistent and properly formatted.
Resubmit corrected claim to payer.
• If denial applied incorrectly → appeal with documentation supporting billed charges.
• Check system transmission logs if issue may be technical.</t>
  </si>
  <si>
    <t>• Professional claim submitted without POS code populated → denied.
• Office visit billed with hospital POS instead of office POS → denial issued.
• Procedure performed in outpatient hospital but billed with office POS → claim rejected.
• Telehealth service billed with incorrect POS code → denial applied.
• POS inconsistent with provider enrollment or facility type → payer unable to process claim.</t>
  </si>
  <si>
    <t>• POS field left blank during claim entry.
• Incorrect POS selected due to registration or billing error.
• Mismatch between POS and procedure code or modifier usage.
• Staff unfamiliar with POS coding requirements.
• System configuration errors or mapping issues during claim generation.
• Provider location information not updated in billing system.</t>
  </si>
  <si>
    <t>• Verify correct service location from clinical documentation and scheduling records.
• Confirm appropriate POS code according to payer guidelines.
• Correct the claim with accurate POS information.
• Ensure consistency between POS, procedure code, and modifiers.
• Resubmit corrected claim to payer.
• If denial applied incorrectly → appeal with documentation supporting service location.</t>
  </si>
  <si>
    <t>• Comprehensive metabolic panel components billed individually along with the panel code → payer combines payment.
• Multiple chemistry tests performed using automated equipment on same date → paid as a single panel.
• Lab bills separate automated test codes that overlap with a defined panel → payment consolidated.
• Repeated automated multichannel tests ordered same day without medical necessity documentation → bundled payment applied.
• Provider submits both individual test codes and panel CPT code → duplicate components combined for reimbursement.</t>
  </si>
  <si>
    <t>• Billing individual component tests instead of appropriate panel code.
• Duplicate billing of panel and component services together.
• Lack of awareness of automated multichannel test bundling rules.
• Charge master configuration allowing overlapping laboratory codes.
• Providers ordering multiple overlapping tests without clinical distinction.
• Staff unfamiliar with CPT panel definitions and payer bundling edits.</t>
  </si>
  <si>
    <t>• Review laboratory services billed for the date of service to identify overlapping components.
• Verify CPT coding guidelines for panel vs individual test reporting.
• Correct claim by billing appropriate panel code if components represent a defined panel.
• If tests were medically necessary and distinct → appeal with documentation supporting separate services.
• Remove duplicate or inclusive codes if billed incorrectly.
• Resubmit corrected claim if necessary.</t>
  </si>
  <si>
    <t>• Multiple laboratory panels billed where individual components overlap → payer reduces payment for duplicate components.
• Imaging studies billed with overlapping anatomical areas (e.g., CT abdomen and CT abdomen/pelvis) → payment adjusted.
• Diagnostic procedures performed on same date with similar clinical purpose → payer applies overlap reduction.
• Automated lab panel billed with separate component codes in addition → duplicate payment prevented.
• Repeated testing performed too close in time without medical necessity documentation → payment reduced.</t>
  </si>
  <si>
    <t>• Billing multiple tests that contain overlapping components or bundled services.
• Lack of awareness of panel/component coding rules.
• Duplicate or redundant testing ordered without clear documentation of medical necessity.
• Coding system or charge master configuration allowing overlapping services to be billed separately.
• Staff unfamiliar with payer bundling edits (NCCI, MUE, or payer-specific edits).</t>
  </si>
  <si>
    <t>• Review billed tests to identify overlapping services or bundled components.
• Verify coding guidelines and payer policies for panel vs individual component billing.
• If overlap justified (different purpose or medical necessity) → appeal with supporting documentation.
• Correct claim by removing duplicate or inclusive services if billed incorrectly.
• Resubmit corrected claim if necessary.
• Educate providers regarding appropriate ordering when overlap is not clinically necessary.</t>
  </si>
  <si>
    <t>• Required documentation not submitted with claim when modifier used.
• Documentation submitted but insufficient to justify modifier application.
• Staff unaware that certain modifiers require operative notes or medical records.
• Attachment transmission failure during claim submission.
• Incorrect modifier selection not supported by clinical documentation.
• Workflow gap between coding and billing teams regarding documentation requirements.</t>
  </si>
  <si>
    <t>• Review documentation to confirm whether modifier usage is justified.
• Obtain supporting records (operative note, physician statement, procedure report).
• Submit documentation with reconsideration or appeal requesting adjusted reimbursement.
• Verify modifier accuracy and correct claim if modifier was applied incorrectly.
• If modifier not justified → accept payment at standard rate and adjust account.
• Track payment variance to determine financial impact before appealing.</t>
  </si>
  <si>
    <t>• Modifier -22 (increased procedural services) billed without operative report → paid at standard rate.
• Modifier -52 (reduced services) submitted without explanation → payer ignores modifier and pays normal fee.
• Modifier -53 (discontinued procedure) billed without documentation → payer pays full or different rate.
• Assistant surgeon modifier billed without operative note showing medical necessity → adjustment made.
• Multiple procedure or unusual circumstance modifier applied without records → paid at regular rate.</t>
  </si>
  <si>
    <t>• Institutional claim missing required secondary procedure code related to the primary surgery → denied.
• Anesthesia claim submitted without corresponding surgical procedure code → denial issued.
• UB-04 claim missing “other procedure” information required for inpatient billing → denied.
• Procedure code entered in incorrect format or invalid for date of service → denial applied.
• Claim requiring multiple related procedures but only primary procedure submitted → payer unable to process.</t>
  </si>
  <si>
    <t>• Required secondary or related procedure codes not captured during coding or billing.
• Incorrect or invalid procedure codes entered in other procedure fields.
• Mismatch between primary procedure and supporting procedure information.
• System mapping issues causing secondary procedure fields to drop during claim generation.
• Staff unfamiliar with institutional claim requirements for other procedures.
• Documentation incomplete or unclear regarding performed procedures.</t>
  </si>
  <si>
    <t>• Review clinical documentation to identify all procedures performed.
• Verify correct procedure codes and ensure validity for date of service.
• Add or correct required other procedure codes in appropriate claim fields.
• Ensure consistency between primary and secondary procedure codes.
• Resubmit corrected claim to payer.
• If denial applied incorrectly → appeal with operative or clinical documentation supporting procedures performed.</t>
  </si>
  <si>
    <t>• Radiology procedure billed globally without splitting modifier -26 and -TC when required → denied.
• Purchased diagnostic test billed with full CPT code including professional component → payer rejects claim.
• Independent diagnostic testing facility billing without separating components → denial issued.
• Professional interpretation provided by different entity but billed together → denial applied.
• Price-limited diagnostic test submitted without component separation → claim denied.</t>
  </si>
  <si>
    <t>• Failure to split professional and technical components during billing.
• Incorrect use of global procedure code when components should be separated.
• Misunderstanding of payer rules for price-limited diagnostic tests.
• System configuration or charge master setup combining components incorrectly.
• Staff unfamiliar with modifier -26 and -TC billing requirements.</t>
  </si>
  <si>
    <t>• Review documentation to determine which entity performed technical and professional components.
Split the service into two line items:
• Technical component with modifier -TC
• Professional component with modifier -26
• Ensure correct rendering provider and billing entity for each component.
• Resubmit corrected claim with separated components.
• Appeal if denial occurred despite correct component billing.</t>
  </si>
  <si>
    <t>• Purchased diagnostic imaging test billed with two interpreting physicians on one claim → denied.
• Group practice submits multiple professional interpretations for the same purchased test under one claim → payer rejects additional interpretations.
• Different radiologists interpreted different portions of the study but billed together → denial issued.
• Modifier -26 services billed for multiple physicians without separate claims → denial applied.
• Purchased test billed globally with multiple rendering providers listed → claim rejected.</t>
  </si>
  <si>
    <t>• Multiple interpreting providers included on a single claim instead of separate submissions.
• Misunderstanding of purchased diagnostic test billing rules.
• Incorrect claim setup for modifier -26 professional component billing.
• System configuration allowing multiple rendering providers on one claim line.
• Staff unfamiliar with CMS purchased diagnostic test requirements.</t>
  </si>
  <si>
    <t>• Identify each interpreting physician associated with the diagnostic test.
• Split the claim into separate claims — one per interpreting physician.
• Ensure correct use of modifier -26 (professional component) where applicable.
• Verify purchased diagnostic test indicator and supplier information are correctly reported.
• Resubmit corrected claims individually for each interpreting provider.
• Appeal if denial occurred despite correct single interpretation billing.</t>
  </si>
  <si>
    <t>• DME equipment billed without submitting CMN form → denied.
• Oxygen therapy claim submitted but CMN not attached or not on file → denial issued.
• CMN completed but missing required fields (diagnosis, physician signature, dates) → denied.
• Payer requested CMN during audit or Additional Documentation Request (ADR) but not received → claim denied.
• Outdated CMN used after recertification period expired → denial applied.</t>
  </si>
  <si>
    <t>• CMN not obtained prior to claim submission.
• Incomplete or invalid CMN documentation.
• Missing physician signature or certification date.
• Failure to respond to payer documentation request within timeframe.
• Workflow gaps between clinical staff and billing team.
• Documentation stored but not transmitted to payer due to system or process failure.
S• taff unaware of services requiring CMN.</t>
  </si>
  <si>
    <t>• Confirm whether a valid CMN exists that meets payer requirements.
• Obtain completed CMN with correct diagnosis, physician signature, and certification dates if missing.
• Submit CMN documentation via payer portal, attachment, fax, or reconsideration process.
• If denial followed ADR → include reference number when resubmitting documentation.
• Appeal denial with CMN and supporting medical records if claim was incorrectly denied.
• If CMN cannot be obtained → adjust claim per payer policy.</t>
  </si>
  <si>
    <t>• Institutional claim submitted with statement “from” date but missing “to” date → denied.
• Service line billed with multiple-day span but end date omitted → rejection issued.
• Invalid date entered (future date, incorrect year, or format error) → denial applied.
• To date inconsistent with discharge date or occurrence dates → payer unable to process claim.
• Therapy or rental services billed with span dates but end date missing → claim denied.</t>
  </si>
  <si>
    <t>• To date field left blank during claim entry.
• Data entry errors or incorrect date formatting.
• Mismatch between from date, to date, admission date, or discharge date.
• System interface issues causing end date to drop during claim transmission.
• Staff unfamiliar with date span requirements for institutional billing.
• Incorrect use of single-day vs span date billing logic.</t>
  </si>
  <si>
    <t>• Review documentation to determine correct end date of service.
• Verify consistency between from date, to date, discharge date, and occurrence codes.
• Correct the claim with accurate “to” date information.
• Ensure proper date format according to payer requirements.
• Resubmit corrected claim to payer.
• If denial applied incorrectly → appeal with documentation supporting service dates.</t>
  </si>
  <si>
    <t>• Claim submitted with incorrect payer ID causing it to route to the wrong insurance → denied.
• Electronic claim transmitted without payer identifier populated → rejection issued.
• Payer ID outdated after payer merger or system change → claim denied.
• Secondary claim submitted with wrong payer identifier for coordination of benefits → denied.
• Manual entry error causing invalid payer number format → claim rejected.</t>
  </si>
  <si>
    <t>• Incorrect payer selected during claim creation.
• Outdated payer ID tables in billing system or clearinghouse.
• Data entry mistakes when entering payer information.
• System mapping or interface errors causing payer identifier to drop.
• Staff unfamiliar with payer-specific routing requirements.
• Insurance information not verified during registration.</t>
  </si>
  <si>
    <t>• Verify correct payer information from patient insurance card or eligibility response.
• Confirm payer ID using clearinghouse or payer reference tools.
• Correct the claim with accurate payer identifier details.
• Resubmit claim to the correct payer.
• If claim routed incorrectly previously → ensure duplicate billing does not occur.
• Contact payer or clearinghouse if identifier discrepancies persist.</t>
  </si>
  <si>
    <t>• Anti-nausea medication prescribed for home use without an accompanying covered oral chemotherapy drug → denied.
• Oral anti-emetic billed separately when chemotherapy drug was not billed or not covered → denial issued.
• Patient receiving IV chemotherapy (covered under Part B) but oral anti-emetic dispensed for home use → anti-emetic denied as self-administered.
• Anti-emetic prescribed for non-cancer diagnosis (e.g., general nausea) but billed to Part B → denied.
• Oral chemotherapy denied for medical necessity, causing associated anti-emetic also to deny → denial applied.</t>
  </si>
  <si>
    <t>• Anti-emetic classified as self-administered drug (SAD) under payer rules.
• No covered oral anti-cancer medication billed on the same claim or treatment episode.
• Incorrect benefit billed (Part B instead of Part D or pharmacy benefit).
• Documentation missing linking anti-emetic use to oral chemotherapy regimen.
• Provider unaware of payer requirement that anti-emetic coverage depends on chemotherapy coverage.
• Coding or billing sequence errors causing chemotherapy drug not to adjudicate properly.</t>
  </si>
  <si>
    <t>• Verify whether a covered oral anti-cancer drug was prescribed and billed appropriately.
• Confirm diagnosis and treatment plan supporting chemotherapy-related nausea prevention.
• If oral chemotherapy qualifies under coverage → resubmit or appeal with documentation linking anti-emetic to treatment.
• If medication is truly self-administered and not covered → bill through pharmacy benefit (Part D or commercial RX plan) if applicable.
• Transfer patient responsibility if allowed and patient notified appropriately.
• Appeal if payer incorrectly applied self-administered drug classification.</t>
  </si>
  <si>
    <t>• Institutional claim submitted with line item charges but total charge field left blank → denied.
• Total charges do not equal the sum of revenue code line charges → rejection or denial issued.
• Claim transmitted with zero or negative total charges → denial applied.
• Data transmission error caused total charge field to drop during EDI submission → claim denied.
• Currency formatting or decimal error resulted in invalid total amount → payer unable to adjudicate.</t>
  </si>
  <si>
    <t>• Total charge field not populated correctly during claim creation.
• Mismatch between service line charges and claim header total.
• System interface or clearinghouse mapping errors.
• Manual data entry mistakes or rounding discrepancies.
• Billing software configuration issues causing incorrect totals.
• Staff unfamiliar with reconciliation requirements for institutional claims.</t>
  </si>
  <si>
    <t>• Review claim details and calculate total charges based on service line amounts.
• Correct the claim header total charge field to match the sum of all lines.
• Verify currency format and decimal placement accuracy.
• Ensure consistency between revenue codes, CPT codes, and total charges.
• Resubmit corrected claim to payer.
• If denial applied incorrectly → appeal with documentation showing correct total charges.</t>
  </si>
  <si>
    <t>• Therapy or infusion services billed without units or with incorrect unit calculation → denied.
• Inpatient or SNF claim missing covered days, non-covered days, or length of stay information → denial issued.
• DME rental claim submitted without monthly rental units → denied.
• Procedure billed with units exceeding payer Medically Unlikely Edits (MUE) limits → denial applied.
• Time-based CPT codes billed with units inconsistent with documentation minutes → claim rejected.</t>
  </si>
  <si>
    <t>• Units or days field left blank or entered incorrectly during charge capture.
• Mismatch between clinical documentation and billed units.
• Incorrect conversion of time into billable units for time-based services.
• System configuration or interface issues causing units to drop during claim transmission.
• Staff unfamiliar with payer rules, MUE limits, or unit billing guidelines.
• Revenue code and units mismatch on institutional claims.</t>
  </si>
  <si>
    <t>• Review clinical documentation to determine accurate units or days of service.
• Verify CPT/HCPCS guidelines and payer policies for allowable units.
• Correct claim with proper units, covered days, or rental months.
Ensure consistency between procedure code, revenue code, and units billed.
• Resubmit corrected claim to payer.
• If denial incorrect → appeal with documentation supporting billed units and medical necessity.</t>
  </si>
  <si>
    <t>• Institutional claim submitted without statement “from” date → denied.
• Service line missing from date while through date present → rejection or denial issued.
• Invalid date format or impossible date entered (e.g., future date, wrong year) → claim denied.
• From date inconsistent with admission date or occurrence dates → denial applied.
• Multiple-day service billed but start date missing → payer unable to determine service period.</t>
  </si>
  <si>
    <r>
      <t xml:space="preserve">• Date of service field left blank during claim entry.
• Data entry error or incorrect date format.
• Mismatch between service line dates and claim header dates.
</t>
    </r>
    <r>
      <rPr>
        <b/>
        <sz val="10"/>
        <color theme="1"/>
        <rFont val="Calibri"/>
        <family val="2"/>
      </rPr>
      <t xml:space="preserve">• </t>
    </r>
    <r>
      <rPr>
        <sz val="10"/>
        <color theme="1"/>
        <rFont val="Calibri"/>
        <family val="2"/>
      </rPr>
      <t>System interface issues causing dates to drop during transmission.
• Staff unfamiliarity with institutional billing date requirements.
• Incorrect use of span dates or service period logic.</t>
    </r>
  </si>
  <si>
    <t>• Review documentation to determine correct start date of service.
• Verify consistency between from date, through date, admission date, and occurrence codes.
• Correct the claim with accurate “from” date information.
• Ensure proper date format according to payer requirements.
• Resubmit corrected claim to payer.
• If denial applied incorrectly → appeal with supporting documentation showing service dates.</t>
  </si>
  <si>
    <t>• Claim submitted without a CPT/HCPCS code populated on the service line → denied.
• Invalid or deleted procedure code used for the date of service → denial issued.
• HCPCS code billed without required modifiers causing code to be considered incomplete → denied.
• Procedure code inconsistent with place of service or revenue code → claim rejected.
• Typographical error in CPT code resulting in unrecognized code → denial applied.</t>
  </si>
  <si>
    <t>• Procedure code field left blank or populated incorrectly during charge entry.
• Use of outdated or deleted CPT/HCPCS codes not valid for service date.
• Missing required modifiers causing code to be incomplete.
• Mismatch between procedure code and diagnosis, revenue code, or POS.
• System mapping errors between charge master and billing system.
• Staff unfamiliarity with coding updates or payer requirements.</t>
  </si>
  <si>
    <t>• Review medical documentation to identify correct procedure performed.
• Verify CPT/HCPCS code validity for the date of service using current coding references.
• Add required modifiers if applicable.
• Correct claim with valid procedure code(s) and resubmit.
• Ensure consistency between procedure codes, diagnosis codes, and billing details.
• If denial applied incorrectly → appeal with documentation supporting correct coding.</t>
  </si>
  <si>
    <t>• Therapy services billed without units or with incorrect number of units → denied.
• Inpatient or SNF claim missing covered days or length of stay information → denial issued.
• DME rental claim submitted without rental month units → denied.
• Procedure code billed with units exceeding payer maximum allowed per day → denial applied.
• Units entered inconsistent with time-based CPT coding documentation → claim rejected.</t>
  </si>
  <si>
    <t>• Units or days field left blank or populated incorrectly during billing.
• Mismatch between documentation and billed units.
• Coding errors for time-based or per-session procedures.
• System configuration issues causing units to drop during claim transmission.
• Staff unfamiliarity with payer unit billing requirements or CPT guidelines.
• Data entry mistakes or incorrect unit conversions (minutes vs units).</t>
  </si>
  <si>
    <t>• Review clinical documentation to confirm correct units or days of service.
• Verify CPT/HCPCS guidelines and payer policies for allowable units.
• Correct the claim with accurate units or covered days information.
• Ensure consistency between revenue codes, CPT codes, and units reported.
• Resubmit corrected claim to payer.
• If denial incorrect → appeal with documentation supporting billed units.
• | Range | Description 
| 0001–0009 | Total Charges 
| 0100–0169 | Room &amp; Board (Inpatient)
| 0170–0179 | Nursery 
| 0180–0189 | Leave of Absence 
| 0190–0199 | Subacute Care 
| 0200–0209 | Intensive Care 
| 0210–0219 | Coronary Care 
| 0220–0229 | Special Charges 
| 0230–0239 | Incremental Nursing 
| 0240–0249 | All-Inclusive Room &amp; Board 
| 0250–0259 | Pharmacy 
| 0260–0269 | IV Therapy
| 0270–0279 | Medical/Surgical Supplies 
| 0280–0289 | Oncology 
| 0290–0299 | Durable Medical Equipment 
| 0300–0309 | Laboratory 
| 0310–0319 | Laboratory Pathology 
| 0320–0329 | Radiology Diagnostic 
| 0330–0339 | Radiology Therapeutic 
| 0340–0349 | Nuclear Medicine 
| 0350–0359 | CT Scan 
| 0360–0369 | Operating Room 
| 0370–0379 | Anesthesia 
| 0380–0389 | Blood 
| 0390–0399 | Blood Storage 
| 0400–0409 | Other Imaging 
| 0410–0419 | Respiratory Services 
| 0420–0429 | Physical Therapy 
| 0430–0439 | Occupational Therapy 
| 0440–0449 | Speech Therapy 
| 0450–0459 | Emergency Room 
| 0460–0469 | Pulmonary Function 
| 0470–0479 | Audiology 
| 0480–0489 | Cardiology 
| 0490–0499 | Ambulatory Surgery 
| 0500–0509 | Outpatient Services
| 0510–0519 | Clinic 
| 0520–0529 | Free-Standing Clinic G34
| 0530–0539 | Community Mental Health 
| 0540–0549 | Ambulance 
| 0550–0559 | Skilled Nursing 
| 0560–0569 | Medical Social Services 
| 0570–0579 | Home Health Aide 
| 0580–0589 | Home Health Visit 
| 0590–0599 | Home Health Units 
| 0600–0609 | Oxygen
| 0610–0619 | MRI 
| 0620–0629 | Oncology Pharmacy 
| 0630–0639 | Drugs Requiring Detail Coding 
| 0640–0649 | Hemodialysis 
| 0650–0659 | Hospice 
| 0660–0669 | Skilled Nursing Facility
| 0670–0679 | Outpatient Observation 
| 0680–0689 | Trauma Response 
| 0690–0699 | Preventive Care 
| 0700–0709 | Cast Room 
| 0710–0719 | Recovery Room 
| 0720–0729 | Labor Room 
| 0730–0739 | EKG/ECG 
| 0740–0749 | EEG 
| 0750–0759 | Gastrointestinal 
| 0760–0769 | Specialty Services 
| 0770–0779 | Preventive Services 
| 0780–0789 | Telemedicine 
| 0790–0799 | Lithotripsy 
| 0800–0809 | Inpatient Renal Dialysis
| 0810–0819 | Organ Acquisition 
| 0820–0829 | Hematology 
| 0830–0839 | Oncology 
| 0840–0849 | Pulmonary Rehabilitation 
| 0850–0859 | Residential Treatment 
| 0860–0869 | Reserved 
| 0870–0879 | Behavioral Health 
| 0880–0889 | Miscellaneous 
| 0890–0899 | Special Programs 
| 0900–0909 | Behavioral Health Treatment 
| 0910–0919 | Psychiatric 
| 0920–0929 | Other Diagnostic 
| 0930–0939 | Other Therapeutic 
| 0940–0949 | Other Therapeutic Services 
| 0950–0959 | Other Outpatient 
| 0960–0969 | Professional Fees 
| 0970–0979 | Professional Fees 
| 0980–0989 | Professional Fees 
| 0990–0999 | Professional Fees</t>
  </si>
  <si>
    <t>• Inpatient claim missing value codes for covered days or coinsurance days → denied.
• Medicare Secondary Payer claim submitted without required value code indicating primary payer payment amount → denial issued.
• Claim missing patient liability amount value code required for adjudication → denied.
• Value code entered but associated amount missing or invalid format → claim rejected.
• Incorrect value code used that does not match billing scenario → denial applied.</t>
  </si>
  <si>
    <t>• Required value codes not captured during billing preparation.
• Incorrect or missing monetary amounts associated with value codes.
• Data entry errors or formatting issues during claim creation.
• Mismatch between value codes and occurrence/condition codes on the claim.
• System configuration issues causing value code fields to drop during transmission.
• Staff unfamiliarity with payer-specific value code requirements.</t>
  </si>
  <si>
    <t>• Review payer requirements to determine which value codes and amounts are required.
• Verify accurate financial information from patient account or EOB data.
• Correct the claim by adding or updating value codes and corresponding amounts.
• Ensure consistency with occurrence codes, condition codes, and statement dates.
• Resubmit corrected claim to payer.
• If denial applied incorrectly → appeal with documentation supporting value code information.
• | Code | Description                                        |
| ---- | -------------------------------------------------- |
| 01   | Most common semi-private room rate                 |
| 02   | Hospital has no semi-private rooms                 |
| 03   | Hospital has semi-private rooms but none available |
| 04   | Psychiatric days                                   |
| 05   | Lifetime reserve days                              |
| 06   | Coinsurance days                                   |
| 07   | Covered days                                       |
| 08   | Non-covered days                                   |
| 09   | Coinsurance amount                                 |
| 10   | Lifetime reserve amount                            |
| 11   | Patient liability amount                           |
| 12   | Working aged beneficiary EGHP amount               |
| 13   | ESRD beneficiary EGHP amount                       |
| 14   | No-fault payment amount                            |
| 15   | Workers’ compensation payment amount               |
| 16   | Other government payment amount                    |
| 17   | Patient paid amount                                |
| 18   | Payer paid amount                                  |
| 19   | Blood deductible units                             |
| 20   | Blood deductible amount                            |
| 21   | Blood furnished units                              |
| 22   | Blood replacement units                            |
| 23   | Blood deductible pints                             |
| 24   | Payer covered charges                              |
| 25   | Non-covered charges                                |
| 26   | ESWL kidney stone treatment                        |
| 27   | Medicare outpatient coinsurance                    |
| 28   | Medicare inpatient deductible                      |
| 29   | Medicare inpatient coinsurance                     |
| 30   | Medicare lifetime reserve coinsurance              |
| 31   | Medicare blood deductible                          |
| 32   | Working aged EGHP coinsurance                      |
| 33   | ESRD EGHP coinsurance                              |
| 34   | No-fault coinsurance                               |
| 35   | Workers’ compensation coinsurance                  |
| 36   | Other liability coinsurance                        |
| 37   | Medicare secondary payment                         |
| 38   | Medicare secondary coinsurance                     |
| 39   | Medicare secondary deductible                      |
| 40   | Medicare secondary blood deductible                |
| 41   | Medicare secondary psychiatric days                |
| 42   | Medicare secondary lifetime reserve                |
| 43   | Medicare secondary coinsurance days                |
| 44   | Medicare secondary covered days                    |
| 45   | Accident hour                                      |
| 46   | Number of treatments                               |
| 47   | Hemoglobin reading                                 |
| 48   | Hematocrit reading                                 |
| 49   | EPO units administered                             |
| 50   | Physical therapy visits                            |
| 51   | Occupational therapy visits                        |
| 52   | Speech therapy visits                              |
| 53   | Initial treatment date                             |
| 54   | Last visit date                                    |
| 55   | SNF prior days                                     |
| 56   | SNF covered days                                   |
| 57   | SNF coinsurance days                               |
| 58   | SNF lifetime reserve days                          |
| 59   | SNF non-covered days                               |
| 60   | Home health visits                                 |
| 61   | Home health covered days                           |
| 62   | Home health non-covered days                       |
| 63   | Home health coinsurance visits                     |
| 64   | Home health charges                                |
| 65   | Employer contact information                       |
| 66   | Employer location                                  |
| 67   | Employer telephone                                 |
| 68   | Employer name                                      |
| 69   | Employer address                                   |
| 80   | Covered charges                                    |
| 81   | Non-covered charges                                |
| 82   | Professional component charges                     |
| 83   | Technical component charges                        |</t>
  </si>
  <si>
    <t>• Corrected claim submitted without referencing the original claim ICN/DCN → denied.
• Adjustment or replacement claim includes incorrect payer control number → payer unable to match claim → denial issued.
• Secondary insurance claim submitted without primary payer claim number in required field → denied.
• Void request sent with missing or invalid claim reference number → rejected.
• Manual entry error causing incorrect ICN format or truncated number → denial applied.</t>
  </si>
  <si>
    <t>• Original payer claim control number not captured or stored in billing system.
• Data entry errors during corrected or replacement claim submission.
• Staff unaware of requirement to include ICN/DCN for adjustments or resubmissions.
• Mismatch between payer reference number and claim being corrected.
• System configuration issues causing claim number to drop during EDI transmission.
• Secondary billing workflows not properly referencing primary claim information.</t>
  </si>
  <si>
    <t>• Retrieve the correct payer claim control number from the Explanation of Benefits (EOB) or payer portal.
• Verify the number matches the claim being corrected or adjusted.
• Enter the ICN/DCN/CCN in the appropriate claim field (e.g., REF segment or claim frequency code loop).
• Resubmit the corrected, replacement, or secondary claim with accurate reference information.
• If payer error suspected → contact payer to confirm correct claim control number before resubmission.
• Appeal if denial occurred despite correct reference number submission.</t>
  </si>
  <si>
    <t>• Inpatient claim missing occurrence span code for non-covered days (e.g., patient leave of absence) → denied.
• Hospice patient billing without span dates indicating hospice period overlapping hospital services → denial issued.
• Skilled Nursing Facility (SNF) claim missing benefit period or qualifying stay span → denied.
• Medicare Secondary Payer claim missing occurrence span code indicating liability or no-fault coverage period → denial applied.
• Occurrence span code entered but date range incomplete or inconsistent with statement dates → claim rejected/denied.</t>
  </si>
  <si>
    <t>• Required occurrence span codes not captured during registration or billing workflow.
• Incorrect understanding of payer requirements for reporting date ranges affecting coverage.
• Data entry errors such as missing “from” or “through” dates or invalid date ranges.
• Mismatch between occurrence span codes, condition codes, and claim statement dates.
• System configuration issues causing span codes to drop during claim generation.
• Staff unfamiliarity with UB-04 occurrence span code rules and scenarios.</t>
  </si>
  <si>
    <t>• Review payer requirements to determine which occurrence span code(s) are required.
• Verify accurate date ranges from patient records (non-covered days, hospice period, leave, MSP coverage).
• Correct the claim by adding or updating occurrence span code(s) with proper from–through dates.
• Ensure consistency with condition codes, occurrence codes, and statement period.
• Resubmit corrected claim to payer.
• If denial applied incorrectly → appeal with supporting documentation confirming span dates.
• | Code | Description 
| 70 | Qualifying stay dates for SNF 
| 71 | Full days of non-covered care 
| 72 | First/last visit dates (Home Health) 
| 73 | Benefit eligibility span 
| 74 | Non-covered level of care 
| 75 | SNF level of care dates 
| 76 | Patient liability period 
| 77 | Provider liability period 
| 78 | SNF prior stay dates 
| 79 | Payer code reporting period 
| 80 | Home health recertification period 
| 81 | Home health certification period 
| 82 | Psychiatric residential treatment period 
| 83 | Leave of absence days 
| 84 | Hospice election period 
| 85 | Hospice revocation period 
| 86 | Skilled nursing level of care period 
| 87 | Home health service interruption period 
| 88 | Cost outlier period 
| 89 | Preadmission screening period</t>
  </si>
  <si>
    <t>• Review claim requirements and determine which condition code is required based on payer policy and patient situation.
• Correct the claim by adding the appropriate condition code.
• Verify related fields (occurrence codes, value codes, MSP information) for accuracy and consistency.
• Resubmit corrected claim to payer.
• If denial applied incorrectly → appeal with documentation supporting correct billing scenario.
• Educate staff if issue resulted from workflow or knowledge gap.
• | Code | Description 
| 01 | Military service related 
| 02 | Condition is employment related 
| 03 | Patient covered by insurance not reflected here 
| 04 | Information only bill 
| 05 | Lien has been filed 
| 06 | ESRD patient in first 18 months of Medicare entitlement 
| 07 | Treatment of non-terminal condition for hospice patient 
| 08 | Beneficiary would not provide information concerning other insurance 
| 09 | Neither patient nor spouse employed 
| 10 | Patient and/or spouse employed but no group health coverage 
| 11 | Disabled beneficiary but no LGHP coverage 
| 12 | Working aged beneficiary or spouse with EGHP 
| 13 | End Stage Renal Disease beneficiary in MSP period with EGHP 
| 14 | No-fault including auto accident 
| 15 | Workers’ Compensation 
| 16 | Other government program 
| 17 | Patient is homeless 
| 18 | Maiden name retained 
| 19 | Child retains mother's name 
| 20 | Beneficiary requested billing 
| 21 | Billing for denial notice 
| 22 | Patient on leave of absence 
| 23 | Patient on pass 
| 24 | Home IV patient 
| 25 | Non-covered stay (leave of absence) 
| 26 | Veterans Administration eligible patient 
| 27 | Patient transferred to another facility 
| 28 | Patient and/or spouse’s EGHP is secondary to Medicare 
| 29 | Disabled beneficiary and LGHP is secondary 
| 30 | Qualifying clinical trial 
| 31 | Patient enrolled in Hospice 
| 32 | Patient enrolled in Hospice — unrelated condition 
| 33 | Patient is a Medicaid Qualified Medicare Beneficiary (QMB) 
| 34 | Patient is a Qualified Disabled Working Individual (QDWI) 
| 35 | Patient is a Qualified Individual (QI) 
| 36 | General care patient in hospital 
| 37 | Preadmission screening completed 
| 38 | Preadmission screening not required 
| 39 | Private room medically necessary 
| 40 | Same-day transfer 
| 41 | Partial hospitalization 
| 42 | Continued care not related to inpatient admission 
| 43 | Scheduled payment adjustment 
| 44 | Inpatient admission changed to outpatient 
| 45 | Ambulance limitation 
| 46 | Non-availability of bed 
| 47 | Transfer from another facility 
| 48 | Psychiatric residential treatment center 
| 49 | Product replacement within warranty 
| 50 | Product replacement due to recall 
| 51 | Attestation of unrelated outpatient non-diagnostic service 
| 52 | Hospice patient outside service area 
| 53 | Initial placement of home health patient 
| 54 | No skilled home health visits in billing period 
| 55 | SNF bed not available 
| 56 | Medical appropriateness override 
| 57 | SNF readmission 
| 58 | Treatment authorization 
| 59 | Non-primary ESRD facility 
| 60 | Outpatient therapy plan of care 
| 61 | Immediate referral 
| 62 | Extended treatment 
| 63 | Patient under waiver 
| 64 | Other waiver 
| 65 | Non-primary home health agency 
| 66 | Patient eligible for Medicare but not enrolled 
| 67 | Beneficiary elects not to use lifetime reserve days 
| 68 | Beneficiary elects to use lifetime reserve days 
| 69 | Day outlier 
| 70 | Cost outlier 
| 71 | Full care in unit 
| 72 | Self-administered drug exclusion 
| 73 | Self-administered drug coverage 
| 74 | Home health — visits reduced 
| 75 | Home health — visits increased 
| 76 | Patient liability waiver signed 
| 77 | Provider accepts or is obligated to accept payment 
| 78 | New coverage not implemented 
| 79 | Cost report settlement 
| 80 | Home health recertification 
| 81 | Home health certification 
| 82 | Patient transfers to hospice 
| 83 | Patient revokes hospice 
| 84 | Hospice discharge 
| 85 | Delayed recertification 
| 86 | Delayed certification 
| 87 | Home health election period 
| 88 | Notification of admission 
| 89 | Notification of discharge 
| 90 | Notification of transfer</t>
  </si>
  <si>
    <t>&lt;tr data-carc="CO 4" data-type="co" data-rarc="N13 — Payment based on professional/technical component modifier(s)." data-denial="The claim was processed and payment was determined based on the professional component (modifier -26) and/or technical component (modifier -TC) modifiers submitted. This remark indicates that reimbursement was calculated according to the component billed rather than the global service. It is typically informational but may accompany an adjustment if the modifier changed the allowable amount.\n\nOn the CMS-1500 claim form, modifiers (including -26 or -TC) are reported in Box 24D along with the CPT/HCPCS code. On the UB-04 claim form, component billing is reflected in Form Locator (FL) 44 — HCPCS/Rate/HIPPS Code, and the technical component may also align with appropriate FL 42 — Revenue Code depending on facility billing structure." data-root="• Denial or reduction if modifier missing or incorrect for split-bill services.\n• Patient responsibility (PR) or contractual write-off (CO) may apply for the unpaid component."&gt;&lt;td&gt;&lt;div class="row-num"&gt;#5&lt;/div&gt;&lt;span class="carc-badge co"&gt;CO 4&lt;/span&gt;&lt;/td&gt;&lt;td&gt;&lt;span class="denial-reason"&gt;Invalid Modifier&lt;/span&gt;&lt;/td&gt;&lt;td class="rarc-wrap"&gt;&lt;div class="rarc-id"&gt;N13&lt;/div&gt;&lt;div class="rarc-desc"&gt;Payment based on professional/technical component modifier(s).&lt;/div&gt;&lt;/td&gt;&lt;td class="td-meaning"&gt;The claim was processed and payment was determined based on the professional component (modifier -26) and/or technical component (modifier -TC) modifiers submitted. This remark indicates that reimbursement was calculated according to the component billed rather than the global service. It is typically informational but may accompany an adjustment if the modifier changed the allowable amount.&lt;br&gt;&lt;br&gt;On the CMS-1500 claim form, modifiers (including -26 or -TC) are reported in Box 24D along with the CPT/HCPCS code. On the UB-04 claim form, component billing is reflected in Form Locator (FL) 44 — HCPCS/Rate/HIPPS Code, and the technical component may also align with appropriate FL 42 — Revenue Code depending on facility billing structure.&lt;/td&gt;&lt;td&gt;&lt;div class="chip-row"&gt;&lt;span class="chip chip-green"&gt;Global procedure billed without -26/-TC → payer pays only one component (often technical).&lt;/span&gt;&lt;span class="chip chip-green"&gt;Only -26 (professional) billed → payer pays interpretation fee only.&lt;/span&gt;&lt;span class="chip chip-green"&gt;Only -TC (technical) billed → payer pays facility/equipment portion only.&lt;/span&gt;&lt;span class="chip chip-green"&gt;Seen frequently in radiology, pathology, diagnostic tests (e.g., X-rays, EKGs, lab services).&lt;/span&gt;&lt;/div&gt;&lt;/td&gt;&lt;td&gt;&lt;div class="chip-row"&gt;&lt;span class="chip chip-green"&gt;Denial or reduction if modifier missing or incorrect for split-bill services.&lt;/span&gt;&lt;span class="chip chip-green"&gt;Patient responsibility (PR) or contractual write-off (CO) may apply for the unpaid component.&lt;/span&gt;&lt;/div&gt;&lt;/td&gt;&lt;td class="td-res"&gt;• Verify correct -26/-TC use per CPT guidelines and payer policy.&lt;br&gt;• Resubmit corrected claim with proper modifier if needed.&lt;br&gt;• Appeal with documentation if payer misapplied.&lt;/td&gt;&lt;/tr&gt;</t>
  </si>
  <si>
    <t>&lt;tr data-carc="CO 4" data-type="co" data-rarc="N519 — Invalid combination of HCPCS modifiers." data-denial="The claim was denied because the combination of HCPCS/CPT modifiers submitted on the procedure code was invalid, incompatible, or not allowed together based on payer policy or coding guidelines. Certain modifiers cannot be used in combination because they represent conflicting circumstances (e.g., professional vs technical, bilateral vs multiple procedure logic). When incompatible modifiers are submitted together, the payer cannot adjudicate the claim correctly.\n\nOn the CMS-1500 claim form, modifiers are reported in Box 24D along with the CPT/HCPCS code. On the UB-04 claim form, modifiers are reported in Form Locator (FL) 44 — HCPCS/Rate/HIPPS Code when applicable." data-root="• Line-item denial (often with CARC 4, Group CO or PR).\n• No payment for the affected service line; write-off or patient liability possible."&gt;&lt;td&gt;&lt;div class="row-num"&gt;#6&lt;/div&gt;&lt;span class="carc-badge co"&gt;CO 4&lt;/span&gt;&lt;/td&gt;&lt;td&gt;&lt;span class="denial-reason"&gt;Invalid Modifier&lt;/span&gt;&lt;/td&gt;&lt;td class="rarc-wrap"&gt;&lt;div class="rarc-id"&gt;N519&lt;/div&gt;&lt;div class="rarc-desc"&gt;Invalid combination of HCPCS modifiers.&lt;/div&gt;&lt;/td&gt;&lt;td class="td-meaning"&gt;The claim was denied because the combination of HCPCS/CPT modifiers submitted on the procedure code was invalid, incompatible, or not allowed together based on payer policy or coding guidelines. Certain modifiers cannot be used in combination because they represent conflicting circumstances (e.g., professional vs technical, bilateral vs multiple procedure logic). When incompatible modifiers are submitted together, the payer cannot adjudicate the claim correctly.&lt;br&gt;&lt;br&gt;On the CMS-1500 claim form, modifiers are reported in Box 24D along with the CPT/HCPCS code. On the UB-04 claim form, modifiers are reported in Form Locator (FL) 44 — HCPCS/Rate/HIPPS Code when applicable.&lt;/td&gt;&lt;td&gt;&lt;div class="chip-row"&gt;&lt;span class="chip chip-green"&gt;Invalid modifier combos (e.g., -59 with -51 when not allowed, or -25 on non-E/M service).&lt;/span&gt;&lt;span class="chip chip-green"&gt;Mutually exclusive modifiers (e.g., -LT and -RT on the same line for unilateral code).&lt;/span&gt;&lt;span class="chip chip-green"&gt;Missing required modifier (e.g., no -59/-XU for distinct service under NCCI).&lt;/span&gt;&lt;span class="chip chip-green"&gt;Frequent in Medicare DME, radiology, surgery, or multi-procedure claims.&lt;/span&gt;&lt;/div&gt;&lt;/td&gt;&lt;td&gt;&lt;div class="chip-row"&gt;&lt;span class="chip chip-green"&gt;Line-item denial (often with CARC 4, Group CO or PR).&lt;/span&gt;&lt;span class="chip chip-green"&gt;No payment for the affected service line; write-off or patient liability possible.&lt;/span&gt;&lt;/div&gt;&lt;/td&gt;&lt;td class="td-res"&gt;• Review EOB/ERA for exact modifiers billed and payer policy.&lt;br&gt;• Use payer modifier lookup tool (e.g., Noridian) or NCCI edits to identify conflict.&lt;br&gt;• Correct modifiers and resubmit (or replacement claim with frequency 7).&lt;br&gt;• Appeal with documentation if combo is justifiable (e.g., op notes for -59).&lt;br&gt;Top 5 Common HCPCS Modifier Ranges&lt;br&gt;| Modifier | Description                                      |&lt;br&gt;| -------- | ------------------------------------------------ |&lt;br&gt;| 26       | Professional Component                           |&lt;br&gt;| TC       | Technical Component                              |&lt;br&gt;| 25       | Significant, Separately Identifiable E/M Service |&lt;br&gt;| 59       | Distinct Procedural Service                      |&lt;br&gt;| 76 / 77  | Repeat Procedure by Same / Different Physician   |&lt;/td&gt;&lt;/tr&gt;</t>
  </si>
  <si>
    <t>&lt;tr data-carc="CO 16" data-type="co" data-rarc="N565 — Alert: This non-payable reporting code requires a modifier." data-denial="The service uses a non-payable reporting-only code (e.g., G-code, Q-code, or certain HCPCS codes for quality reporting, tracking, or statutorily non-covered services). The payer is warning that future submissions of this code will be rejected/denied unless a required modifier is added. The current claim may have processed with zero payment due to the missing modifier.\n\nOn the CMS-1500 claim form, modifiers are reported in Box 24D along with the procedure code. On the UB-04 claim form, modifiers are reported in Form Locator (FL) 44 — HCPCS/Rate/HIPPS Code when applicable." data-root="• Informational only on current claim (no payment expected for reporting code).\n• Future claims with same code will deny/reject without the modifier.\n• No appeal needed for current claim; fix for next submissions."&gt;&lt;td&gt;&lt;div class="row-num"&gt;#7&lt;/div&gt;&lt;span class="carc-badge co"&gt;CO 16&lt;/span&gt;&lt;/td&gt;&lt;td&gt;&lt;span class="denial-reason"&gt;Invalid Modifier&lt;/span&gt;&lt;/td&gt;&lt;td class="rarc-wrap"&gt;&lt;div class="rarc-id"&gt;N565&lt;/div&gt;&lt;div class="rarc-desc"&gt;Alert: This non-payable reporting code requires a modifier.&lt;/div&gt;&lt;/td&gt;&lt;td class="td-meaning"&gt;The service uses a non-payable reporting-only code (e.g., G-code, Q-code, or certain HCPCS codes for quality reporting, tracking, or statutorily non-covered services). The payer is warning that future submissions of this code will be rejected/denied unless a required modifier is added. The current claim may have processed with zero payment due to the missing modifier.&lt;br&gt;&lt;br&gt;On the CMS-1500 claim form, modifiers are reported in Box 24D along with the procedure code. On the UB-04 claim form, modifiers are reported in Form Locator (FL) 44 — HCPCS/Rate/HIPPS Code when applicable.&lt;/td&gt;&lt;td&gt;&lt;div class="chip-row"&gt;&lt;span class="chip chip-green"&gt;Quality reporting codes (e.g., G-codes for MIPS, PQRS legacy, or value-based programs) without required modifier like -QW (CLIA waived), -GY (statutorily excluded), -GA (ABN on file), or payer-specific ones.&lt;/span&gt;&lt;span class="chip chip-green"&gt;Non-payable HCPCS (e.g., certain screening, preventive, or experimental codes) missing modifier for exemption or special handling.&lt;/span&gt;&lt;span class="chip chip-green"&gt;Frequently seen in Medicare claims for advanced beneficiary notices (ABN), waived tests, or bundled services.&lt;/span&gt;&lt;span class="chip chip-green"&gt;Often pairs with CARC 96 (Non-covered charge(s)) or CARC 167 (This (these) diagnosis(es) is (are) not covered).&lt;/span&gt;&lt;/div&gt;&lt;/td&gt;&lt;td&gt;&lt;div class="chip-row"&gt;&lt;span class="chip chip-green"&gt;Informational only on current claim (no payment expected for reporting code).&lt;/span&gt;&lt;span class="chip chip-green"&gt;Future claims with same code will deny/reject without the modifier.&lt;/span&gt;&lt;span class="chip chip-green"&gt;No appeal needed for current claim; fix for next submissions.&lt;/span&gt;&lt;/div&gt;&lt;/td&gt;&lt;td class="td-res"&gt;• Identify the exact non-payable code and required modifier from payer policy (e.g., Medicare LCD/NCD, Noridian/CMS lookup).&lt;br&gt;• For future claims: Add the appropriate modifier (e.g., -GY, -GA, -QW, -59/XU if applicable).&lt;br&gt;• If current claim needs correction (rare for alerts), resubmit with modifier if payer allows.&lt;br&gt;• Required adjustment.&lt;/td&gt;&lt;/tr&gt;</t>
  </si>
  <si>
    <t>&lt;tr data-carc="CO 16" data-type="co" data-rarc="M64 — Missing/incomplete/invalid other diagnosis." data-denial="The claim was denied because the other diagnosis code(s) (secondary or additional diagnoses) were missing, incomplete, invalid, or not reported correctly. Secondary diagnoses are required when they support medical necessity, risk adjustment, complication reporting, or payer-specific coverage policies. If required additional diagnoses are absent or invalid, the payer cannot properly adjudicate the claim. On the CMS-1500 claim form, diagnosis codes are reported in Box 21 (Diagnosis or Nature of Illness/Injury) with pointers referenced in Box 24E. On the UB-04 claim form, diagnoses are reported in Form Locator (FL) 67–67Q (Principal and Other Diagnosis Codes) along with FL 69 — Admitting Diagnosis when applicable." data-root="• Coding error: Overlooking required secondary diagnoses for specificity/medical necessity.\n• Excludes1 violation: Ignoring ICD-10 guidelines where codes can't be used together.\n• Incomplete documentation: Provider notes lack details for additional diagnoses.\n• Billing software glitch: Not validating ICD-10 codes or format pre-submission.\n• Lack of coder training on ICD-10 specificity and payer rules."&gt;&lt;td&gt;&lt;div class="row-num"&gt;#14&lt;/div&gt;&lt;span class="carc-badge co"&gt;CO 16&lt;/span&gt;&lt;/td&gt;&lt;td&gt;&lt;span class="denial-reason"&gt;Invalid Diagnosis&lt;/span&gt;&lt;/td&gt;&lt;td class="rarc-wrap"&gt;&lt;div class="rarc-id"&gt;M64&lt;/div&gt;&lt;div class="rarc-desc"&gt;Missing/incomplete/invalid other diagnosis.&lt;/div&gt;&lt;/td&gt;&lt;td class="td-meaning"&gt;The claim was denied because the other diagnosis code(s) (secondary or additional diagnoses) were missing, incomplete, invalid, or not reported correctly. Secondary diagnoses are required when they support medical necessity, risk adjustment, complication reporting, or payer-specific coverage policies. If required additional diagnoses are absent or invalid, the payer cannot properly adjudicate the claim. On the CMS-1500 claim form, diagnosis codes are reported in Box 21 (Diagnosis or Nature of Illness/Injury) with pointers referenced in Box 24E. On the UB-04 claim form, diagnoses are reported in Form Locator (FL) 67–67Q (Principal and Other Diagnosis Codes) along with FL 69 — Admitting Diagnosis when applicable.&lt;/td&gt;&lt;td&gt;&lt;div class="chip-row"&gt;&lt;span class="chip chip-green"&gt;Secondary diagnosis missing on claim for a procedure requiring supporting comorbidity (e.g., diabetes complicating a wound care service).&lt;/span&gt;&lt;span class="chip chip-green"&gt;ICD-10 Excludes1 conflict: Two mutually exclusive codes billed together (e.g., acute vs. chronic condition that can't coexist).&lt;/span&gt;&lt;span class="chip chip-green"&gt;Incomplete code: 4- or 5-digit ICD-10 code truncated or missing specificity.&lt;/span&gt;&lt;span class="chip chip-green"&gt;Invalid/deactivated code used as secondary diagnosis.&lt;/span&gt;&lt;span class="chip chip-green"&gt;Claim denied by Medicare when other diagnosis doesn't justify medical necessity per NCD/LCD.&lt;/span&gt;&lt;span class="chip chip-green"&gt;Lab/imaging claim rejected due to mismatched or absent supporting secondary diagnosis.&lt;/span&gt;&lt;/div&gt;&lt;/td&gt;&lt;td&gt;&lt;div class="chip-row"&gt;&lt;span class="chip chip-green"&gt;Coding error: Overlooking required secondary diagnoses for specificity/medical necessity.&lt;/span&gt;&lt;span class="chip chip-green"&gt;Excludes1 violation: Ignoring ICD-10 guidelines where codes can't be used together.&lt;/span&gt;&lt;span class="chip chip-green"&gt;Incomplete documentation: Provider notes lack details for additional diagnoses.&lt;/span&gt;&lt;span class="chip chip-green"&gt;Billing software glitch: Not validating ICD-10 codes or format pre-submission.&lt;/span&gt;&lt;span class="chip chip-green"&gt;Lack of coder training on ICD-10 specificity and payer rules.&lt;/span&gt;&lt;/div&gt;&lt;/td&gt;&lt;td class="td-res"&gt;• Review EOB/ERA for exact M64 context and check claim diagnoses.&lt;br&gt;• Verify ICD-10 codes against official guidelines (Excludes1 notes, code validity).&lt;br&gt;• Correct/add valid secondary diagnosis from provider documentation.&lt;br&gt;• Resubmit corrected claim (use frequency 7 for replacement if needed).&lt;br&gt;• Appeal with medical records proving diagnosis support if payer misapplied.&lt;br&gt;• If NCD/LCD involved, reference policy and submit supporting notes.&lt;/td&gt;&lt;/tr&gt;</t>
  </si>
  <si>
    <t>&lt;tr data-carc="CO 16" data-type="co" data-rarc="M76 — Missing/incomplete/invalid diagnosis or condition." data-denial="The claim was denied because the diagnosis or condition code was missing, incomplete, invalid, or not appropriate for the service billed. Diagnosis codes are required to establish medical necessity, determine coverage eligibility, and support reimbursement. If the diagnosis information is absent, invalid, or inconsistent with the procedure performed, the payer cannot adjudicate the claim correctly. On the CMS-1500 claim form, diagnosis codes are reported in Box 21 (Diagnosis or Nature of Illness/Injury) with pointers referenced in Box 24E. On the UB-04 claim form, diagnoses are reported in Form Locator (FL) 67–67Q (Principal and Other Diagnosis Codes) along with FL 69 — Admitting Diagnosis when applicable." data-root="• Coding omission or error when entering diagnosis codes.\n• Incomplete provider documentation lacking details for accurate/specific coding.\n• Violation of ICD-10 guidelines (e.g., insufficient specificity or invalid codes).\n• Billing software or data entry failure to validate diagnosis codes.\n• Overlooking payer-specific requirements (e.g., LCD/NCD diagnosis lists).\n• Claim submitted without pre-check for Dx validity or completeness."&gt;&lt;td&gt;&lt;div class="row-num"&gt;#15&lt;/div&gt;&lt;span class="carc-badge co"&gt;CO 16&lt;/span&gt;&lt;/td&gt;&lt;td&gt;&lt;span class="denial-reason"&gt;Invalid Diagnosis&lt;/span&gt;&lt;/td&gt;&lt;td class="rarc-wrap"&gt;&lt;div class="rarc-id"&gt;M76&lt;/div&gt;&lt;div class="rarc-desc"&gt;Missing/incomplete/invalid diagnosis or condition.&lt;/div&gt;&lt;/td&gt;&lt;td class="td-meaning"&gt;The claim was denied because the diagnosis or condition code was missing, incomplete, invalid, or not appropriate for the service billed. Diagnosis codes are required to establish medical necessity, determine coverage eligibility, and support reimbursement. If the diagnosis information is absent, invalid, or inconsistent with the procedure performed, the payer cannot adjudicate the claim correctly. On the CMS-1500 claim form, diagnosis codes are reported in Box 21 (Diagnosis or Nature of Illness/Injury) with pointers referenced in Box 24E. On the UB-04 claim form, diagnoses are reported in Form Locator (FL) 67–67Q (Principal and Other Diagnosis Codes) along with FL 69 — Admitting Diagnosis when applicable.&lt;/td&gt;&lt;td&gt;&lt;div class="chip-row"&gt;&lt;span class="chip chip-green"&gt;No diagnosis code(s) submitted at all.&lt;/span&gt;&lt;span class="chip chip-green"&gt;Diagnosis lacks ICD-10 required specificity (e.g., missing 7th character for injuries or sequela).&lt;/span&gt;&lt;span class="chip chip-green"&gt;Invalid or deactivated ICD-10 code used.&lt;/span&gt;&lt;span class="chip chip-green"&gt;Diagnosis doesn't support medical necessity per LCD/NCD (e.g., non-covered service without qualifying condition).&lt;/span&gt;&lt;span class="chip chip-green"&gt;Claim for DME, lab, or imaging denied due to missing/invalid supporting diagnosis.&lt;/span&gt;&lt;span class="chip chip-green"&gt;Diagnosis invalid for the date of service or patient demographics.&lt;/span&gt;&lt;/div&gt;&lt;/td&gt;&lt;td&gt;&lt;div class="chip-row"&gt;&lt;span class="chip chip-green"&gt;Coding omission or error when entering diagnosis codes.&lt;/span&gt;&lt;span class="chip chip-green"&gt;Incomplete provider documentation lacking details for accurate/specific coding.&lt;/span&gt;&lt;span class="chip chip-green"&gt;Violation of ICD-10 guidelines (e.g., insufficient specificity or invalid codes).&lt;/span&gt;&lt;span class="chip chip-green"&gt;Billing software or data entry failure to validate diagnosis codes.&lt;/span&gt;&lt;span class="chip chip-green"&gt;Overlooking payer-specific requirements (e.g., LCD/NCD diagnosis lists).&lt;/span&gt;&lt;span class="chip chip-green"&gt;Claim submitted without pre-check for Dx validity or completeness.&lt;/span&gt;&lt;/div&gt;&lt;/td&gt;&lt;td class="td-res"&gt;• Review EOB/ERA and original claim to pinpoint the exact diagnosis issue.&lt;br&gt;• Validate all diagnosis codes against ICD-10 guidelines, date of service, and payer policies (e.g., LCD/NCD).&lt;br&gt;• Correct/add valid, highest-specificity diagnosis from medical record/provider notes.&lt;br&gt;• Resubmit corrected claim (new submission or frequency 7 replacement if applicable).&lt;br&gt;• Appeal with supporting documentation (e.g., progress notes) if payer misapplied the denial.&lt;br&gt;• Use payer portal for self-service reopening (e.g., Noridian Medicare) to update diagnosis if allowed.&lt;/td&gt;&lt;/tr&gt;</t>
  </si>
  <si>
    <t>&lt;tr data-carc="CO 16" data-type="co" data-rarc="MA63 — Missing/incomplete/invalid principal diagnosis." data-denial="The claim was denied because the principal diagnosis was missing, incomplete, invalid, or not reported correctly. The principal diagnosis represents the primary condition chiefly responsible for the patient’s admission or encounter and is required for proper claim adjudication, DRG assignment (for inpatient), and medical necessity determination. If the principal diagnosis is absent or invalid, the payer cannot process the claim. On the UB-04 claim form, the principal diagnosis is reported in Form Locator (FL) 67 — Principal Diagnosis Code. On the CMS-1500 claim form, diagnosis codes (including the primary diagnosis) are reported in Box 21 (Diagnosis or Nature of Illness/Injury) with the primary diagnosis typically listed first and referenced using Box 24E — Diagnosis Pointer." data-root="• Coding error: Omitting or wrong sequencing of principal Dx.\n• Incomplete provider documentation: No clear chief complaint or reason for visit.\n• ICD-10 guideline violation: Ignoring "code first," manifestation rules, or unacceptable principal lists.\n• Clerical/data entry mistake or billing system not validating principal Dx.\n• Failure to check payer-specific rules (e.g., CMS unacceptable Dx for inpatient).\n• Claim submitted without Dx validity/specificity check."&gt;&lt;td&gt;&lt;div class="row-num"&gt;#16&lt;/div&gt;&lt;span class="carc-badge co"&gt;CO 16&lt;/span&gt;&lt;/td&gt;&lt;td&gt;&lt;span class="denial-reason"&gt;Invalid Diagnosis&lt;/span&gt;&lt;/td&gt;&lt;td class="rarc-wrap"&gt;&lt;div class="rarc-id"&gt;MA63&lt;/div&gt;&lt;div class="rarc-desc"&gt;Missing/incomplete/invalid principal diagnosis.&lt;/div&gt;&lt;/td&gt;&lt;td class="td-meaning"&gt;The claim was denied because the principal diagnosis was missing, incomplete, invalid, or not reported correctly. The principal diagnosis represents the primary condition chiefly responsible for the patient’s admission or encounter and is required for proper claim adjudication, DRG assignment (for inpatient), and medical necessity determination. If the principal diagnosis is absent or invalid, the payer cannot process the claim. On the UB-04 claim form, the principal diagnosis is reported in Form Locator (FL) 67 — Principal Diagnosis Code. On the CMS-1500 claim form, diagnosis codes (including the primary diagnosis) are reported in Box 21 (Diagnosis or Nature of Illness/Injury) with the primary diagnosis typically listed first and referenced using Box 24E — Diagnosis Pointer.&lt;/td&gt;&lt;td&gt;&lt;div class="chip-row"&gt;&lt;span class="chip chip-green"&gt;No principal diagnosis submitted on the claim.&lt;/span&gt;&lt;span class="chip chip-green"&gt;Principal Dx missing required ICD-10 specificity (e.g., no 7th character for injury).&lt;/span&gt;&lt;span class="chip chip-green"&gt;Unacceptable principal Dx (e.g., manifestation code, external cause, or "code first" violation).&lt;/span&gt;&lt;span class="chip chip-green"&gt;Deactivated or invalid ICD-10 code used as principal.&lt;/span&gt;&lt;span class="chip chip-green"&gt;Principal Dx fails medical necessity per LCD/NCD (e.g., routine screening without supporting condition).&lt;/span&gt;&lt;span class="chip chip-green"&gt;Inpatient claim denied due to unacceptable principal diagnosis per Medicare Code Edits.&lt;/span&gt;&lt;/div&gt;&lt;/td&gt;&lt;td&gt;&lt;div class="chip-row"&gt;&lt;span class="chip chip-green"&gt;Coding error: Omitting or wrong sequencing of principal Dx.&lt;/span&gt;&lt;span class="chip chip-green"&gt;Incomplete provider documentation: No clear chief complaint or reason for visit.&lt;/span&gt;&lt;span class="chip chip-green"&gt;ICD-10 guideline violation: Ignoring "code first," manifestation rules, or unacceptable principal lists.&lt;/span&gt;&lt;span class="chip chip-green"&gt;Clerical/data entry mistake or billing system not validating principal Dx.&lt;/span&gt;&lt;span class="chip chip-green"&gt;Failure to check payer-specific rules (e.g., CMS unacceptable Dx for inpatient).&lt;/span&gt;&lt;span class="chip chip-green"&gt;Claim submitted without Dx validity/specificity check.&lt;/span&gt;&lt;/div&gt;&lt;/td&gt;&lt;td class="td-res"&gt;• Review EOB/ERA and original claim (CMS-1500 Box 21 or UB-04 FL 67) to identify principal Dx issue.&lt;br&gt;• Validate principal Dx against ICD-10 guidelines, date of service, and payer policies (e.g., CMS unacceptable list).&lt;br&gt;• Correct/add highest-specificity principal Dx from provider notes/records.&lt;br&gt;• Resubmit corrected claim (use frequency 7 replacement if applicable).&lt;br&gt;• Appeal with supporting documentation (e.g., progress notes, H&amp;P) if misapplied.&lt;br&gt;• Use payer portal for reopening/self-correction (e.g., Medicare MACs like Noridian).&lt;/td&gt;&lt;/tr&gt;</t>
  </si>
  <si>
    <t>&lt;tr data-carc="CO 16" data-type="co" data-rarc="MA65 — Missing/incomplete/invalid admitting diagnosis." data-denial="The claim was denied because the admitting diagnosis was missing, incomplete, invalid, or not reported correctly. The admitting diagnosis reflects the patient’s condition at the time of admission and is required for institutional claims to establish the reason for hospitalization and support medical necessity review. If the admitting diagnosis is absent or invalid, the payer cannot adjudicate the claim properly. On the UB-04 claim form, the admitting diagnosis is reported in Form Locator (FL) 69 — Admitting Diagnosis Code. On the CMS-1500 claim form, there is no separate admitting diagnosis field; diagnosis codes (including the primary condition) are reported in Box 21 (Diagnosis or Nature of Illness/Injury) with pointers referenced in Box 24E." data-root="• Admitting diagnosis omitted or entered incorrectly on UB-04 (FL 67).\n• Incomplete provider documentation: Admission notes lack clear reason for inpatient stay.\n• ICD-10 violation: Insufficient specificity, invalid code, or sequencing error.\n• Billing system failed to validate admitting Dx field.\n• Failure to check payer-specific inpatient admitting Dx rules (e.g., CMS unacceptable list)."&gt;&lt;td&gt;&lt;div class="row-num"&gt;#17&lt;/div&gt;&lt;span class="carc-badge co"&gt;CO 16&lt;/span&gt;&lt;/td&gt;&lt;td&gt;&lt;span class="denial-reason"&gt;Invalid Diagnosis&lt;/span&gt;&lt;/td&gt;&lt;td class="rarc-wrap"&gt;&lt;div class="rarc-id"&gt;MA65&lt;/div&gt;&lt;div class="rarc-desc"&gt;Missing/incomplete/invalid admitting diagnosis.&lt;/div&gt;&lt;/td&gt;&lt;td class="td-meaning"&gt;The claim was denied because the admitting diagnosis was missing, incomplete, invalid, or not reported correctly. The admitting diagnosis reflects the patient’s condition at the time of admission and is required for institutional claims to establish the reason for hospitalization and support medical necessity review. If the admitting diagnosis is absent or invalid, the payer cannot adjudicate the claim properly. On the UB-04 claim form, the admitting diagnosis is reported in Form Locator (FL) 69 — Admitting Diagnosis Code. On the CMS-1500 claim form, there is no separate admitting diagnosis field; diagnosis codes (including the primary condition) are reported in Box 21 (Diagnosis or Nature of Illness/Injury) with pointers referenced in Box 24E.&lt;/td&gt;&lt;td&gt;&lt;div class="chip-row"&gt;&lt;span class="chip chip-green"&gt;No admitting diagnosis entered on UB-04 claim → denied.&lt;/span&gt;&lt;span class="chip chip-green"&gt;Admitting Dx lacks ICD-10 specificity (e.g., no 7th character for injury).&lt;/span&gt;&lt;span class="chip chip-green"&gt;Unacceptable admitting Dx (e.g., external cause or manifestation as principal).&lt;/span&gt;&lt;span class="chip chip-green"&gt;Inpatient claim denied due to invalid admitting diagnosis per Medicare Code Edits.&lt;/span&gt;&lt;/div&gt;&lt;/td&gt;&lt;td&gt;&lt;div class="chip-row"&gt;&lt;span class="chip chip-green"&gt;Admitting diagnosis omitted or entered incorrectly on UB-04 (FL 67).&lt;/span&gt;&lt;span class="chip chip-green"&gt;Incomplete provider documentation: Admission notes lack clear reason for inpatient stay.&lt;/span&gt;&lt;span class="chip chip-green"&gt;ICD-10 violation: Insufficient specificity, invalid code, or sequencing error.&lt;/span&gt;&lt;span class="chip chip-green"&gt;Billing system failed to validate admitting Dx field.&lt;/span&gt;&lt;span class="chip chip-green"&gt;Failure to check payer-specific inpatient admitting Dx rules (e.g., CMS unacceptable list).&lt;/span&gt;&lt;/div&gt;&lt;/td&gt;&lt;td class="td-res"&gt;• Review UB-04 FL 67 (or 837I equivalent) and admission notes for admitting Dx issue.&lt;br&gt;• Validate admitting Dx against ICD-10 guidelines, admission date, and payer policies (CMS unacceptable list).&lt;br&gt;• Correct/add valid, highest-specificity admitting Dx from H&amp;P/admission notes.&lt;br&gt;• Resubmit corrected claim (frequency 7 replacement if applicable).&lt;br&gt;• Appeal with supporting documentation (H&amp;P, progress notes) if misapplied.&lt;br&gt;• Use payer portal for reopening/self-correction (e.g., Medicare MACs) if allowed.&lt;/td&gt;&lt;/tr&gt;</t>
  </si>
  <si>
    <t>&lt;tr data-carc="CO 16" data-type="co" data-rarc="N314 — Missing/incomplete/invalid diagnosis date." data-denial="The claim was denied or adjusted because the diagnosis date (date of onset/current illness/injury, usually CMS-1500 Box 14 or UB-04 equivalent occurrence date) is missing, incomplete (e.g., partial date), or invalid (e.g., future date, illogical sequence, date after DOS/admission). Required for injury/accident claims, workers' comp, no-fault, or disability-related services.\nOn the CMS-1500 claim form, related clinical dates are commonly reported in Box 14 — Date of Current Illness/Injury/Pregnancy (LMP) and Box 15 — Other Date when applicable. On the UB-04 claim form, diagnosis-related dates are typically reported using Form Locator (FL) 31–34 — Occurrence Codes and Dates, depending on the clinical situation (e.g., onset of symptoms, accident date)." data-root="• Diagnosis date field (Box 14 CMS-1500 or UB-04 occurrence code/date) left blank.\n• Invalid date entered (future date, before injury, or illogical vs. DOS).\n• Format error (partial date, wrong order).\n• Billing software or manual entry omitted required date field."&gt;&lt;td&gt;&lt;div class="row-num"&gt;#18&lt;/div&gt;&lt;span class="carc-badge co"&gt;CO 16&lt;/span&gt;&lt;/td&gt;&lt;td&gt;&lt;span class="denial-reason"&gt;Invalid Diagnosis&lt;/span&gt;&lt;/td&gt;&lt;td class="rarc-wrap"&gt;&lt;div class="rarc-id"&gt;N314&lt;/div&gt;&lt;div class="rarc-desc"&gt;Missing/incomplete/invalid diagnosis date.&lt;/div&gt;&lt;/td&gt;&lt;td class="td-meaning"&gt;The claim was denied or adjusted because the diagnosis date (date of onset/current illness/injury, usually CMS-1500 Box 14 or UB-04 equivalent occurrence date) is missing, incomplete (e.g., partial date), or invalid (e.g., future date, illogical sequence, date after DOS/admission). Required for injury/accident claims, workers' comp, no-fault, or disability-related services.&lt;br&gt;On the CMS-1500 claim form, related clinical dates are commonly reported in Box 14 — Date of Current Illness/Injury/Pregnancy (LMP) and Box 15 — Other Date when applicable. On the UB-04 claim form, diagnosis-related dates are typically reported using Form Locator (FL) 31–34 — Occurrence Codes and Dates, depending on the clinical situation (e.g., onset of symptoms, accident date).&lt;/td&gt;&lt;td&gt;&lt;div class="chip-row"&gt;&lt;span class="chip chip-green"&gt;Workers' comp claim missing date of current illness/injury (Box 14 CMS-1500).&lt;/span&gt;&lt;span class="chip chip-green"&gt;Auto accident/no-fault claim denied – diagnosis date future or after date of service.&lt;/span&gt;&lt;span class="chip chip-green"&gt;Disability/therapy claim rejected – incomplete date (e.g., month/year only).&lt;/span&gt;&lt;/div&gt;&lt;/td&gt;&lt;td&gt;&lt;div class="chip-row"&gt;&lt;span class="chip chip-green"&gt;Diagnosis date field (Box 14 CMS-1500 or UB-04 occurrence code/date) left blank.&lt;/span&gt;&lt;span class="chip chip-green"&gt;Invalid date entered (future date, before injury, or illogical vs. DOS).&lt;/span&gt;&lt;span class="chip chip-green"&gt;Format error (partial date, wrong order).&lt;/span&gt;&lt;span class="chip chip-green"&gt;Billing software or manual entry omitted required date field.&lt;/span&gt;&lt;/div&gt;&lt;/td&gt;&lt;td class="td-res"&gt;• Review claim (Box 14 CMS-1500 or UB-04 occurrence dates) and provider notes for onset/current illness date.&lt;br&gt;• Correct/add accurate diagnosis date from records (must precede or equal DOS).&lt;br&gt;• Resubmit corrected claim (frequency 7).&lt;br&gt;• Appeal with supporting documentation (e.g., initial visit note, H&amp;P showing onset).&lt;br&gt;• If date unavailable → obtain from provider and resubmit.&lt;/td&gt;&lt;/tr&gt;</t>
  </si>
  <si>
    <t>&lt;tr data-carc="CO 16" data-type="co" data-rarc="N337 — Missing/incomplete/invalid secondary diagnosis date." data-denial="The claim was denied or adjusted because the date associated with a secondary/additional diagnosis (e.g., onset, exacerbation, or known date of secondary condition) is missing, incomplete (e.g., partial date), or invalid (e.g., future date, illogical sequence vs. admission/DOS/principal Dx date). Required mainly on institutional claims (UB-04 occurrence codes/dates or 837I loops) for workers' comp, no-fault, inpatient. On the CMS-1500 claim form, related clinical dates are commonly reported in Box 14 — Date of Current Illness/Injury/Pregnancy (LMP) and Box 15 — Other Date when applicable. On the UB-04 claim form, diagnosis-related dates are typically reported using Form Locator (FL) 31–34 — Occurrence Codes and Dates, depending on the condition or event (e.g., onset of symptoms, accident date)." data-root="• Secondary diagnosis date field (UB-04 occurrence codes 31–34 or 837I equivalent) left blank.\n• Invalid date (future, after discharge, or illogical vs. principal Dx/admission).\n• Format error (partial date, wrong order).\n• Billing software or manual entry omitted required secondary date field."&gt;&lt;td&gt;&lt;div class="row-num"&gt;#19&lt;/div&gt;&lt;span class="carc-badge co"&gt;CO 16&lt;/span&gt;&lt;/td&gt;&lt;td&gt;&lt;span class="denial-reason"&gt;Invalid Diagnosis&lt;/span&gt;&lt;/td&gt;&lt;td class="rarc-wrap"&gt;&lt;div class="rarc-id"&gt;N337&lt;/div&gt;&lt;div class="rarc-desc"&gt;Missing/incomplete/invalid secondary diagnosis date.&lt;/div&gt;&lt;/td&gt;&lt;td class="td-meaning"&gt;The claim was denied or adjusted because the date associated with a secondary/additional diagnosis (e.g., onset, exacerbation, or known date of secondary condition) is missing, incomplete (e.g., partial date), or invalid (e.g., future date, illogical sequence vs. admission/DOS/principal Dx date). Required mainly on institutional claims (UB-04 occurrence codes/dates or 837I loops) for workers' comp, no-fault, inpatient. On the CMS-1500 claim form, related clinical dates are commonly reported in Box 14 — Date of Current Illness/Injury/Pregnancy (LMP) and Box 15 — Other Date when applicable. On the UB-04 claim form, diagnosis-related dates are typically reported using Form Locator (FL) 31–34 — Occurrence Codes and Dates, depending on the condition or event (e.g., onset of symptoms, accident date).&lt;/td&gt;&lt;td&gt;&lt;div class="chip-row"&gt;&lt;span class="chip chip-green"&gt;Inpatient claim with secondary comorbidity (e.g., acute exacerbation of CHF) missing date in occurrence span code → denied.&lt;/span&gt;&lt;span class="chip chip-green"&gt;Workers' comp or no-fault claim denied – secondary diagnosis date after discharge or principal onset without justification.&lt;/span&gt;&lt;span class="chip chip-green"&gt;UB-04 claim rejected – incomplete secondary Dx date (month/year only).&lt;/span&gt;&lt;/div&gt;&lt;/td&gt;&lt;td&gt;&lt;div class="chip-row"&gt;&lt;span class="chip chip-green"&gt;Secondary diagnosis date field (UB-04 occurrence codes 31–34 or 837I equivalent) left blank.&lt;/span&gt;&lt;span class="chip chip-green"&gt;Invalid date (future, after discharge, or illogical vs. principal Dx/admission).&lt;/span&gt;&lt;span class="chip chip-green"&gt;Format error (partial date, wrong order).&lt;/span&gt;&lt;span class="chip chip-green"&gt;Billing software or manual entry omitted required secondary date field.&lt;/span&gt;&lt;/div&gt;&lt;/td&gt;&lt;td class="td-res"&gt;• Review UB-04 occurrence/date fields (or 837I loops) and progress notes for secondary condition timeline.&lt;br&gt;• Correct/add accurate secondary diagnosis date from medical record (must be logical vs. principal/admission/DOS).&lt;br&gt;• Resubmit corrected claim (frequency 7).&lt;br&gt;• Appeal with supporting dated notes (progress notes, H&amp;P) showing secondary condition timeline.&lt;br&gt;• Contact payer (adjuster/portal) for exact field/format required.&lt;/td&gt;&lt;/tr&gt;</t>
  </si>
  <si>
    <t>&lt;tr data-carc="CO 96" data-type="co" data-rarc="N569 — Not covered when performed for the reported diagnosis." data-denial="The service, procedure, or supply is denied because it is not covered under the patient's plan when linked to the specific diagnosis code(s) billed. Payer deems it medically unnecessary, not indicated, or excluded for that diagnosis per policy, LCD/NCD, or plan guidelines. On the CMS-1500 claim form, diagnosis codes are reported in Box 21, with linkage to procedures through Box 24E — Diagnosis Pointer. On the UB-04 claim form, diagnoses are reported in Form Locator (FL) 67–67Q (Principal and Other Diagnosis Codes)." data-root="• Diagnosis code incorrect or not specific enough to support medical necessity.\n• Mismatch between service and payer/LCD/NCD covered diagnosis list.\n• No prior authorization or documentation justifying service for the Dx.\n• Provider billed without checking coverage policy for diagnosis-service pair."&gt;&lt;td&gt;&lt;div class="row-num"&gt;#20&lt;/div&gt;&lt;span class="carc-badge co"&gt;CO 96&lt;/span&gt;&lt;/td&gt;&lt;td&gt;&lt;span class="denial-reason"&gt;Invalid Diagnosis&lt;/span&gt;&lt;/td&gt;&lt;td class="rarc-wrap"&gt;&lt;div class="rarc-id"&gt;N569&lt;/div&gt;&lt;div class="rarc-desc"&gt;Not covered when performed for the reported diagnosis.&lt;/div&gt;&lt;/td&gt;&lt;td class="td-meaning"&gt;The service, procedure, or supply is denied because it is not covered under the patient's plan when linked to the specific diagnosis code(s) billed. Payer deems it medically unnecessary, not indicated, or excluded for that diagnosis per policy, LCD/NCD, or plan guidelines. On the CMS-1500 claim form, diagnosis codes are reported in Box 21, with linkage to procedures through Box 24E — Diagnosis Pointer. On the UB-04 claim form, diagnoses are reported in Form Locator (FL) 67–67Q (Principal and Other Diagnosis Codes).&lt;/td&gt;&lt;td&gt;&lt;div class="chip-row"&gt;&lt;span class="chip chip-green"&gt;Procedure (e.g., cosmetic surgery) billed with non-qualifying diagnosis → denied.&lt;/span&gt;&lt;span class="chip chip-green"&gt;Lab test or imaging denied because Dx not on payer's covered list per LCD.&lt;/span&gt;&lt;span class="chip chip-green"&gt;DME (e.g., brace) not covered for the reported condition per policy.&lt;/span&gt;&lt;span class="chip chip-green"&gt;Therapy or injection denied as not indicated for the specific diagnosis.&lt;/span&gt;&lt;/div&gt;&lt;/td&gt;&lt;td&gt;&lt;div class="chip-row"&gt;&lt;span class="chip chip-green"&gt;Diagnosis code incorrect or not specific enough to support medical necessity.&lt;/span&gt;&lt;span class="chip chip-green"&gt;Mismatch between service and payer/LCD/NCD covered diagnosis list.&lt;/span&gt;&lt;span class="chip chip-green"&gt;No prior authorization or documentation justifying service for the Dx.&lt;/span&gt;&lt;span class="chip chip-green"&gt;Provider billed without checking coverage policy for diagnosis-service pair.&lt;/span&gt;&lt;/div&gt;&lt;/td&gt;&lt;td class="td-res"&gt;• Review EOB/ERA and claim to identify denied service and linked diagnosis.&lt;br&gt;• Check payer LCD/NCD or policy for covered Dx lists.&lt;br&gt;• Correct diagnosis to valid, supporting code from record (higher specificity if needed).&lt;br&gt;• Resubmit corrected claim (frequency 7) with updated Dx.&lt;br&gt;• Appeal with clinical documentation (progress notes, test results) proving necessity for the Dx/service.&lt;br&gt;• If non-covered → post write-off or bill patient (after ABN if Medicare).&lt;/td&gt;&lt;/tr&gt;</t>
  </si>
  <si>
    <t>&lt;tr data-carc="CO 16" data-type="co" data-rarc="M62 — Missing/incomplete/invalid treatment authorization code." data-denial="The claim was denied because the required treatment authorization code (prior authorization number, precertification number, referral number, or authorization number) is missing, incomplete (wrong format, missing digits), or invalid (expired, wrong payer format, not matching service/date). Required for services needing pre-approval (surgery, imaging, therapy, DME, specialty visits, inpatient). On the CMS-1500 claim form, authorization information is typically reported in Box 23 — Prior Authorization Number. On the UB-04 claim form, authorization numbers are reported in Form Locator (FL) 63 — Treatment Authorization Code." data-root="• No prior authorization obtained before rendering service.\n• Authorization number not entered or entered incorrectly on claim.\n• Expired authorization (service date outside approved period).\n• Format mismatch (payer requires specific length/alphanumeric pattern).\n• Billing software/manual entry omitted authorization field."&gt;&lt;td&gt;&lt;div class="row-num"&gt;#27&lt;/div&gt;&lt;span class="carc-badge co"&gt;CO 16&lt;/span&gt;&lt;/td&gt;&lt;td&gt;&lt;span class="denial-reason"&gt;Invalid Authorization&lt;/span&gt;&lt;/td&gt;&lt;td class="rarc-wrap"&gt;&lt;div class="rarc-id"&gt;M62&lt;/div&gt;&lt;div class="rarc-desc"&gt;Missing/incomplete/invalid treatment authorization code.&lt;/div&gt;&lt;/td&gt;&lt;td class="td-meaning"&gt;The claim was denied because the required treatment authorization code (prior authorization number, precertification number, referral number, or authorization number) is missing, incomplete (wrong format, missing digits), or invalid (expired, wrong payer format, not matching service/date). Required for services needing pre-approval (surgery, imaging, therapy, DME, specialty visits, inpatient). On the CMS-1500 claim form, authorization information is typically reported in Box 23 — Prior Authorization Number. On the UB-04 claim form, authorization numbers are reported in Form Locator (FL) 63 — Treatment Authorization Code.&lt;/td&gt;&lt;td&gt;&lt;div class="chip-row"&gt;&lt;span class="chip chip-green"&gt;Elective surgery (knee replacement) billed without prior authorization number.&lt;/span&gt;&lt;span class="chip chip-green"&gt;MRI/CT or advanced imaging denied – missing precertification code.&lt;/span&gt;&lt;span class="chip chip-green"&gt;PT/OT sessions beyond initial limit billed without updated authorization number.&lt;/span&gt;&lt;span class="chip chip-green"&gt;DME (CPAP, wheelchair) submitted without payer authorization/reference number.&lt;/span&gt;&lt;/div&gt;&lt;/td&gt;&lt;td&gt;&lt;div class="chip-row"&gt;&lt;span class="chip chip-green"&gt;No prior authorization obtained before rendering service.&lt;/span&gt;&lt;span class="chip chip-green"&gt;Authorization number not entered or entered incorrectly on claim.&lt;/span&gt;&lt;span class="chip chip-green"&gt;Expired authorization (service date outside approved period).&lt;/span&gt;&lt;span class="chip chip-green"&gt;Format mismatch (payer requires specific length/alphanumeric pattern).&lt;/span&gt;&lt;span class="chip chip-green"&gt;Billing software/manual entry omitted authorization field.&lt;/span&gt;&lt;/div&gt;&lt;/td&gt;&lt;td class="td-res"&gt;• Review EOB/ERA and claim to confirm authorization issue.&lt;br&gt;• Check payer portal or contact payer to verify current/valid authorization.&lt;br&gt;• Correct/add valid authorization number (CMS-1500 Box 23 or 837P REF segment).&lt;br&gt;• Resubmit corrected claim (frequency 7).&lt;br&gt;• If retroactive authorization possible → obtain and resubmit.&lt;br&gt;• Appeal with authorization letter or medical necessity notes if denied incorrectly.&lt;/td&gt;&lt;/tr&gt;</t>
  </si>
  <si>
    <t>&lt;tr data-carc="CO 16" data-type="co" data-rarc="M131 — Missing physician financial relationship form." data-denial="The claim was denied because the required physician financial relationship disclosure form (or certification) is missing, incomplete, or invalid. This form certifies whether the physician has a financial relationship with the supplier/facility providing the service/item (e.g., DME, home health, infusion therapy). There is no specific dedicated field on the CMS-1500 or UB-04 claim forms for this document; however, related provider and referring physician information is reported on the CMS-1500 Box 17 / 17b (Referring Provider) and UB-04 Form Locator (FL) 78–79 (Other Provider Identifiers), with the actual financial relationship form typically submitted separately upon payer request or during enrollment/credentialing." data-root="• Physician financial relationship disclosure form not attached/uploaded.\n• Form incomplete (missing physician signature, date, or relationship details).\n• Provider unaware of Medicare Stark Law/self-referral disclosure requirement.\n• Billing software/manual entry omitted required attachment/indicator."&gt;&lt;td&gt;&lt;div class="row-num"&gt;#75&lt;/div&gt;&lt;span class="carc-badge co"&gt;CO 16&lt;/span&gt;&lt;/td&gt;&lt;td&gt;&lt;span class="denial-reason"&gt;Missing Patient Medical Record&lt;/span&gt;&lt;/td&gt;&lt;td class="rarc-wrap"&gt;&lt;div class="rarc-id"&gt;M131&lt;/div&gt;&lt;div class="rarc-desc"&gt;Missing physician financial relationship form.&lt;/div&gt;&lt;/td&gt;&lt;td class="td-meaning"&gt;The claim was denied because the required physician financial relationship disclosure form (or certification) is missing, incomplete, or invalid. This form certifies whether the physician has a financial relationship with the supplier/facility providing the service/item (e.g., DME, home health, infusion therapy). There is no specific dedicated field on the CMS-1500 or UB-04 claim forms for this document; however, related provider and referring physician information is reported on the CMS-1500 Box 17 / 17b (Referring Provider) and UB-04 Form Locator (FL) 78–79 (Other Provider Identifiers), with the actual financial relationship form typically submitted separately upon payer request or during enrollment/credentialing.&lt;/td&gt;&lt;td&gt;&lt;div class="chip-row"&gt;&lt;span class="chip chip-green"&gt;DME (wheelchair, CPAP) prescribed by physician who owns or has financial interest in supplier → denied without disclosure form.&lt;/span&gt;&lt;span class="chip chip-green"&gt;Home health or infusion therapy claim rejected – missing physician financial relationship certification.&lt;/span&gt;&lt;span class="chip chip-green"&gt;Durable medical equipment or therapy service billed when prescribing physician has ownership stake in provider → no form attached.&lt;/span&gt;&lt;/div&gt;&lt;/td&gt;&lt;td&gt;&lt;div class="chip-row"&gt;&lt;span class="chip chip-green"&gt;Physician financial relationship disclosure form not attached/uploaded.&lt;/span&gt;&lt;span class="chip chip-green"&gt;Form incomplete (missing physician signature, date, or relationship details).&lt;/span&gt;&lt;span class="chip chip-green"&gt;Provider unaware of Medicare Stark Law/self-referral disclosure requirement.&lt;/span&gt;&lt;span class="chip chip-green"&gt;Billing software/manual entry omitted required attachment/indicator.&lt;/span&gt;&lt;/div&gt;&lt;/td&gt;&lt;td class="td-res"&gt;• Obtain completed physician financial relationship form (certifying no prohibited financial relationship or disclosing if any exists).&lt;br&gt;• Attach form to claim (CMS-1500 Box 19 remarks, 837P Loop 2400 NTE, or UB-04 attachment).&lt;br&gt;• Resubmit corrected claim (frequency 7) with form included.&lt;br&gt;• Appeal with signed form and documentation if misapplied or relationship compliant.&lt;/td&gt;&lt;/tr&gt;</t>
  </si>
  <si>
    <t>&lt;tr data-carc="CO 16" data-type="co" data-rarc="M135 — Missing/incomplete/invalid plan of treatment." data-denial="The claim was denied or adjusted because the required plan of treatment (treatment plan, plan of care, or certification) is missing, incomplete (e.g., lacks required elements like goals, frequency, duration, or physician signature), or invalid (e.g., expired, not signed, or not matching services). There is no dedicated claim form field for the plan of treatment on either form; however, related ordering and certification information is reflected on the CMS-1500 Box 17 / 17b (Referring or Ordering Provider) and UB-04 Form Locator (FL) 76–79 (Attending/Other Provider Identifiers)." data-root="• Plan of treatment not attached/uploaded or not included in claim.\n• Plan incomplete (missing goals, frequency, duration, physician certification/signature).\n• Plan expired or not recertified timely (e.g., therapy plans every 30–90 days).\n• Billing software/manual entry omitted required plan attachment/indicator."&gt;&lt;td&gt;&lt;div class="row-num"&gt;#76&lt;/div&gt;&lt;span class="carc-badge co"&gt;CO 16&lt;/span&gt;&lt;/td&gt;&lt;td&gt;&lt;span class="denial-reason"&gt;Missing Patient Medical Record&lt;/span&gt;&lt;/td&gt;&lt;td class="rarc-wrap"&gt;&lt;div class="rarc-id"&gt;M135&lt;/div&gt;&lt;div class="rarc-desc"&gt;Missing/incomplete/invalid plan of treatment.&lt;/div&gt;&lt;/td&gt;&lt;td class="td-meaning"&gt;The claim was denied or adjusted because the required plan of treatment (treatment plan, plan of care, or certification) is missing, incomplete (e.g., lacks required elements like goals, frequency, duration, or physician signature), or invalid (e.g., expired, not signed, or not matching services). There is no dedicated claim form field for the plan of treatment on either form; however, related ordering and certification information is reflected on the CMS-1500 Box 17 / 17b (Referring or Ordering Provider) and UB-04 Form Locator (FL) 76–79 (Attending/Other Provider Identifiers).&lt;/td&gt;&lt;td&gt;&lt;div class="chip-row"&gt;&lt;span class="chip chip-green"&gt;Physical therapy claim beyond initial period denied – no signed plan of care with goals/frequency.&lt;/span&gt;&lt;span class="chip chip-green"&gt;Home health episode billed without updated physician-certified plan of treatment.&lt;/span&gt;&lt;span class="chip chip-green"&gt;Occupational therapy or speech therapy denied – plan missing duration or physician signature/date.&lt;/span&gt;&lt;/div&gt;&lt;/td&gt;&lt;td&gt;&lt;div class="chip-row"&gt;&lt;span class="chip chip-green"&gt;Plan of treatment not attached/uploaded or not included in claim.&lt;/span&gt;&lt;span class="chip chip-green"&gt;Plan incomplete (missing goals, frequency, duration, physician certification/signature).&lt;/span&gt;&lt;span class="chip chip-green"&gt;Plan expired or not recertified timely (e.g., therapy plans every 30–90 days).&lt;/span&gt;&lt;span class="chip chip-green"&gt;Billing software/manual entry omitted required plan attachment/indicator.&lt;/span&gt;&lt;/div&gt;&lt;/td&gt;&lt;td class="td-res"&gt;• Obtain complete, signed plan of treatment from therapist/provider (include goals, frequency, duration, physician certification).&lt;br&gt;• Verify plan matches billed services and is current (not expired).&lt;br&gt;• Attach plan to claim (CMS-1500 Box 19 remarks, 837P Loop 2400 NTE, UB-04 attachment).&lt;br&gt;• Resubmit corrected claim (frequency 7).&lt;br&gt;• Appeal with updated plan and documentation if misapplied or late certification allowed.&lt;/td&gt;&lt;/tr&gt;</t>
  </si>
  <si>
    <t>&lt;tr data-carc="CO 16" data-type="co" data-rarc="M136 — Missing/incomplete/invalid indication that the service was supervised or evaluated by a physician." data-denial="The claim was denied or adjusted because the required indication (statement, modifier, or documentation) that the service was supervised, evaluated, or interpreted by a physician is missing, incomplete, or invalid." data-root="• No indication of physician supervision/evaluation (e.g., Box 19 remarks, modifier, or attached note).\n• Missing/incorrect modifier (e.g., no -AF for assistant-at-surgery or -26 for interpretation).\n• Documentation lacks physician involvement (signature, date, or supervision note).\n• Billing software or manual entry omitted required supervision indicator."&gt;&lt;td&gt;&lt;div class="row-num"&gt;#77&lt;/div&gt;&lt;span class="carc-badge co"&gt;CO 16&lt;/span&gt;&lt;/td&gt;&lt;td&gt;&lt;span class="denial-reason"&gt;Non Covered Charge&lt;/span&gt;&lt;/td&gt;&lt;td class="rarc-wrap"&gt;&lt;div class="rarc-id"&gt;M136&lt;/div&gt;&lt;div class="rarc-desc"&gt;Missing/incomplete/invalid indication that the service was supervised or evaluated by a physician.&lt;/div&gt;&lt;/td&gt;&lt;td class="td-meaning"&gt;The claim was denied or adjusted because the required indication (statement, modifier, or documentation) that the service was supervised, evaluated, or interpreted by a physician is missing, incomplete, or invalid.&lt;/td&gt;&lt;td&gt;&lt;div class="chip-row"&gt;&lt;span class="chip chip-green"&gt;Incident-to service by NP/PA (e.g., E/M or injection) billed without physician supervision indication or -AF modifier.&lt;/span&gt;&lt;span class="chip chip-green"&gt;Diagnostic test interpretation (e.g., ECG, X-ray) denied – no physician evaluation statement or -26 modifier.&lt;/span&gt;&lt;span class="chip chip-green"&gt;Therapy service (PT/OT) billed under non-physician without physician oversight documentation.&lt;/span&gt;&lt;/div&gt;&lt;/td&gt;&lt;td&gt;&lt;div class="chip-row"&gt;&lt;span class="chip chip-green"&gt;No indication of physician supervision/evaluation (e.g., Box 19 remarks, modifier, or attached note).&lt;/span&gt;&lt;span class="chip chip-green"&gt;Missing/incorrect modifier (e.g., no -AF for assistant-at-surgery or -26 for interpretation).&lt;/span&gt;&lt;span class="chip chip-green"&gt;Documentation lacks physician involvement (signature, date, or supervision note).&lt;/span&gt;&lt;span class="chip chip-green"&gt;Billing software or manual entry omitted required supervision indicator.&lt;/span&gt;&lt;/div&gt;&lt;/td&gt;&lt;td class="td-res"&gt;Review claim for supervision/evaluation indicator (CMS-1500 Box 19 remarks, 837P NTE, or modifier).&lt;br&gt;Confirm physician involvement (supervision note, signature, or interpretation report).&lt;br&gt;Correct claim: Add indicator (e.g., “Physician supervised/evaluated service”) or modifier (-26, -AF).&lt;br&gt;Resubmit corrected claim (frequency 7).&lt;br&gt;Appeal with documentation (physician note, supervision log, interpretation report) if misapplied.&lt;/td&gt;&lt;/tr&gt;</t>
  </si>
  <si>
    <t>&lt;tr data-carc="CO 97" data-type="co" data-rarc="M14 — No separate payment for an injection administered during an office visit, and no payment for a full office visit if the patient only received an injection." data-denial="No separate payment allowed for an injection given during an office visit. If the patient only received an injection (no significant E/M service), the office visit is also not payable. The injection is bundled into the visit or considered the primary service." data-root="• Injection billed separately when considered part of office visit.\n• No significant, separately identifiable E/M service documented (missing -25 modifier).\n• Patient visit solely for injection → no billable E/M component.\n• Provider unaware of bundling rules for injections during office visits."&gt;&lt;td&gt;&lt;div class="row-num"&gt;#78&lt;/div&gt;&lt;span class="carc-badge co"&gt;CO 97&lt;/span&gt;&lt;/td&gt;&lt;td&gt;&lt;span class="denial-reason"&gt;Bundling&lt;/span&gt;&lt;/td&gt;&lt;td class="rarc-wrap"&gt;&lt;div class="rarc-id"&gt;M14&lt;/div&gt;&lt;div class="rarc-desc"&gt;No separate payment for an injection administered during an office visit, and no payment for a full office visit if the patient only received an injection.&lt;/div&gt;&lt;/td&gt;&lt;td class="td-meaning"&gt;No separate payment allowed for an injection given during an office visit. If the patient only received an injection (no significant E/M service), the office visit is also not payable. The injection is bundled into the visit or considered the primary service.&lt;/td&gt;&lt;td&gt;&lt;div class="chip-row"&gt;&lt;span class="chip chip-green"&gt;Patient seen only for injection (e.g., corticosteroid 20610) → E/M visit (99213) denied.&lt;/span&gt;&lt;span class="chip chip-green"&gt;Office visit + injection billed; payer bundles injection into visit → no separate payment for injection.&lt;/span&gt;&lt;span class="chip chip-green"&gt;Minor E/M + therapeutic injection same day → E/M denied if not significant/separately identifiable.&lt;/span&gt;&lt;/div&gt;&lt;/td&gt;&lt;td&gt;&lt;div class="chip-row"&gt;&lt;span class="chip chip-green"&gt;Injection billed separately when considered part of office visit.&lt;/span&gt;&lt;span class="chip chip-green"&gt;No significant, separately identifiable E/M service documented (missing -25 modifier).&lt;/span&gt;&lt;span class="chip chip-green"&gt;Patient visit solely for injection → no billable E/M component.&lt;/span&gt;&lt;span class="chip chip-green"&gt;Provider unaware of bundling rules for injections during office visits.&lt;/span&gt;&lt;/div&gt;&lt;/td&gt;&lt;td class="td-res"&gt;• Review documentation: Confirm if significant E/M occurred (history, exam, decision-making beyond injection).&lt;br&gt;• If significant E/M → resubmit with -25 modifier on E/M code.&lt;br&gt;• If only injection → accept denial for E/M and keep injection payment (or vice versa).&lt;br&gt;• Appeal with detailed notes proving separate E/M service if -25 justified.&lt;/td&gt;&lt;/tr&gt;</t>
  </si>
  <si>
    <t>&lt;tr data-carc="CO 16" data-type="co" data-rarc="M141 — Missing physician certified plan of care." data-denial="The claim was denied or adjusted because the required physician-certified plan of care (certification/recertification of medical necessity, including goals, frequency, duration, and physician signature/date) is missing, incomplete, or invalid. Mandatory for ongoing services like home health, hospice, therapy (PT/OT/SLP), or certain chronic/rehab care programs." data-root="• Physician-certified plan of care not attached/uploaded or omitted from claim.\n• Plan incomplete (missing goals, frequency, duration, physician signature/date).\n• Certification/recertification expired or not timely (e.g., home health every 60 days).\n• Billing software/manual entry failed to include required plan attachment."&gt;&lt;td&gt;&lt;div class="row-num"&gt;#79&lt;/div&gt;&lt;span class="carc-badge co"&gt;CO 16&lt;/span&gt;&lt;/td&gt;&lt;td&gt;&lt;span class="denial-reason"&gt;Missing Patient Medical Record&lt;/span&gt;&lt;/td&gt;&lt;td class="rarc-wrap"&gt;&lt;div class="rarc-id"&gt;M141&lt;/div&gt;&lt;div class="rarc-desc"&gt;Missing physician certified plan of care.&lt;/div&gt;&lt;/td&gt;&lt;td class="td-meaning"&gt;The claim was denied or adjusted because the required physician-certified plan of care (certification/recertification of medical necessity, including goals, frequency, duration, and physician signature/date) is missing, incomplete, or invalid. Mandatory for ongoing services like home health, hospice, therapy (PT/OT/SLP), or certain chronic/rehab care programs.&lt;/td&gt;&lt;td&gt;&lt;div class="chip-row"&gt;&lt;span class="chip chip-green"&gt;Home health episode denied – no physician-certified plan of care attached.&lt;/span&gt;&lt;span class="chip chip-green"&gt;Physical therapy beyond initial period denied – missing signed/certified plan with goals/frequency.&lt;/span&gt;&lt;span class="chip chip-green"&gt;Hospice or long-term therapy claim rejected – plan lacks physician signature or recertification date.&lt;/span&gt;&lt;/div&gt;&lt;/td&gt;&lt;td&gt;&lt;div class="chip-row"&gt;&lt;span class="chip chip-green"&gt;Physician-certified plan of care not attached/uploaded or omitted from claim.&lt;/span&gt;&lt;span class="chip chip-green"&gt;Plan incomplete (missing goals, frequency, duration, physician signature/date).&lt;/span&gt;&lt;span class="chip chip-green"&gt;Certification/recertification expired or not timely (e.g., home health every 60 days).&lt;/span&gt;&lt;span class="chip chip-green"&gt;Billing software/manual entry failed to include required plan attachment.&lt;/span&gt;&lt;/div&gt;&lt;/td&gt;&lt;td class="td-res"&gt;• Obtain complete, signed physician-certified plan of care (include goals, frequency, duration, signature/date).&lt;br&gt;• Verify plan matches billed services and is current (not expired).&lt;br&gt;• Attach plan to claim (CMS-1500 Box 19 remarks, 837P Loop 2400 NTE, UB-04 attachment).&lt;br&gt;• Resubmit corrected claim (frequency 7).&lt;br&gt;• Appeal with updated plan and supporting notes if misapplied or late certification allowed.&lt;/td&gt;&lt;/tr&gt;</t>
  </si>
  <si>
    <t>&lt;tr data-carc="CO 16" data-type="co" data-rarc="M143 — The provider must update license information with the payer." data-denial="The claim was denied or rejected because the provider's license information on file with the payer is outdated, incomplete, invalid, expired, or not updated. The payer requires current, valid license details (state license number, expiration date, etc.) to process payment." data-root="• Provider license expired, renewed, or changed but not updated with payer.\n• License number missing, incomplete, or invalid in payer enrollment system.\n• Failure to submit updated license information during credentialing or revalidation.\n• Billing under NPI with outdated payer license record."&gt;&lt;td&gt;&lt;div class="row-num"&gt;#80&lt;/div&gt;&lt;span class="carc-badge co"&gt;CO 16&lt;/span&gt;&lt;/td&gt;&lt;td&gt;&lt;span class="denial-reason"&gt;Credentialling&lt;/span&gt;&lt;/td&gt;&lt;td class="rarc-wrap"&gt;&lt;div class="rarc-id"&gt;M143&lt;/div&gt;&lt;div class="rarc-desc"&gt;The provider must update license information with the payer.&lt;/div&gt;&lt;/td&gt;&lt;td class="td-meaning"&gt;The claim was denied or rejected because the provider's license information on file with the payer is outdated, incomplete, invalid, expired, or not updated. The payer requires current, valid license details (state license number, expiration date, etc.) to process payment.&lt;/td&gt;&lt;td&gt;&lt;div class="chip-row"&gt;&lt;span class="chip chip-green"&gt;Physician or therapist claim denied – license expiration date on file is past current date.&lt;/span&gt;&lt;span class="chip chip-green"&gt;NP/PA or other licensed provider billed after state license renewal not reported to payer.&lt;/span&gt;&lt;span class="chip chip-green"&gt;Provider changed state or license number; old info still on file → claim rejected.&lt;/span&gt;&lt;/div&gt;&lt;/td&gt;&lt;td&gt;&lt;div class="chip-row"&gt;&lt;span class="chip chip-green"&gt;Provider license expired, renewed, or changed but not updated with payer.&lt;/span&gt;&lt;span class="chip chip-green"&gt;License number missing, incomplete, or invalid in payer enrollment system.&lt;/span&gt;&lt;span class="chip chip-green"&gt;Failure to submit updated license information during credentialing or revalidation.&lt;/span&gt;&lt;span class="chip chip-green"&gt;Billing under NPI with outdated payer license record.&lt;/span&gt;&lt;/div&gt;&lt;/td&gt;&lt;td class="td-res"&gt;• Contact payer credentialing/enrollment department to confirm current license status on file.&lt;br&gt;• Submit updated license copy (front/back, expiration date) via payer portal, fax, or mail.&lt;br&gt;• Wait for payer to update record (may take 7–30 days).&lt;br&gt;Resubmit claim after license update confirmed (or appeal once processed).&lt;br&gt;• If urgent → request expedited update or temporary processing.&lt;/td&gt;&lt;/tr&gt;</t>
  </si>
  <si>
    <t>&lt;tr data-carc="CO 97" data-type="co" data-rarc="M144 — Pre-/post-operative care payment is included in the allowance for the surgery/procedure." data-denial="The claim was denied or adjusted because payment for pre-operative and/or post-operative care (e.g., E/M visits, consultations, or related services) is bundled into the global surgical allowance for the primary surgery/procedure. Separate billing is not allowed during the global period (typically 0, 10, or 90 days per CPT)." data-root="• Pre-/post-op service billed separately during global surgical period.\n• No exception modifier (e.g., -24, -79) used for unrelated E/M during global.\n• Provider unaware of global surgery package rules (0/10/90-day periods).\n• Billing software did not flag global period bundling."&gt;&lt;td&gt;&lt;div class="row-num"&gt;#81&lt;/div&gt;&lt;span class="carc-badge co"&gt;CO 97&lt;/span&gt;&lt;/td&gt;&lt;td&gt;&lt;span class="denial-reason"&gt;Bundling&lt;/span&gt;&lt;/td&gt;&lt;td class="rarc-wrap"&gt;&lt;div class="rarc-id"&gt;M144&lt;/div&gt;&lt;div class="rarc-desc"&gt;Pre-/post-operative care payment is included in the allowance for the surgery/procedure.&lt;/div&gt;&lt;/td&gt;&lt;td class="td-meaning"&gt;The claim was denied or adjusted because payment for pre-operative and/or post-operative care (e.g., E/M visits, consultations, or related services) is bundled into the global surgical allowance for the primary surgery/procedure. Separate billing is not allowed during the global period (typically 0, 10, or 90 days per CPT).&lt;/td&gt;&lt;td&gt;&lt;div class="chip-row"&gt;&lt;span class="chip chip-green"&gt;E/M visit day before surgery denied – bundled into surgical global fee.&lt;/span&gt;&lt;span class="chip chip-green"&gt;Post-op follow-up visit within 90-day global period billed separately → denied.&lt;/span&gt;&lt;span class="chip chip-green"&gt;Pre-op consultation or post-op complication management denied – included in surgery allowance.&lt;/span&gt;&lt;/div&gt;&lt;/td&gt;&lt;td&gt;&lt;div class="chip-row"&gt;&lt;span class="chip chip-green"&gt;Pre-/post-op service billed separately during global surgical period.&lt;/span&gt;&lt;span class="chip chip-green"&gt;No exception modifier (e.g., -24, -79) used for unrelated E/M during global.&lt;/span&gt;&lt;span class="chip chip-green"&gt;Provider unaware of global surgery package rules (0/10/90-day periods).&lt;/span&gt;&lt;span class="chip chip-green"&gt;Billing software did not flag global period bundling.&lt;/span&gt;&lt;/div&gt;&lt;/td&gt;&lt;td class="td-res"&gt;• Check global period for surgery code (0, 10, or 90 days) using CPT book or payer tool.&lt;br&gt;• If service unrelated → add appropriate modifier (-24 unrelated E/M, -79 unrelated procedure) and resubmit (frequency 7).&lt;br&gt;• If related → accept bundling and write off separate E/M charge.&lt;br&gt;• Appeal with documentation proving unrelated service if modifier justified.&lt;/td&gt;&lt;/tr&gt;</t>
  </si>
  <si>
    <t>&lt;tr data-carc="CO 96" data-type="co" data-rarc="M17 — Payment Approved Due to Lack of Knowledge of Non-Coverage" data-denial="The claim was paid this time only because the payer determined you did not know (and could not reasonably have been expected to know) that the service was not normally covered for this patient. This is a one-time leniency. In the future, you will be liable for the same or similar non-covered services under the same or similar conditions (no more waivers)." data-root="• Service not normally covered under patient’s plan, but provider had no reasonable way to know (first occurrence, unclear policy).\n• No prior similar denials or warnings for this patient/service.\n• Payer applied one-time “good faith” payment leniency."&gt;&lt;td&gt;&lt;div class="row-num"&gt;#82&lt;/div&gt;&lt;span class="carc-badge co"&gt;CO 96&lt;/span&gt;&lt;/td&gt;&lt;td&gt;&lt;span class="denial-reason"&gt;Non Covered Charge&lt;/span&gt;&lt;/td&gt;&lt;td class="rarc-wrap"&gt;&lt;div class="rarc-id"&gt;M17&lt;/div&gt;&lt;div class="rarc-desc"&gt;Payment Approved Due to Lack of Knowledge of Non-Coverage&lt;/div&gt;&lt;/td&gt;&lt;td class="td-meaning"&gt;The claim was paid this time only because the payer determined you did not know (and could not reasonably have been expected to know) that the service was not normally covered for this patient. This is a one-time leniency. In the future, you will be liable for the same or similar non-covered services under the same or similar conditions (no more waivers).&lt;/td&gt;&lt;td&gt;&lt;div class="chip-row"&gt;&lt;span class="chip chip-green"&gt;Experimental or investigational service paid once due to lack of prior knowledge → future claims denied.&lt;/span&gt;&lt;span class="chip chip-green"&gt;Service outside patient’s benefit plan (e.g., cosmetic procedure miscoded) paid as first occurrence.&lt;/span&gt;&lt;span class="chip chip-green"&gt;Non-covered supply or therapy billed and paid due to reasonable ignorance → subsequent claims liable.&lt;/span&gt;&lt;/div&gt;&lt;/td&gt;&lt;td&gt;&lt;div class="chip-row"&gt;&lt;span class="chip chip-green"&gt;Service not normally covered under patient’s plan, but provider had no reasonable way to know (first occurrence, unclear policy).&lt;/span&gt;&lt;span class="chip chip-green"&gt;No prior similar denials or warnings for this patient/service.&lt;/span&gt;&lt;span class="chip chip-green"&gt;Payer applied one-time “good faith” payment leniency.&lt;/span&gt;&lt;/div&gt;&lt;/td&gt;&lt;td class="td-res"&gt;• Accept this one-time payment (no action needed for current claim).&lt;br&gt;• Document this alert in patient record and billing notes for future reference.&lt;br&gt;• Review patient benefits/policy for the service to understand coverage restrictions.&lt;br&gt;• For future similar services → verify coverage/eligibility before rendering or bill patient upfront.&lt;br&gt;• If future denial occurs → appeal only if new information shows coverage applies.&lt;/td&gt;&lt;/tr&gt;</t>
  </si>
  <si>
    <t>&lt;tr data-carc="CO 96" data-type="co" data-rarc="M18 — Certain Services Not Covered in Hospital or SNF (Home Use Only)." data-denial="The service is covered only when provided for home use. Neither a hospital nor a Skilled Nursing Facility (SNF) qualifies as the patient's home. Claim denied because the place of service (POS) was hospital or SNF instead of home (POS 12 or 14)." data-root="• Incorrect POS code used (e.g., 21/22 hospital or 31 SNF instead of 12 home).\n• Service billed in facility setting but policy restricts to home use only.\n• Provider unaware of payer's "home use" restriction for the item/service.\n• Billing error: Facility claimed home-use service."&gt;&lt;td&gt;&lt;div class="row-num"&gt;#83&lt;/div&gt;&lt;span class="carc-badge co"&gt;CO 96&lt;/span&gt;&lt;/td&gt;&lt;td&gt;&lt;span class="denial-reason"&gt;Non Covered Charge&lt;/span&gt;&lt;/td&gt;&lt;td class="rarc-wrap"&gt;&lt;div class="rarc-id"&gt;M18&lt;/div&gt;&lt;div class="rarc-desc"&gt;Certain Services Not Covered in Hospital or SNF (Home Use Only).&lt;/div&gt;&lt;/td&gt;&lt;td class="td-meaning"&gt;The service is covered only when provided for home use. Neither a hospital nor a Skilled Nursing Facility (SNF) qualifies as the patient's home. Claim denied because the place of service (POS) was hospital or SNF instead of home (POS 12 or 14).&lt;/td&gt;&lt;td&gt;&lt;div class="chip-row"&gt;&lt;span class="chip chip-green"&gt;Home health aide or DME (CPAP, nebulizer) billed with hospital POS → denied.&lt;/span&gt;&lt;span class="chip chip-green"&gt;Respiratory therapy or infusion service in SNF billed as home-use only → rejected.&lt;/span&gt;&lt;span class="chip chip-green"&gt;Certain supplies (ostomy, wound care) provided in hospital/SNF → non-covered.&lt;/span&gt;&lt;/div&gt;&lt;/td&gt;&lt;td&gt;&lt;div class="chip-row"&gt;&lt;span class="chip chip-green"&gt;Incorrect POS code used (e.g., 21/22 hospital or 31 SNF instead of 12 home).&lt;/span&gt;&lt;span class="chip chip-green"&gt;Service billed in facility setting but policy restricts to home use only.&lt;/span&gt;&lt;span class="chip chip-green"&gt;Provider unaware of payer's "home use" restriction for the item/service.&lt;/span&gt;&lt;span class="chip chip-green"&gt;Billing error: Facility claimed home-use service.&lt;/span&gt;&lt;/div&gt;&lt;/td&gt;&lt;td class="td-res"&gt;• Confirm POS code on claim (Box 24B CMS-1500 or 837P CLM05-1) matches actual location.&lt;br&gt;• If service was for home use → correct POS to 12 (home) and resubmit (frequency 7).&lt;br&gt;• If service truly provided in hospital/SNF → accept denial (non-covered in facility).&lt;br&gt;• Appeal with documentation proving home use if POS misapplied or exception exists.&lt;/td&gt;&lt;/tr&gt;</t>
  </si>
  <si>
    <t>&lt;tr data-carc="CO 16" data-type="co" data-rarc="M19 — Missing oxygen certification/re-certification." data-denial="The claim for oxygen therapy or related equipment was denied because the required physician certification or recertification of medical necessity is missing, incomplete, or invalid." data-root="• Initial CMN or recertification form not attached/uploaded or omitted.\n• Certification incomplete (missing flow rate, blood gas results, physician signature/date).\n• Recertification not performed timely (e.g., missed 61-day or 91-day window).\n• Billing software/manual entry failed to include required certification attachment."&gt;&lt;td&gt;&lt;div class="row-num"&gt;#84&lt;/div&gt;&lt;span class="carc-badge co"&gt;CO 16&lt;/span&gt;&lt;/td&gt;&lt;td&gt;&lt;span class="denial-reason"&gt;Missing Patient Medical Record&lt;/span&gt;&lt;/td&gt;&lt;td class="rarc-wrap"&gt;&lt;div class="rarc-id"&gt;M19&lt;/div&gt;&lt;div class="rarc-desc"&gt;Missing oxygen certification/re-certification.&lt;/div&gt;&lt;/td&gt;&lt;td class="td-meaning"&gt;The claim for oxygen therapy or related equipment was denied because the required physician certification or recertification of medical necessity is missing, incomplete, or invalid.&lt;/td&gt;&lt;td&gt;&lt;div class="chip-row"&gt;&lt;span class="chip chip-green"&gt;Home oxygen (E1390) billed without initial CMN certification → denied.&lt;/span&gt;&lt;span class="chip chip-green"&gt;Continued oxygen therapy denied – missing recertification at 61 days or 91 days.&lt;/span&gt;&lt;span class="chip chip-green"&gt;Portable oxygen concentrator claim rejected – no updated certification with blood gas values.&lt;/span&gt;&lt;/div&gt;&lt;/td&gt;&lt;td&gt;&lt;div class="chip-row"&gt;&lt;span class="chip chip-green"&gt;Initial CMN or recertification form not attached/uploaded or omitted.&lt;/span&gt;&lt;span class="chip chip-green"&gt;Certification incomplete (missing flow rate, blood gas results, physician signature/date).&lt;/span&gt;&lt;span class="chip chip-green"&gt;Recertification not performed timely (e.g., missed 61-day or 91-day window).&lt;/span&gt;&lt;span class="chip chip-green"&gt;Billing software/manual entry failed to include required certification attachment.&lt;/span&gt;&lt;/div&gt;&lt;/td&gt;&lt;td class="td-res"&gt;• Obtain complete, signed physician certification/recertification (CMN form with diagnosis, flow rate, blood gas, signature/date).&lt;br&gt;• Verify certification matches billed oxygen (flow, duration, group I/II criteria).&lt;br&gt;• Attach CMN/certification to claim (CMS-1500 Box 19 remarks, 837P Loop 2400 NTE, or UB-04 attachment).&lt;br&gt;• Resubmit corrected claim (frequency 7).&lt;br&gt;• Appeal with updated certification and supporting labs/notes if misapplied.&lt;/td&gt;&lt;/tr&gt;</t>
  </si>
  <si>
    <t>&lt;tr data-carc="CO 97" data-type="co" data-rarc="M2 — Not paid separately when the patient is an inpatient." data-denial="The service or procedure was denied separate payment because the patient was an inpatient at the time of service. Certain services (e.g., consultations, E/M visits, diagnostic tests, injections) are bundled into the inpatient stay payment (DRG or per diem) and cannot be billed separately by the practitioner or facility." data-root="• Service billed separately while patient was inpatient (POS 21 or 51).\n• Provider unaware of inpatient bundling rules (services included in DRG/per diem).\n• Incorrect POS code or failure to coordinate with facility billing.\n• Billing software did not flag inpatient services as bundled."&gt;&lt;td&gt;&lt;div class="row-num"&gt;#85&lt;/div&gt;&lt;span class="carc-badge co"&gt;CO 97&lt;/span&gt;&lt;/td&gt;&lt;td&gt;&lt;span class="denial-reason"&gt;Bundling&lt;/span&gt;&lt;/td&gt;&lt;td class="rarc-wrap"&gt;&lt;div class="rarc-id"&gt;M2&lt;/div&gt;&lt;div class="rarc-desc"&gt;Not paid separately when the patient is an inpatient.&lt;/div&gt;&lt;/td&gt;&lt;td class="td-meaning"&gt;The service or procedure was denied separate payment because the patient was an inpatient at the time of service. Certain services (e.g., consultations, E/M visits, diagnostic tests, injections) are bundled into the inpatient stay payment (DRG or per diem) and cannot be billed separately by the practitioner or facility.&lt;/td&gt;&lt;td&gt;&lt;div class="chip-row"&gt;&lt;span class="chip chip-green"&gt;Consultant E/M visit (99251–99255) billed during inpatient stay → denied (bundled into DRG).&lt;/span&gt;&lt;span class="chip chip-green"&gt;Diagnostic test (e.g., X-ray, lab) performed on inpatient → no separate payment to physician.&lt;/span&gt;&lt;span class="chip chip-green"&gt;Injection or minor procedure during hospitalization denied separate reimbursement.&lt;/span&gt;&lt;/div&gt;&lt;/td&gt;&lt;td&gt;&lt;div class="chip-row"&gt;&lt;span class="chip chip-green"&gt;Service billed separately while patient was inpatient (POS 21 or 51).&lt;/span&gt;&lt;span class="chip chip-green"&gt;Provider unaware of inpatient bundling rules (services included in DRG/per diem).&lt;/span&gt;&lt;span class="chip chip-green"&gt;Incorrect POS code or failure to coordinate with facility billing.&lt;/span&gt;&lt;span class="chip chip-green"&gt;Billing software did not flag inpatient services as bundled.&lt;/span&gt;&lt;/div&gt;&lt;/td&gt;&lt;td class="td-res"&gt;• Confirm patient was inpatient at time of service (check POS 21/51 on claim).&lt;br&gt;• If service truly bundled → accept denial (payment included in inpatient DRG/per diem).&lt;br&gt;• If unrelated/outpatient → correct POS and resubmit (frequency 7).&lt;br&gt;• Appeal with documentation proving service was separate/outpatient if misapplied.&lt;br&gt;• Coordinate with facility billing to ensure inpatient claim covers bundled services.&lt;/td&gt;&lt;/tr&gt;</t>
  </si>
  <si>
    <t>&lt;tr data-carc="CO 16" data-type="co" data-rarc="M20 — Missing/incomplete/invalid HCPCS." data-denial="The claim was denied or adjusted because the HCPCS code is missing, incomplete (e.g., wrong length, partial code), or invalid (e.g., non-existent code, wrong format, deactivated code, or not matching the service billed). HCPCS codes are required for certain supplies, drugs, DME, injections, and procedures (especially Medicare/Medicaid)." data-root="• HCPCS code field left blank or omitted (CMS-1500 Box 24D or 837P Loop 2400 SV202-2).\n• Incomplete/invalid format (wrong length, typo, or deactivated code).\n• Billing software/manual entry error (wrong code selected).\n• Provider unaware HCPCS required for the service/supply/drug."&gt;&lt;td&gt;&lt;div class="row-num"&gt;#86&lt;/div&gt;&lt;span class="carc-badge co"&gt;CO 16&lt;/span&gt;&lt;/td&gt;&lt;td&gt;&lt;span class="denial-reason"&gt;Invalid Procedure Code&lt;/span&gt;&lt;/td&gt;&lt;td class="rarc-wrap"&gt;&lt;div class="rarc-id"&gt;M20&lt;/div&gt;&lt;div class="rarc-desc"&gt;Missing/incomplete/invalid HCPCS.&lt;/div&gt;&lt;/td&gt;&lt;td class="td-meaning"&gt;The claim was denied or adjusted because the HCPCS code is missing, incomplete (e.g., wrong length, partial code), or invalid (e.g., non-existent code, wrong format, deactivated code, or not matching the service billed). HCPCS codes are required for certain supplies, drugs, DME, injections, and procedures (especially Medicare/Medicaid).&lt;/td&gt;&lt;td&gt;&lt;div class="chip-row"&gt;&lt;span class="chip chip-green"&gt;DME (wheelchair, CPAP) billed without HCPCS code (e.g., E1390) → denied.&lt;/span&gt;&lt;span class="chip chip-green"&gt;Injection (e.g., J-code for corticosteroid) submitted without valid HCPCS code.&lt;/span&gt;&lt;span class="chip chip-green"&gt;Supply or orthotic claim rejected – HCPCS code missing or invalid (e.g., old/deactivated code used).&lt;/span&gt;&lt;/div&gt;&lt;/td&gt;&lt;td&gt;&lt;div class="chip-row"&gt;&lt;span class="chip chip-green"&gt;HCPCS code field left blank or omitted (CMS-1500 Box 24D or 837P Loop 2400 SV202-2).&lt;/span&gt;&lt;span class="chip chip-green"&gt;Incomplete/invalid format (wrong length, typo, or deactivated code).&lt;/span&gt;&lt;span class="chip chip-green"&gt;Billing software/manual entry error (wrong code selected).&lt;/span&gt;&lt;span class="chip chip-green"&gt;Provider unaware HCPCS required for the service/supply/drug.&lt;/span&gt;&lt;/div&gt;&lt;/td&gt;&lt;td class="td-res"&gt;• Verify correct HCPCS code from CPT/HCPCS book, payer manual, or FDA/NDC crosswalk.&lt;br&gt;• Correct HCPCS code in claim (Box 24D CMS-1500 or Loop 2400 SV202-2 on 837P).&lt;br&gt;• Resubmit corrected claim (frequency 7).&lt;br&gt;• Appeal with documentation (e.g., invoice, supplier catalog) showing correct HCPCS if misapplied.&lt;br&gt;• If code truly invalid → switch to appropriate code and resubmit.&lt;/td&gt;&lt;/tr&gt;</t>
  </si>
  <si>
    <t>&lt;tr data-carc="CO 16" data-type="co" data-rarc="M21 — Missing/Incomplete/Invalid Place of Residence for Home Service/Item." data-denial="The claim was denied or adjusted because the place of residence (patient's home address or location) for a home-based service or item (e.g., home health, DME delivered to home, home infusion) is missing, incomplete (e.g., partial address), or invalid (e.g., wrong format, PO Box only, or not matching payer records). Required to confirm the service/item was provided in the patient's home and not a facility." data-root="• Place of residence field (CMS-1500 Box 5 or 837P Loop 2010BA) left blank or omitted.\n• Address incomplete (missing apartment, zip code, or street details).\n• Invalid format (PO Box only, commercial address, or facility address used for home service).\n• Billing software/manual entry failed to include or validate residence address."&gt;&lt;td&gt;&lt;div class="row-num"&gt;#87&lt;/div&gt;&lt;span class="carc-badge co"&gt;CO 16&lt;/span&gt;&lt;/td&gt;&lt;td&gt;&lt;span class="denial-reason"&gt;Place Of Service&lt;/span&gt;&lt;/td&gt;&lt;td class="rarc-wrap"&gt;&lt;div class="rarc-id"&gt;M21&lt;/div&gt;&lt;div class="rarc-desc"&gt;Missing/Incomplete/Invalid Place of Residence for Home Service/Item.&lt;/div&gt;&lt;/td&gt;&lt;td class="td-meaning"&gt;The claim was denied or adjusted because the place of residence (patient's home address or location) for a home-based service or item (e.g., home health, DME delivered to home, home infusion) is missing, incomplete (e.g., partial address), or invalid (e.g., wrong format, PO Box only, or not matching payer records). Required to confirm the service/item was provided in the patient's home and not a facility.&lt;/td&gt;&lt;td&gt;&lt;div class="chip-row"&gt;&lt;span class="chip chip-green"&gt;Home health visit (G0154) denied – no patient home address in claim.&lt;/span&gt;&lt;span class="chip chip-green"&gt;DME (CPAP, wheelchair) delivered to home billed without residence address or with invalid PO Box.&lt;/span&gt;&lt;span class="chip chip-green"&gt;Home infusion therapy claim rejected – missing/incomplete patient home location.&lt;/span&gt;&lt;/div&gt;&lt;/td&gt;&lt;td&gt;&lt;div class="chip-row"&gt;&lt;span class="chip chip-green"&gt;Place of residence field (CMS-1500 Box 5 or 837P Loop 2010BA) left blank or omitted.&lt;/span&gt;&lt;span class="chip chip-green"&gt;Address incomplete (missing apartment, zip code, or street details).&lt;/span&gt;&lt;span class="chip chip-green"&gt;Invalid format (PO Box only, commercial address, or facility address used for home service).&lt;/span&gt;&lt;span class="chip chip-green"&gt;Billing software/manual entry failed to include or validate residence address.&lt;/span&gt;&lt;/div&gt;&lt;/td&gt;&lt;td class="td-res"&gt;• Review patient record for correct home address (street, city, state, zip).&lt;br&gt;• Correct claim: Add complete residence address in Box 5 (CMS-1500) or Loop 2010BA (837P).&lt;br&gt;• Resubmit corrected claim (frequency 7).&lt;br&gt;• Appeal with proof of home delivery/service (delivery ticket, visit note) if misapplied.&lt;br&gt;• Confirm address matches payer records (eligibility response or patient file).&lt;/td&gt;&lt;/tr&gt;</t>
  </si>
  <si>
    <t>&lt;tr data-carc="CO 16" data-type="co" data-rarc="M23 — Missing invoice." data-denial="The claim was denied or adjusted because the required invoice (supplier invoice, cost statement, or purchase documentation) is missing, incomplete, or invalid." data-root="• Invoice from supplier not attached/uploaded or omitted from claim.\n• Invoice incomplete (missing cost, date, supplier details, or certification).\n• Billing software/manual entry failed to include required invoice attachment.\n• Provider unaware of payer requirement for invoice on specific items."&gt;&lt;td&gt;&lt;div class="row-num"&gt;#88&lt;/div&gt;&lt;span class="carc-badge co"&gt;CO 16&lt;/span&gt;&lt;/td&gt;&lt;td&gt;&lt;span class="denial-reason"&gt;Missing Invoice Record&lt;/span&gt;&lt;/td&gt;&lt;td class="rarc-wrap"&gt;&lt;div class="rarc-id"&gt;M23&lt;/div&gt;&lt;div class="rarc-desc"&gt;Missing invoice.&lt;/div&gt;&lt;/td&gt;&lt;td class="td-meaning"&gt;The claim was denied or adjusted because the required invoice (supplier invoice, cost statement, or purchase documentation) is missing, incomplete, or invalid.&lt;/td&gt;&lt;td&gt;&lt;div class="chip-row"&gt;&lt;span class="chip chip-green"&gt;DME item (wheelchair, CPAP) billed without supplier invoice showing cost.&lt;/span&gt;&lt;span class="chip chip-green"&gt;Orthotic or prosthetic device denied – no invoice or cost statement attached.&lt;/span&gt;&lt;span class="chip chip-green"&gt;High-cost supply or drug (e.g., specialty injection) rejected – missing purchase invoice.&lt;/span&gt;&lt;/div&gt;&lt;/td&gt;&lt;td&gt;&lt;div class="chip-row"&gt;&lt;span class="chip chip-green"&gt;Invoice from supplier not attached/uploaded or omitted from claim.&lt;/span&gt;&lt;span class="chip chip-green"&gt;Invoice incomplete (missing cost, date, supplier details, or certification).&lt;/span&gt;&lt;span class="chip chip-green"&gt;Billing software/manual entry failed to include required invoice attachment.&lt;/span&gt;&lt;span class="chip chip-green"&gt;Provider unaware of payer requirement for invoice on specific items.&lt;/span&gt;&lt;/div&gt;&lt;/td&gt;&lt;td class="td-res"&gt;• Obtain complete supplier invoice (showing actual cost, item description, date, supplier info).&lt;br&gt;• Attach invoice to claim (CMS-1500 Box 19 remarks, 837P Loop 2400 NTE, or UB-04 attachment).&lt;br&gt;• Resubmit corrected claim (frequency 7).&lt;br&gt;• Appeal with invoice and supporting documentation if misapplied.&lt;br&gt;• If invoice unavailable → accept denial and write off or bill patient.&lt;/td&gt;&lt;/tr&gt;</t>
  </si>
  <si>
    <t>&lt;tr data-carc="CO 16" data-type="co" data-rarc="M24 — Missing/incomplete/invalid number of doses per vial." data-denial="The claim was denied or adjusted because the number of doses per vial (or units per vial) for the drug is missing, incomplete (e.g., wrong number), or invalid (e.g., not matching the drug's package insert, NDC, or payer rules). Required for multi-dose vials (e.g., vaccines, injectables, chemotherapy) to calculate correct billing units and prevent overbilling." data-root="• Doses per vial field blank or omitted in NDC line (Loop 2410 on 837P or remarks).\n• Wrong/invalid number entered (typo, not matching package insert/NDC).\n• Billing software/manual entry failed to include or validate doses per vial.\n• Provider unaware of requirement for multi-dose vial drugs."&gt;&lt;td&gt;&lt;div class="row-num"&gt;#89&lt;/div&gt;&lt;span class="carc-badge co"&gt;CO 16&lt;/span&gt;&lt;/td&gt;&lt;td&gt;&lt;span class="denial-reason"&gt;Missing Number of Dose Per Vial&lt;/span&gt;&lt;/td&gt;&lt;td class="rarc-wrap"&gt;&lt;div class="rarc-id"&gt;M24&lt;/div&gt;&lt;div class="rarc-desc"&gt;Missing/incomplete/invalid number of doses per vial.&lt;/div&gt;&lt;/td&gt;&lt;td class="td-meaning"&gt;The claim was denied or adjusted because the number of doses per vial (or units per vial) for the drug is missing, incomplete (e.g., wrong number), or invalid (e.g., not matching the drug's package insert, NDC, or payer rules). Required for multi-dose vials (e.g., vaccines, injectables, chemotherapy) to calculate correct billing units and prevent overbilling.&lt;/td&gt;&lt;td&gt;&lt;div class="chip-row"&gt;&lt;span class="chip chip-green"&gt;Multi-dose vial drug (e.g., vaccine or insulin) billed without specifying doses per vial → denied.&lt;/span&gt;&lt;span class="chip chip-green"&gt;Chemotherapy or biologic injection denied – missing/invalid doses per vial in NDC line.&lt;/span&gt;&lt;span class="chip chip-green"&gt;Injectable claim rejected because number of doses does not match drug label or NDC description.&lt;/span&gt;&lt;/div&gt;&lt;/td&gt;&lt;td&gt;&lt;div class="chip-row"&gt;&lt;span class="chip chip-green"&gt;Doses per vial field blank or omitted in NDC line (Loop 2410 on 837P or remarks).&lt;/span&gt;&lt;span class="chip chip-green"&gt;Wrong/invalid number entered (typo, not matching package insert/NDC).&lt;/span&gt;&lt;span class="chip chip-green"&gt;Billing software/manual entry failed to include or validate doses per vial.&lt;/span&gt;&lt;span class="chip chip-green"&gt;Provider unaware of requirement for multi-dose vial drugs.&lt;/span&gt;&lt;/div&gt;&lt;/td&gt;&lt;td class="td-res"&gt;• Review drug package insert, label, or NDC database for accurate doses per vial.&lt;br&gt;• Correct claim: Add doses per vial in NDC line (Loop 2410) or remarks (Box 19 CMS-1500).&lt;br&gt;• Resubmit corrected claim (frequency 7).&lt;br&gt;• Appeal with package insert/label showing correct doses per vial if misapplied.&lt;br&gt;• If vial information unavailable → accept denial and write off or bill patient.&lt;/td&gt;&lt;/tr&gt;</t>
  </si>
  <si>
    <t>&lt;tr data-carc="CO 16" data-type="co" data-rarc="M25 — Information Does Not Substantiate Need for This Level of Service" data-denial="The claim was denied or downcoded because the submitted information (documentation, notes, records) does not support medical necessity for the billed level of service (e.g., higher E/M level, more complex procedure, or extended service)." data-root="• Documentation insufficient (missing history, exam, MDM, or medical necessity justification).\n• Billed level too high for recorded clinical findings or time spent.\n• Provider did not provide adequate supporting records with claim.\n• Payer medical review found level not substantiated per guidelines (E/M, procedure, or LCD)."&gt;&lt;td&gt;&lt;div class="row-num"&gt;#90&lt;/div&gt;&lt;span class="carc-badge co"&gt;CO 16&lt;/span&gt;&lt;/td&gt;&lt;td&gt;&lt;span class="denial-reason"&gt;Invalid Procedure Code&lt;/span&gt;&lt;/td&gt;&lt;td class="rarc-wrap"&gt;&lt;div class="rarc-id"&gt;M25&lt;/div&gt;&lt;div class="rarc-desc"&gt;Information Does Not Substantiate Need for This Level of Service&lt;/div&gt;&lt;/td&gt;&lt;td class="td-meaning"&gt;The claim was denied or downcoded because the submitted information (documentation, notes, records) does not support medical necessity for the billed level of service (e.g., higher E/M level, more complex procedure, or extended service).&lt;/td&gt;&lt;td&gt;&lt;div class="chip-row"&gt;&lt;span class="chip chip-green"&gt;99215 (high-level E/M) downcoded to 99214 – notes do not support comprehensive exam/MDM.&lt;/span&gt;&lt;span class="chip chip-green"&gt;Complex procedure or extended therapy denied – documentation lacks sufficient detail/justification.&lt;/span&gt;&lt;span class="chip chip-green"&gt;Injection or diagnostic test at higher level denied – insufficient medical necessity evidence.&lt;/span&gt;&lt;/div&gt;&lt;/td&gt;&lt;td&gt;&lt;div class="chip-row"&gt;&lt;span class="chip chip-green"&gt;Documentation insufficient (missing history, exam, MDM, or medical necessity justification).&lt;/span&gt;&lt;span class="chip chip-green"&gt;Billed level too high for recorded clinical findings or time spent.&lt;/span&gt;&lt;span class="chip chip-green"&gt;Provider did not provide adequate supporting records with claim.&lt;/span&gt;&lt;span class="chip chip-green"&gt;Payer medical review found level not substantiated per guidelines (E/M, procedure, or LCD).&lt;/span&gt;&lt;/div&gt;&lt;/td&gt;&lt;td class="td-res"&gt;• Review documentation against billed level (e.g., E/M guidelines, procedure notes).&lt;br&gt;• If level justified → appeal within 120 days with complete records (progress notes, exam findings, MDM).&lt;br&gt;• If level incorrect → accept downcode or resubmit corrected claim (frequency 7) at appropriate level.&lt;br&gt;• If patient paid excess → monitor for patient reimbursement request; refund overpayment to avoid payer recovery.&lt;/td&gt;&lt;/tr&gt;</t>
  </si>
  <si>
    <t>&lt;tr data-carc="CO 50/96" data-type="co" data-rarc="M26 — Information Does Not Substantiate Need for This Level of Service." data-denial="The claim was downcoded or denied because the documentation does not support medical necessity for the billed level of service (e.g., higher E/M level, more complex procedure). This is a medical necessity denial." data-root="• Documentation insufficient (missing history, exam, MDM, time, or medical necessity justification).\n• Billed level too high compared to recorded clinical findings.\n• No or inadequate supporting records submitted with claim.\n• Payer medical review found level not substantiated per guidelines (E/M, procedure, LCD)."&gt;&lt;td&gt;&lt;div class="row-num"&gt;#91&lt;/div&gt;&lt;span class="carc-badge co"&gt;CO 50/96&lt;/span&gt;&lt;/td&gt;&lt;td&gt;&lt;span class="denial-reason"&gt;Medical Necessity&lt;/span&gt;&lt;/td&gt;&lt;td class="rarc-wrap"&gt;&lt;div class="rarc-id"&gt;M26&lt;/div&gt;&lt;div class="rarc-desc"&gt;Information Does Not Substantiate Need for This Level of Service.&lt;/div&gt;&lt;/td&gt;&lt;td class="td-meaning"&gt;The claim was downcoded or denied because the documentation does not support medical necessity for the billed level of service (e.g., higher E/M level, more complex procedure). This is a medical necessity denial.&lt;/td&gt;&lt;td&gt;&lt;div class="chip-row"&gt;&lt;span class="chip chip-green"&gt;99215 billed but notes support only 99214 → downcoded and refund required for patient overpayment.&lt;/span&gt;&lt;span class="chip chip-green"&gt;Complex procedure downcoded to simpler code – excess patient payment must be refunded within 30 days.&lt;/span&gt;&lt;span class="chip chip-green"&gt;High-level consult or extended therapy denied – any patient copay/deductible collected on higher level must be returned.&lt;/span&gt;&lt;/div&gt;&lt;/td&gt;&lt;td&gt;&lt;div class="chip-row"&gt;&lt;span class="chip chip-green"&gt;Documentation insufficient (missing history, exam, MDM, time, or medical necessity justification).&lt;/span&gt;&lt;span class="chip chip-green"&gt;Billed level too high compared to recorded clinical findings.&lt;/span&gt;&lt;span class="chip chip-green"&gt;No or inadequate supporting records submitted with claim.&lt;/span&gt;&lt;span class="chip chip-green"&gt;Payer medical review found level not substantiated per guidelines (E/M, procedure, LCD).&lt;/span&gt;&lt;/div&gt;&lt;/td&gt;&lt;td class="td-res"&gt;• Review documentation against billed level (E/M guidelines, procedure notes).&lt;br&gt;• If level justified → appeal within timeframe with complete records (progress notes, exam findings, MDM).&lt;br&gt;• If level incorrect → accept downcode, calculate overpayment (difference between billed and allowed), and refund patient within 30 days.&lt;br&gt;• Send refund to patient and retain proof (check copy, letter).&lt;/td&gt;&lt;/tr&gt;</t>
  </si>
  <si>
    <t>&lt;tr data-carc="CO 50/96" data-type="co" data-rarc="M27 — Patient Relieved of Liability, Provider Ultimately Liable." data-denial="The patient is relieved of payment responsibility under the Limitation of Liability provision (Medicare Waiver of Liability/ABN rules)." data-root="• Service deemed not reasonable/necessary or custodial, and provider should have known (no valid ABN/waiver obtained).\n• ABN not issued, invalid, or not properly executed before service.\n• Provider continued non-covered service despite knowledge or prior similar denials.\n• Failure to verify coverage/medical necessity before rendering service."&gt;&lt;td&gt;&lt;div class="row-num"&gt;#92&lt;/div&gt;&lt;span class="carc-badge co"&gt;CO 50/96&lt;/span&gt;&lt;/td&gt;&lt;td&gt;&lt;span class="denial-reason"&gt;Medical Necessity&lt;/span&gt;&lt;/td&gt;&lt;td class="rarc-wrap"&gt;&lt;div class="rarc-id"&gt;M27&lt;/div&gt;&lt;div class="rarc-desc"&gt;Patient Relieved of Liability, Provider Ultimately Liable.&lt;/div&gt;&lt;/td&gt;&lt;td class="td-meaning"&gt;The patient is relieved of payment responsibility under the Limitation of Liability provision (Medicare Waiver of Liability/ABN rules).&lt;/td&gt;&lt;td&gt;&lt;div class="chip-row"&gt;&lt;span class="chip chip-green"&gt;Non-covered DME (e.g., unapproved wheelchair) delivered without valid ABN → provider liable for patient charges.&lt;/span&gt;&lt;span class="chip chip-green"&gt;Custodial care in SNF billed to Medicare → patient waived liability, provider held responsible.&lt;/span&gt;&lt;span class="chip chip-green"&gt;Experimental or non-medically necessary service provided without proper notice → provider must refund patient and face recovery.&lt;/span&gt;&lt;/div&gt;&lt;/td&gt;&lt;td&gt;&lt;div class="chip-row"&gt;&lt;span class="chip chip-green"&gt;Service deemed not reasonable/necessary or custodial, and provider should have known (no valid ABN/waiver obtained).&lt;/span&gt;&lt;span class="chip chip-green"&gt;ABN not issued, invalid, or not properly executed before service.&lt;/span&gt;&lt;span class="chip chip-green"&gt;Provider continued non-covered service despite knowledge or prior similar denials.&lt;/span&gt;&lt;span class="chip chip-green"&gt;Failure to verify coverage/medical necessity before rendering service.&lt;/span&gt;&lt;/div&gt;&lt;/td&gt;&lt;td class="td-res"&gt;• Review EOB/ERA and medical records to confirm non-coverage reason (not reasonable/necessary or custodial).&lt;br&gt;• Check if valid ABN was issued before service (if yes → appeal on basis of good faith reliance).&lt;br&gt;• File appeal within 120 days through the payer office (include coverage and due care arguments).&lt;br&gt;• If appeal unsuccessful → accept liability, refund patient any collected amounts, and prepare for overpayment recovery.&lt;/td&gt;&lt;/tr&gt;</t>
  </si>
  <si>
    <t>&lt;tr data-carc="CO 96" data-type="co" data-rarc="M28 — This does not qualify for payment under Part B when Part A coverage is exhausted or not otherwise available." data-denial="The service was denied under Medicare Part B because it should have been covered under Part A (hospital insurance), but Part A coverage is exhausted, not available, or the service is not eligible for Part B payment when Part A benefits are unavailable." data-root="• Service qualifies under Part A but Part A benefits exhausted or not available (e.g., no qualifying inpatient stay).\n• Provider billed to Part B instead of coordinating with Part A coverage.\n• Incorrect Part A/Part B eligibility check or misunderstanding of benefit periods.\n• No documentation showing Part A exhaustion or non-availability."&gt;&lt;td&gt;&lt;div class="row-num"&gt;#93&lt;/div&gt;&lt;span class="carc-badge co"&gt;CO 96&lt;/span&gt;&lt;/td&gt;&lt;td&gt;&lt;span class="denial-reason"&gt;Non Covered Charge&lt;/span&gt;&lt;/td&gt;&lt;td class="rarc-wrap"&gt;&lt;div class="rarc-id"&gt;M28&lt;/div&gt;&lt;div class="rarc-desc"&gt;This does not qualify for payment under Part B when Part A coverage is exhausted or not otherwise available.&lt;/div&gt;&lt;/td&gt;&lt;td class="td-meaning"&gt;The service was denied under Medicare Part B because it should have been covered under Part A (hospital insurance), but Part A coverage is exhausted, not available, or the service is not eligible for Part B payment when Part A benefits are unavailable.&lt;/td&gt;&lt;td&gt;&lt;div class="chip-row"&gt;&lt;span class="chip chip-green"&gt;Home health services billed under Part B after Part A SNF benefit exhausted → denied.&lt;/span&gt;&lt;span class="chip chip-green"&gt;Inpatient rehab or SNF follow-up care denied under Part B when Part A days used up.&lt;/span&gt;&lt;span class="chip chip-green"&gt;DME or therapy billed to Part B when service qualifies only under Part A (e.g., during SNF stay).&lt;/span&gt;&lt;/div&gt;&lt;/td&gt;&lt;td&gt;&lt;div class="chip-row"&gt;&lt;span class="chip chip-green"&gt;Service qualifies under Part A but Part A benefits exhausted or not available (e.g., no qualifying inpatient stay).&lt;/span&gt;&lt;span class="chip chip-green"&gt;Provider billed to Part B instead of coordinating with Part A coverage.&lt;/span&gt;&lt;span class="chip chip-green"&gt;Incorrect Part A/Part B eligibility check or misunderstanding of benefit periods.&lt;/span&gt;&lt;span class="chip chip-green"&gt;No documentation showing Part A exhaustion or non-availability.&lt;/span&gt;&lt;/div&gt;&lt;/td&gt;&lt;td class="td-res"&gt;• Verify Part A benefit status (days remaining, qualifying hospital stay) via Medicare portal or eligibility check.&lt;br&gt;• Confirm if service qualifies under Part A (e.g., SNF, home health after 3-day hospital stay).&lt;br&gt;• If Part A exhausted → resubmit to Part B with proof of exhaustion (Medicare Summary Notice or eligibility response).&lt;br&gt;• Appeal with documentation showing Part A exhaustion/non-availability and medical necessity under Part B.&lt;br&gt;• Accept denial and bill patient (after ABN if Medicare) if service truly Part A-only.&lt;/td&gt;&lt;/tr&gt;</t>
  </si>
  <si>
    <t>&lt;tr data-carc="CO 16" data-type="co" data-rarc="M29 — Missing operative note/report." data-denial="The claim was denied because the payer requires the operative note or surgical report to review medical necessity, procedure details, or coding accuracy, and the documentation was not submitted or was incomplete. This denial is most commonly associated with surgical procedures, invasive services, or procedures that require detailed operative documentation to support reimbursement." data-root="• Operative report not submitted with the claim when required by payer policy.\n• Medical records request (ADR) received but not responded to within the deadline.\n• Documentation existed but was incomplete, unsigned, or missing key surgical details.\n• Workflow gap between clinical documentation and billing submission teams.\n• Incorrect assumption that operative notes are only needed for appeals rather than initial submission.\n• System or clearinghouse attachment transmission failure."&gt;&lt;td&gt;&lt;div class="row-num"&gt;#94&lt;/div&gt;&lt;span class="carc-badge co"&gt;CO 16&lt;/span&gt;&lt;/td&gt;&lt;td&gt;&lt;span class="denial-reason"&gt;Missing Patient Medical Record&lt;/span&gt;&lt;/td&gt;&lt;td class="rarc-wrap"&gt;&lt;div class="rarc-id"&gt;M29&lt;/div&gt;&lt;div class="rarc-desc"&gt;Missing operative note/report.&lt;/div&gt;&lt;/td&gt;&lt;td class="td-meaning"&gt;The claim was denied because the payer requires the operative note or surgical report to review medical necessity, procedure details, or coding accuracy, and the documentation was not submitted or was incomplete. This denial is most commonly associated with surgical procedures, invasive services, or procedures that require detailed operative documentation to support reimbursement.&lt;/td&gt;&lt;td&gt;&lt;div class="chip-row"&gt;&lt;span class="chip chip-green"&gt;Surgical procedure billed without attaching the operative report → payer requests documentation and denies when not received.&lt;/span&gt;&lt;span class="chip chip-green"&gt;Unlisted CPT procedure submitted without operative notes explaining the service performed → denied due to insufficient documentation.&lt;/span&gt;&lt;span class="chip chip-green"&gt;Modifier usage (e.g., -22, -52, -59) requiring operative details but documentation not provided → denial issued.&lt;/span&gt;&lt;span class="chip chip-green"&gt;ASC or hospital outpatient surgery claim where operative report was not included in medical records submission → denied.&lt;/span&gt;&lt;span class="chip chip-green"&gt;Medical records requested during review or audit but operative note not sent within payer timeframe → denial applied.&lt;/span&gt;&lt;/div&gt;&lt;/td&gt;&lt;td&gt;&lt;div class="chip-row"&gt;&lt;span class="chip chip-green"&gt;Operative report not submitted with the claim when required by payer policy.&lt;/span&gt;&lt;span class="chip chip-green"&gt;Medical records request (ADR) received but not responded to within the deadline.&lt;/span&gt;&lt;span class="chip chip-green"&gt;Documentation existed but was incomplete, unsigned, or missing key surgical details.&lt;/span&gt;&lt;span class="chip chip-green"&gt;Workflow gap between clinical documentation and billing submission teams.&lt;/span&gt;&lt;span class="chip chip-green"&gt;Incorrect assumption that operative notes are only needed for appeals rather than initial submission.&lt;/span&gt;&lt;span class="chip chip-green"&gt;System or clearinghouse attachment transmission failure.&lt;/span&gt;&lt;/div&gt;&lt;/td&gt;&lt;td class="td-res"&gt;• Confirm whether the operative note exists in the medical record and is complete, signed, and dated.&lt;br&gt;• Submit the operative report to the payer via the appropriate channel (portal, fax, EDI attachment, or reconsideration request).&lt;br&gt;• If denial followed an ADR request, send documentation with reference number and reconsideration request.&lt;br&gt;• Review coding accuracy to ensure procedure billed matches operative findings.&lt;br&gt;• Appeal denial with operative note, physician documentation, and medical necessity support if claim was incorrectly denied.&lt;br&gt;• If documentation truly unavailable → coordinate with provider to obtain or correct records before resubmission.&lt;/td&gt;&lt;/tr&gt;</t>
  </si>
  <si>
    <t>&lt;tr data-carc="CO 97" data-type="co" data-rarc="M3 — Equipment is the same or similar to equipment already being used." data-denial="The claim was denied because the payer determined that the Durable Medical Equipment (DME) being billed is the same as, or similar to, equipment the patient already owns or is currently renting. Coverage is not allowed for duplicate or overlapping equipment within the same reasonable useful lifetime (RUL) or rental period." data-root="• Eligibility verification for prior equipment ownership or rental status was not performed before billing.\n• Patient transferred from another supplier but prior equipment rental period still active.\n• Replacement equipment billed without documentation of medical necessity, damage, or change in condition.\n• Incorrect HCPCS coding causing payer to classify equipment as same/similar.\n• Lack of coordination between providers regarding existing DME history.\n• Missing documentation supporting replacement due to loss, theft, or irreparable damage."&gt;&lt;td&gt;&lt;div class="row-num"&gt;#95&lt;/div&gt;&lt;span class="carc-badge co"&gt;CO 97&lt;/span&gt;&lt;/td&gt;&lt;td&gt;&lt;span class="denial-reason"&gt;Bundling&lt;/span&gt;&lt;/td&gt;&lt;td class="rarc-wrap"&gt;&lt;div class="rarc-id"&gt;M3&lt;/div&gt;&lt;div class="rarc-desc"&gt;Equipment is the same or similar to equipment already being used.&lt;/div&gt;&lt;/td&gt;&lt;td class="td-meaning"&gt;The claim was denied because the payer determined that the Durable Medical Equipment (DME) being billed is the same as, or similar to, equipment the patient already owns or is currently renting. Coverage is not allowed for duplicate or overlapping equipment within the same reasonable useful lifetime (RUL) or rental period.&lt;/td&gt;&lt;td&gt;&lt;div class="chip-row"&gt;&lt;span class="chip chip-green"&gt;Patient already has a wheelchair on file within the reasonable useful lifetime, and a new wheelchair is billed → denied as same/similar equipment.&lt;/span&gt;&lt;span class="chip chip-green"&gt;CPAP device billed while another supplier is still in active rental period → denied due to existing equipment rental.&lt;/span&gt;&lt;span class="chip chip-green"&gt;Replacement hospital bed billed before the 5-year reasonable useful lifetime expired without medical justification → denial issued.&lt;/span&gt;&lt;span class="chip chip-green"&gt;Oxygen equipment billed by a new provider when patient is still under capped rental with another supplier → denied.&lt;/span&gt;&lt;span class="chip chip-green"&gt;Orthotic brace billed when a similar brace was previously provided recently → payer denies as duplicate equipment.&lt;/span&gt;&lt;/div&gt;&lt;/td&gt;&lt;td&gt;&lt;div class="chip-row"&gt;&lt;span class="chip chip-green"&gt;Eligibility verification for prior equipment ownership or rental status was not performed before billing.&lt;/span&gt;&lt;span class="chip chip-green"&gt;Patient transferred from another supplier but prior equipment rental period still active.&lt;/span&gt;&lt;span class="chip chip-green"&gt;Replacement equipment billed without documentation of medical necessity, damage, or change in condition.&lt;/span&gt;&lt;span class="chip chip-green"&gt;Incorrect HCPCS coding causing payer to classify equipment as same/similar.&lt;/span&gt;&lt;span class="chip chip-green"&gt;Lack of coordination between providers regarding existing DME history.&lt;/span&gt;&lt;span class="chip chip-green"&gt;Missing documentation supporting replacement due to loss, theft, or irreparable damage.&lt;/span&gt;&lt;/div&gt;&lt;/td&gt;&lt;td class="td-res"&gt;• Verify patient DME history through payer portal, Medicare IVR, or documentation from prior supplier.&lt;br&gt;• Confirm whether the patient owns equipment or is still in rental period with another provider.&lt;br&gt;• If replacement is medically necessary → submit documentation supporting change in condition, damage, or non-functionality.&lt;br&gt;• Obtain and submit physician order and medical necessity records supporting need for different equipment.&lt;br&gt;• If patient changed suppliers during rental period → coordinate billing transfer according to payer rules.&lt;br&gt;• Appeal with documentation showing equipment is not same/similar (different HCPCS, upgraded need, or medical change).&lt;/td&gt;&lt;/tr&gt;</t>
  </si>
  <si>
    <t>&lt;tr data-carc="CO 16" data-type="co" data-rarc="M30/31 — Missing pathology &amp; radiology report." data-denial="The claim was denied because the payer requires the pathology report to validate the diagnosis, confirm medical necessity, or support the procedure performed, and the documentation was not submitted or was incomplete." data-root="• Pathology report not submitted with claim when payer required documentation.\n• Medical records request received but not fulfilled before deadline.\n• Documentation incomplete, unsigned, or missing final diagnosis.\n• Workflow disconnect between laboratory/pathology department and billing team.\n• Incorrect assumption that pathology documentation is not required for initial claim submission.\n• Attachment transmission failure through clearinghouse or payer portal."&gt;&lt;td&gt;&lt;div class="row-num"&gt;#96&lt;/div&gt;&lt;span class="carc-badge co"&gt;CO 16&lt;/span&gt;&lt;/td&gt;&lt;td&gt;&lt;span class="denial-reason"&gt;Missing Patient Medical Record&lt;/span&gt;&lt;/td&gt;&lt;td class="rarc-wrap"&gt;&lt;div class="rarc-id"&gt;M30/31&lt;/div&gt;&lt;div class="rarc-desc"&gt;Missing pathology &amp; radiology report.&lt;/div&gt;&lt;/td&gt;&lt;td class="td-meaning"&gt;The claim was denied because the payer requires the pathology report to validate the diagnosis, confirm medical necessity, or support the procedure performed, and the documentation was not submitted or was incomplete.&lt;/td&gt;&lt;td&gt;&lt;div class="chip-row"&gt;&lt;span class="chip chip-green"&gt;Biopsy procedure billed without submitting pathology findings confirming tissue analysis → denied.&lt;/span&gt;&lt;span class="chip chip-green"&gt;Skin lesion excision coded based on malignant diagnosis but pathology report not provided → payer denies pending documentation.&lt;/span&gt;&lt;span class="chip chip-green"&gt;Molecular or specialized pathology testing billed without lab report attached → denial issued.&lt;/span&gt;&lt;span class="chip chip-green"&gt;Medical records requested by payer but pathology documentation not submitted within timeframe → claim denied.&lt;/span&gt;&lt;span class="chip chip-green"&gt;Procedure billed with diagnosis dependent on pathology confirmation (e.g., tumor removal) but report missing → denial applied.&lt;/span&gt;&lt;/div&gt;&lt;/td&gt;&lt;td&gt;&lt;div class="chip-row"&gt;&lt;span class="chip chip-green"&gt;Pathology report not submitted with claim when payer required documentation.&lt;/span&gt;&lt;span class="chip chip-green"&gt;Medical records request received but not fulfilled before deadline.&lt;/span&gt;&lt;span class="chip chip-green"&gt;Documentation incomplete, unsigned, or missing final diagnosis.&lt;/span&gt;&lt;span class="chip chip-green"&gt;Workflow disconnect between laboratory/pathology department and billing team.&lt;/span&gt;&lt;span class="chip chip-green"&gt;Incorrect assumption that pathology documentation is not required for initial claim submission.&lt;/span&gt;&lt;span class="chip chip-green"&gt;Attachment transmission failure through clearinghouse or payer portal.&lt;/span&gt;&lt;/div&gt;&lt;/td&gt;&lt;td class="td-res"&gt;• Confirm pathology report exists, is finalized, signed, and includes diagnostic findings.&lt;br&gt;• Submit pathology report via payer portal, EDI attachment, fax, or reconsideration process.&lt;br&gt;• If denial followed documentation request, include reference number when resubmitting.&lt;br&gt;• Validate coding accuracy to ensure diagnosis and procedure match pathology findings.&lt;br&gt;• Appeal with pathology documentation and medical necessity support if denial was inappropriate.&lt;br&gt;• If report unavailable → coordinate with laboratory or provider to obtain finalized documentation before resubmission.&lt;/td&gt;&lt;/tr&gt;</t>
  </si>
  <si>
    <t>&lt;tr data-carc="CO 22" data-type="co" data-rarc="M32 — Conditional Payment Made Pending Primary Payer Decision (Coordination of Benefits)." data-denial="The payer issued a conditional payment because another insurer is considered the primary payer, but payment was made temporarily to avoid delays in patient care or provider reimbursement." data-root="• Incorrect insurance order or incomplete • Coordination of Benefits (COB) information at registration.\n• Claim submitted to secondary payer before primary payer adjudication.\n• Failure to identify Medicare Secondary Payer situations (employment, liability, no-fault, workers’ compensation).\n• Missing primary payer EOB when billing secondary insurance.\n• Patient insurance information not updated or verified before claim submission.\n• Workflow gaps in tracking conditional payments and refund obligations."&gt;&lt;td&gt;&lt;div class="row-num"&gt;#97&lt;/div&gt;&lt;span class="carc-badge co"&gt;CO 22&lt;/span&gt;&lt;/td&gt;&lt;td&gt;&lt;span class="denial-reason"&gt;Covered by Another Payer&lt;/span&gt;&lt;/td&gt;&lt;td class="rarc-wrap"&gt;&lt;div class="rarc-id"&gt;M32&lt;/div&gt;&lt;div class="rarc-desc"&gt;Conditional Payment Made Pending Primary Payer Decision (Coordination of Benefits).&lt;/div&gt;&lt;/td&gt;&lt;td class="td-meaning"&gt;The payer issued a conditional payment because another insurer is considered the primary payer, but payment was made temporarily to avoid delays in patient care or provider reimbursement.&lt;/td&gt;&lt;td&gt;&lt;div class="chip-row"&gt;&lt;span class="chip chip-green"&gt;Medicare makes a conditional payment while employer group health insurance is primary but has not yet processed the claim.&lt;/span&gt;&lt;span class="chip chip-green"&gt;Auto insurance, workers’ compensation, or liability insurance is primary, but Medicare pays conditionally due to processing delays.&lt;/span&gt;&lt;span class="chip chip-green"&gt;Patient has multiple insurance policies, and coordination of benefits was not finalized at time of billing.&lt;/span&gt;&lt;span class="chip chip-green"&gt;Provider submits claim to Medicare without primary payer EOB, resulting in conditional payment issuance.&lt;/span&gt;&lt;span class="chip chip-green"&gt;Primary insurance later pays the claim, requiring refund to the conditional payer.&lt;/span&gt;&lt;/div&gt;&lt;/td&gt;&lt;td&gt;&lt;div class="chip-row"&gt;&lt;span class="chip chip-green"&gt;Incorrect insurance order or incomplete Coordination of Benefits (COB) information at registration.&lt;/span&gt;&lt;span class="chip chip-green"&gt;Claim submitted to secondary payer before primary payer adjudication.&lt;/span&gt;&lt;span class="chip chip-green"&gt;Failure to identify Medicare Secondary Payer situations (employment, liability, no-fault, workers’ compensation).&lt;/span&gt;&lt;span class="chip chip-green"&gt;Missing primary payer EOB when billing secondary insurance.&lt;/span&gt;&lt;span class="chip chip-green"&gt;Patient insurance information not updated or verified before claim submission.&lt;/span&gt;&lt;span class="chip chip-green"&gt;Workflow gaps in tracking conditional payments and refund obligations.&lt;/span&gt;&lt;/div&gt;&lt;/td&gt;&lt;td class="td-res"&gt;• Verify patient insurance hierarchy and determine the correct primary payer.&lt;br&gt;• Bill the primary insurance if not already done and obtain the Explanation of Benefits (EOB).&lt;br&gt;• Submit the primary payer EOB to the conditional payer (e.g., Medicare) for coordination and adjustment.&lt;br&gt;• If payment received from primary after conditional payment → promptly refund the conditional payer to avoid recoupment penalties.&lt;br&gt;• Update patient account to reflect correct payer responsibility.&lt;br&gt;• If conditional payment was made appropriately and no other payer exists → provide documentation confirming no other coverage.&lt;/td&gt;&lt;/tr&gt;</t>
  </si>
  <si>
    <t>&lt;tr data-carc="CO 96" data-type="co" data-rarc="M37 — Not covered when the patient is under age 35." data-denial="The claim was denied because the service billed has payer-specific coverage criteria that restrict reimbursement based on patient age, and the patient does not meet the minimum age requirement (under 35 years old)." data-root="• Patient age does not meet payer medical policy criteria for coverage.\n• Eligibility or payer policy guidelines were not verified prior to billing.\n• Service billed as screening rather than diagnostic with supporting medical necessity.\n• Missing documentation supporting exception criteria (high-risk condition, symptoms, physician justification).\n• Coding selection did not reflect medical necessity that might override age restriction.\n• Lack of awareness of payer-specific age limitations by ordering provider or billing staff."&gt;&lt;td&gt;&lt;div class="row-num"&gt;#98&lt;/div&gt;&lt;span class="carc-badge co"&gt;CO 96&lt;/span&gt;&lt;/td&gt;&lt;td&gt;&lt;span class="denial-reason"&gt;Non Covered Charge&lt;/span&gt;&lt;/td&gt;&lt;td class="rarc-wrap"&gt;&lt;div class="rarc-id"&gt;M37&lt;/div&gt;&lt;div class="rarc-desc"&gt;Not covered when the patient is under age 35.&lt;/div&gt;&lt;/td&gt;&lt;td class="td-meaning"&gt;The claim was denied because the service billed has payer-specific coverage criteria that restrict reimbursement based on patient age, and the patient does not meet the minimum age requirement (under 35 years old).&lt;/td&gt;&lt;td&gt;&lt;div class="chip-row"&gt;&lt;span class="chip chip-green"&gt;Screening or diagnostic procedure billed for a patient younger than the payer’s covered age threshold → denied due to age limitation.&lt;/span&gt;&lt;span class="chip chip-green"&gt;Fertility-related, preventive, or specialty testing services with minimum age criteria billed for a patient under 35 → denial issued.&lt;/span&gt;&lt;span class="chip chip-green"&gt;Genetic or risk-based screening submitted without qualifying risk factors for a patient under age requirement → denied.&lt;/span&gt;&lt;span class="chip chip-green"&gt;Procedure covered only for older population (based on medical policy) billed without documentation supporting exception → denial applied.&lt;/span&gt;&lt;span class="chip chip-green"&gt;Preventive service billed outside payer-approved age parameters without medical necessity justification → denied.&lt;/span&gt;&lt;/div&gt;&lt;/td&gt;&lt;td&gt;&lt;div class="chip-row"&gt;&lt;span class="chip chip-green"&gt;Patient age does not meet payer medical policy criteria for coverage.&lt;/span&gt;&lt;span class="chip chip-green"&gt;Eligibility or payer policy guidelines were not verified prior to billing.&lt;/span&gt;&lt;span class="chip chip-green"&gt;Service billed as screening rather than diagnostic with supporting medical necessity.&lt;/span&gt;&lt;span class="chip chip-green"&gt;Missing documentation supporting exception criteria (high-risk condition, symptoms, physician justification).&lt;/span&gt;&lt;span class="chip chip-green"&gt;Coding selection did not reflect medical necessity that might override age restriction.&lt;/span&gt;&lt;span class="chip chip-green"&gt;Lack of awareness of payer-specific age limitations by ordering provider or billing staff.&lt;/span&gt;&lt;/div&gt;&lt;/td&gt;&lt;td class="td-res"&gt;• Verify payer medical policy to confirm age-based coverage requirements for the service.&lt;br&gt;• Review clinical documentation to determine whether medical necessity or risk factors justify coverage despite age.&lt;br&gt;• If medical necessity exists → appeal with physician notes, symptoms, diagnosis, and supporting clinical rationale.&lt;br&gt;• Correct coding if service should be billed as diagnostic rather than screening.&lt;br&gt;• If service truly non-covered due to age → transfer responsibility to patient only if proper patient notification or ABN (for Medicare) was obtained.&lt;br&gt;• If payer policy misapplied → submit reconsideration with policy reference supporting coverage.&lt;/td&gt;&lt;/tr&gt;</t>
  </si>
  <si>
    <t>&lt;tr data-carc="CO 50/96" data-type="co" data-rarc="M38 — Advance Written Notice Provided (ABN / Waiver on File)that we would not pay for it and the patient agreed to be responsible for the charges." data-denial="The claim indicates that the payer will not cover the service, and the patient is responsible for payment because they were notified in advance, in writing, that the service might not be covered and agreed to assume financial responsibility." data-root="• Service does not meet payer coverage criteria, but provider obtained proper patient consent prior to performing service.\n• Valid ABN or financial waiver documentation present shifting liability to patient.\n• Coverage limitations known in advance (medical necessity, frequency, policy exclusion).\n• Provider appropriately followed notification requirements before rendering service.\n• Payer denial is expected and not considered an error when ABN is valid."&gt;&lt;td&gt;&lt;div class="row-num"&gt;#99&lt;/div&gt;&lt;span class="carc-badge co"&gt;CO 50/96&lt;/span&gt;&lt;/td&gt;&lt;td&gt;&lt;span class="denial-reason"&gt;Medical Necessity&lt;/span&gt;&lt;/td&gt;&lt;td class="rarc-wrap"&gt;&lt;div class="rarc-id"&gt;M38&lt;/div&gt;&lt;div class="rarc-desc"&gt;Advance Written Notice Provided (ABN / Waiver on File)that we would not pay for it and the patient agreed to be responsible for the charges.&lt;/div&gt;&lt;/td&gt;&lt;td class="td-meaning"&gt;The claim indicates that the payer will not cover the service, and the patient is responsible for payment because they were notified in advance, in writing, that the service might not be covered and agreed to assume financial responsibility.&lt;/td&gt;&lt;td&gt;&lt;div class="chip-row"&gt;&lt;span class="chip chip-green"&gt;Medicare service expected to be non-covered (e.g., medical necessity not met) performed after obtaining a signed ABN → patient responsible.&lt;/span&gt;&lt;span class="chip chip-green"&gt;Screening or preventive service outside coverage guidelines performed with prior patient financial consent → denial with patient liability.&lt;/span&gt;&lt;span class="chip chip-green"&gt;Experimental or non-covered procedure completed after patient signed waiver acknowledging responsibility → charges transferred to patient.&lt;/span&gt;&lt;span class="chip chip-green"&gt;Frequency limitation exceeded (e.g., lab tests or imaging) but service performed with ABN on file → patient liable.&lt;/span&gt;&lt;/div&gt;&lt;/td&gt;&lt;td&gt;&lt;div class="chip-row"&gt;&lt;span class="chip chip-green"&gt;Service does not meet payer coverage criteria, but provider obtained proper patient consent prior to performing service.&lt;/span&gt;&lt;span class="chip chip-green"&gt;Valid ABN or financial waiver documentation present shifting liability to patient.&lt;/span&gt;&lt;span class="chip chip-green"&gt;Coverage limitations known in advance (medical necessity, frequency, policy exclusion).&lt;/span&gt;&lt;span class="chip chip-green"&gt;Provider appropriately followed notification requirements before rendering service.&lt;/span&gt;&lt;span class="chip chip-green"&gt;Payer denial is expected and not considered an error when ABN is valid.&lt;/span&gt;&lt;/div&gt;&lt;/td&gt;&lt;td class="td-res"&gt;• Verify that a valid ABN or financial waiver was obtained prior to the service date.&lt;br&gt;• Ensure documentation includes patient signature, date, service description, and estimated cost.&lt;br&gt;• Post patient responsibility to the account according to payer adjudication.&lt;br&gt;• Bill patient for the denied amount per signed agreement.&lt;br&gt;• If ABN invalid or missing → evaluate for provider write-off or appeal depending on circumstances.&lt;br&gt;• If denial applied incorrectly by payer → submit reconsideration with ABN copy and claim details.&lt;/td&gt;&lt;/tr&gt;</t>
  </si>
  <si>
    <t>&lt;tr data-carc="CO 50/96" data-type="co" data-rarc="M39 — Invalid Advance Notice — Patient Not Liable Due to Non-Compliant ABN" data-denial="The claim indicates that the service is not covered; however, the patient cannot be held financially responsible because the advance notice of non-coverage provided did not meet program requirements." data-root="• Failure to follow ABN regulatory requirements before rendering the service.\n• ABN obtained incorrectly (timing, format, or content deficiencies).\n• Staff unfamiliar with proper ABN completion standards.\n• Missing documentation or inability to retrieve signed ABN during review.\n• Workflow gaps between clinical staff, registration, and billing teams.\n• Use of outdated ABN forms or templates not compliant with payer guidelines."&gt;&lt;td&gt;&lt;div class="row-num"&gt;#100&lt;/div&gt;&lt;span class="carc-badge co"&gt;CO 50/96&lt;/span&gt;&lt;/td&gt;&lt;td&gt;&lt;span class="denial-reason"&gt;Medical Necessity&lt;/span&gt;&lt;/td&gt;&lt;td class="rarc-wrap"&gt;&lt;div class="rarc-id"&gt;M39&lt;/div&gt;&lt;div class="rarc-desc"&gt;Invalid Advance Notice — Patient Not Liable Due to Non-Compliant ABN&lt;/div&gt;&lt;/td&gt;&lt;td class="td-meaning"&gt;The claim indicates that the service is not covered; however, the patient cannot be held financially responsible because the advance notice of non-coverage provided did not meet program requirements.&lt;/td&gt;&lt;td&gt;&lt;div class="chip-row"&gt;&lt;span class="chip chip-green"&gt;ABN obtained after the service was performed instead of before → patient not liable.&lt;/span&gt;&lt;span class="chip chip-green"&gt;ABN missing required elements (cost estimate, service description, options, signature) → denial with provider liability.&lt;/span&gt;&lt;span class="chip chip-green"&gt;Generic or blanket ABN used instead of service-specific notification → invalid notice determination.&lt;/span&gt;&lt;span class="chip chip-green"&gt;Wrong reason selected on ABN (e.g., frequency vs medical necessity) causing non-compliance → patient protected from charges.&lt;/span&gt;&lt;span class="chip chip-green"&gt;ABN not provided at all for a service expected to be non-covered → provider responsible for write-off.&lt;/span&gt;&lt;span class="chip chip-green"&gt;Electronic ABN not properly documented or stored → payer considers notice invalid.&lt;/span&gt;&lt;/div&gt;&lt;/td&gt;&lt;td&gt;&lt;div class="chip-row"&gt;&lt;span class="chip chip-green"&gt;Failure to follow ABN regulatory requirements before rendering the service.&lt;/span&gt;&lt;span class="chip chip-green"&gt;ABN obtained incorrectly (timing, format, or content deficiencies).&lt;/span&gt;&lt;span class="chip chip-green"&gt;Staff unfamiliar with proper ABN completion standards.&lt;/span&gt;&lt;span class="chip chip-green"&gt;Missing documentation or inability to retrieve signed ABN during review.&lt;/span&gt;&lt;span class="chip chip-green"&gt;Workflow gaps between clinical staff, registration, and billing teams.&lt;/span&gt;&lt;span class="chip chip-green"&gt;Use of outdated ABN forms or templates not compliant with payer guidelines.&lt;/span&gt;&lt;/div&gt;&lt;/td&gt;&lt;td class="td-res"&gt;• Verify whether a valid ABN exists that meets all program requirements.&lt;br&gt;• If ABN is invalid or missing → adjust account with provider write-off per payer guidelines.&lt;br&gt;• If payer applied denial incorrectly and valid ABN exists → submit reconsideration with ABN documentation.&lt;br&gt;• Educate patient regarding coverage outcome if needed, but do not bill patient when liability is provider-assigned.&lt;br&gt;• Review internal process to identify why compliant notice was not obtained.&lt;br&gt;• Correct documentation storage issues to ensure ABNs are retrievable for future claims.&lt;/td&gt;&lt;/tr&gt;</t>
  </si>
  <si>
    <t>&lt;tr data-carc="CO 109" data-type="co" data-rarc="M40 — Claim must be assigned and must be filed by the practitioner's employer." data-denial="The claim was denied because the service must be billed by the practitioner’s employer or the entity that holds the billing rights (such as a group practice, facility, or organization), and the claim was submitted incorrectly by an individual provider or the wrong billing entity." data-root="• Incorrect billing provider selected during claim submission.\n• Provider enrollment or reassignment of benefits not properly established with payer.\n• Lack of awareness that employed providers must bill under employer entity.\n• Credentialing or PECOS enrollment incomplete or outdated.\n• System configuration errors causing wrong billing NPI population.\n• Workflow gap between credentialing and billing departments."&gt;&lt;td&gt;&lt;div class="row-num"&gt;#101&lt;/div&gt;&lt;span class="carc-badge co"&gt;CO 109&lt;/span&gt;&lt;/td&gt;&lt;td&gt;&lt;span class="denial-reason"&gt;Covered by Another Payer&lt;/span&gt;&lt;/td&gt;&lt;td class="rarc-wrap"&gt;&lt;div class="rarc-id"&gt;M40&lt;/div&gt;&lt;div class="rarc-desc"&gt;Claim must be assigned and must be filed by the practitioner's employer.&lt;/div&gt;&lt;/td&gt;&lt;td class="td-meaning"&gt;The claim was denied because the service must be billed by the practitioner’s employer or the entity that holds the billing rights (such as a group practice, facility, or organization), and the claim was submitted incorrectly by an individual provider or the wrong billing entity.&lt;/td&gt;&lt;td&gt;&lt;div class="chip-row"&gt;&lt;span class="chip chip-green"&gt;Employed physician submits claim under individual NPI instead of group/practice NPI → denied.&lt;/span&gt;&lt;span class="chip chip-green"&gt;Provider working under a hospital or clinic employment contract bills services directly rather than through employer → denial issued.&lt;/span&gt;&lt;span class="chip chip-green"&gt;Services performed in a facility setting requiring billing by facility entity but submitted by individual practitioner → denied.&lt;/span&gt;&lt;span class="chip chip-green"&gt;Locum tenens or contract provider billing without proper reassignment enrollment → claim rejected/denied.&lt;/span&gt;&lt;span class="chip chip-green"&gt;Incorrect billing provider information submitted (Type 1 vs Type 2 NPI mismatch) → payer requires employer submission.&lt;/span&gt;&lt;/div&gt;&lt;/td&gt;&lt;td&gt;&lt;div class="chip-row"&gt;&lt;span class="chip chip-green"&gt;Incorrect billing provider selected during claim submission.&lt;/span&gt;&lt;span class="chip chip-green"&gt;Provider enrollment or reassignment of benefits not properly established with payer.&lt;/span&gt;&lt;span class="chip chip-green"&gt;Lack of awareness that employed providers must bill under employer entity.&lt;/span&gt;&lt;span class="chip chip-green"&gt;Credentialing or PECOS enrollment incomplete or outdated.&lt;/span&gt;&lt;span class="chip chip-green"&gt;System configuration errors causing wrong billing NPI population.&lt;/span&gt;&lt;span class="chip chip-green"&gt;Workflow gap between credentialing and billing departments.&lt;/span&gt;&lt;/div&gt;&lt;/td&gt;&lt;td class="td-res"&gt;• Verify provider employment status and determine correct billing entity.&lt;br&gt;• Confirm reassignment of benefits enrollment with payer (e.g., group enrollment active).&lt;br&gt;• Correct claim with appropriate billing provider (employer/group NPI) and resubmit.&lt;br&gt;• If enrollment missing → complete credentialing or reassignment process before rebilling.&lt;br&gt;• Appeal if claim was denied incorrectly despite proper billing structure.&lt;br&gt;• Review contracts to confirm billing responsibility when services involve multiple entities.&lt;/td&gt;&lt;/tr&gt;</t>
  </si>
  <si>
    <t>&lt;tr data-carc="CO 50/96" data-type="co" data-rarc="M41 — We do not pay for this as the patient has no legal obligation to pay for this." data-denial="The claim was denied because the payer determined that the patient does not have a legal financial obligation for the service." data-root="• Patient legally not responsible due to program rules, contracts, or provider policies.\n• Service included in another payment (bundled, global, facility payment).\n• Missing or invalid patient financial liability documentation (e.g., ABN).\n• Incorrect billing of services provided at no cost or under sponsored programs.\n• Misunderstanding of payer coverage rules or contractual obligations.\n• Provider billing when patient responsibility cannot legally be established."&gt;&lt;td&gt;&lt;div class="row-num"&gt;#102&lt;/div&gt;&lt;span class="carc-badge co"&gt;CO 50/96&lt;/span&gt;&lt;/td&gt;&lt;td&gt;&lt;span class="denial-reason"&gt;Medical Necessity&lt;/span&gt;&lt;/td&gt;&lt;td class="rarc-wrap"&gt;&lt;div class="rarc-id"&gt;M41&lt;/div&gt;&lt;div class="rarc-desc"&gt;We do not pay for this as the patient has no legal obligation to pay for this.&lt;/div&gt;&lt;/td&gt;&lt;td class="td-meaning"&gt;The claim was denied because the payer determined that the patient does not have a legal financial obligation for the service.&lt;/td&gt;&lt;td&gt;&lt;div class="chip-row"&gt;&lt;span class="chip chip-green"&gt;Service provided under a research study or clinical trial where sponsor covers costs → payer denies because patient not liable.&lt;/span&gt;&lt;span class="chip chip-green"&gt;Provider attempts to bill payer for a service already covered under a bundled payment or global arrangement → denied.&lt;/span&gt;&lt;span class="chip chip-green"&gt;Services furnished without proper patient financial responsibility (e.g., no ABN when required) → payer assigns provider liability.&lt;/span&gt;&lt;span class="chip chip-green"&gt;Charity care or no-charge services submitted to payer despite no patient obligation → denied.&lt;/span&gt;&lt;span class="chip chip-green"&gt;Contractual agreements prohibit billing patient for specific services → claim denied with provider responsibility.&lt;/span&gt;&lt;/div&gt;&lt;/td&gt;&lt;td&gt;&lt;div class="chip-row"&gt;&lt;span class="chip chip-green"&gt;Patient legally not responsible due to program rules, contracts, or provider policies.&lt;/span&gt;&lt;span class="chip chip-green"&gt;Service included in another payment (bundled, global, facility payment).&lt;/span&gt;&lt;span class="chip chip-green"&gt;Missing or invalid patient financial liability documentation (e.g., ABN).&lt;/span&gt;&lt;span class="chip chip-green"&gt;Incorrect billing of services provided at no cost or under sponsored programs.&lt;/span&gt;&lt;span class="chip chip-green"&gt;Misunderstanding of payer coverage rules or contractual obligations.&lt;/span&gt;&lt;span class="chip chip-green"&gt;Provider billing when patient responsibility cannot legally be established.&lt;/span&gt;&lt;/div&gt;&lt;/td&gt;&lt;td class="td-res"&gt;• Verify whether the patient has any legal financial responsibility for the service.&lt;br&gt;• Review contracts, program rules, or coverage guidelines applicable to the service.&lt;br&gt;• If denial is correct → adjust account as provider write-off per payer rules.&lt;br&gt;• If patient should be liable and documentation exists → appeal with supporting financial agreement or ABN.&lt;br&gt;• Correct billing if service should have been included under another claim or bundled payment.&lt;br&gt;• Educate staff regarding situations where billing payer is not permitted.&lt;/td&gt;&lt;/tr&gt;</t>
  </si>
  <si>
    <t>&lt;tr data-carc="CO 50/96" data-type="co" data-rarc="M42 — The medical necessity form must be personally signed by the attending physician." data-denial="The claim was denied because the required medical necessity documentation (such as a Certificate of Medical Necessity — CMN, DME Information Form, or similar authorization document) was not personally signed by the attending or treating physician as required by payer policy." data-root="• Missing physician signature on required medical necessity documentation.\n• Improper signature method (stamp, auto-sign, or unauthorized signer).\n• Documentation completed but not finalized before claim submission.\n• Lack of awareness of payer signature requirements.\n• Workflow breakdown between clinical staff and billing department.\n• Failure to obtain updated or corrected forms after changes in treatment."&gt;&lt;td&gt;&lt;div class="row-num"&gt;#103&lt;/div&gt;&lt;span class="carc-badge co"&gt;CO 50/96&lt;/span&gt;&lt;/td&gt;&lt;td&gt;&lt;span class="denial-reason"&gt;Medical Necessity&lt;/span&gt;&lt;/td&gt;&lt;td class="rarc-wrap"&gt;&lt;div class="rarc-id"&gt;M42&lt;/div&gt;&lt;div class="rarc-desc"&gt;The medical necessity form must be personally signed by the attending physician.&lt;/div&gt;&lt;/td&gt;&lt;td class="td-meaning"&gt;The claim was denied because the required medical necessity documentation (such as a Certificate of Medical Necessity — CMN, DME Information Form, or similar authorization document) was not personally signed by the attending or treating physician as required by payer policy.&lt;/td&gt;&lt;td&gt;&lt;div class="chip-row"&gt;&lt;span class="chip chip-green"&gt;DME equipment billed with CMN form signed by staff instead of physician → denied.&lt;/span&gt;&lt;span class="chip chip-green"&gt;Home oxygen certification submitted without physician signature or with stamped signature → denial issued.&lt;/span&gt;&lt;span class="chip chip-green"&gt;Medical necessity form signed after service date or missing signature date → claim denied.&lt;/span&gt;&lt;span class="chip chip-green"&gt;Electronic signature not compliant with payer requirements → documentation rejected.&lt;/span&gt;&lt;span class="chip chip-green"&gt;Physician assistant or nurse practitioner signed form when payer requires attending physician signature → denial applied.&lt;/span&gt;&lt;/div&gt;&lt;/td&gt;&lt;td&gt;&lt;div class="chip-row"&gt;&lt;span class="chip chip-green"&gt;Missing physician signature on required medical necessity documentation.&lt;/span&gt;&lt;span class="chip chip-green"&gt;Improper signature method (stamp, auto-sign, or unauthorized signer).&lt;/span&gt;&lt;span class="chip chip-green"&gt;Documentation completed but not finalized before claim submission.&lt;/span&gt;&lt;span class="chip chip-green"&gt;Lack of awareness of payer signature requirements.&lt;/span&gt;&lt;span class="chip chip-green"&gt;Workflow breakdown between clinical staff and billing department.&lt;/span&gt;&lt;span class="chip chip-green"&gt;Failure to obtain updated or corrected forms after changes in treatment.&lt;/span&gt;&lt;/div&gt;&lt;/td&gt;&lt;td class="td-res"&gt;• Obtain properly completed medical necessity form with attending physician’s handwritten or compliant electronic signature.&lt;br&gt;• Ensure signature date aligns with payer requirements and service timeline.&lt;br&gt;• Submit corrected documentation to payer via reconsideration, appeal, or attachment process.&lt;br&gt;• Verify that the signer meets payer definition of attending/treating physician.&lt;br&gt;• If documentation cannot be corrected → adjust claim according to payer guidelines.&lt;br&gt;• Appeal denial if valid signed documentation already exists but was not submitted initially.&lt;/td&gt;&lt;/tr&gt;</t>
  </si>
  <si>
    <t>&lt;tr data-carc="CO 16" data-type="co" data-rarc="M44 — Missing/incomplete/invalid condition code." data-denial="The claim was denied because the required Condition Code was missing, incomplete, invalid, or not appropriate for the billing situation. Condition Codes (UB-04 Form Locator 18–28) provide additional information about the patient’s condition, billing circumstances, or special processing requirements. Without the correct condition code, the payer cannot properly adjudicate the claim." data-root="• Required condition code not captured during registration or billing process.\n• Incorrect understanding of payer rules for when condition codes are required.\n• Data entry errors or invalid code selection in claim system.\n• Workflow gap between clinical documentation and billing team regarding patient circumstances.\n• System configuration issues causing condition codes to drop during claim generation.\n• Lack of staff training on UB-04 condition code usage."&gt;&lt;td&gt;&lt;div class="row-num"&gt;#104&lt;/div&gt;&lt;span class="carc-badge co"&gt;CO 16&lt;/span&gt;&lt;/td&gt;&lt;td&gt;&lt;span class="denial-reason"&gt;Invalid Condition Code&lt;/span&gt;&lt;/td&gt;&lt;td class="rarc-wrap"&gt;&lt;div class="rarc-id"&gt;M44&lt;/div&gt;&lt;div class="rarc-desc"&gt;Missing/incomplete/invalid condition code.&lt;/div&gt;&lt;/td&gt;&lt;td class="td-meaning"&gt;The claim was denied because the required Condition Code was missing, incomplete, invalid, or not appropriate for the billing situation. Condition Codes (UB-04 Form Locator 18–28) provide additional information about the patient’s condition, billing circumstances, or special processing requirements. Without the correct condition code, the payer cannot properly adjudicate the claim.&lt;/td&gt;&lt;td&gt;&lt;div class="chip-row"&gt;&lt;span class="chip chip-green"&gt;Inpatient claim submitted without required condition code indicating accident-related treatment → denied.&lt;/span&gt;&lt;span class="chip chip-green"&gt;Claim missing condition code for Medicare Secondary Payer (MSP) situation (e.g., employment, liability) → denial issued.&lt;/span&gt;&lt;span class="chip chip-green"&gt;Hospice or occurrence-related billing submitted without proper condition code identifying care type → denied.&lt;/span&gt;&lt;span class="chip chip-green"&gt;Outpatient claim requiring condition code for special program participation or coverage exception but not included → denial applied.&lt;/span&gt;&lt;span class="chip chip-green"&gt;Incorrect or invalid condition code entered that does not match billing scenario → claim rejected/denied.&lt;/span&gt;&lt;/div&gt;&lt;/td&gt;&lt;td&gt;&lt;div class="chip-row"&gt;&lt;span class="chip chip-green"&gt;Required condition code not captured during registration or billing process.&lt;/span&gt;&lt;span class="chip chip-green"&gt;Incorrect understanding of payer rules for when condition codes are required.&lt;/span&gt;&lt;span class="chip chip-green"&gt;Data entry errors or invalid code selection in claim system.&lt;/span&gt;&lt;span class="chip chip-green"&gt;Workflow gap between clinical documentation and billing team regarding patient circumstances.&lt;/span&gt;&lt;span class="chip chip-green"&gt;System configuration issues causing condition codes to drop during claim generation.&lt;/span&gt;&lt;span class="chip chip-green"&gt;Lack of staff training on UB-04 condition code usage.&lt;/span&gt;&lt;/div&gt;&lt;/td&gt;&lt;td class="td-res"&gt;• Review claim requirements and determine which condition code is required based on payer policy and patient situation.&lt;br&gt;• Correct the claim by adding the appropriate condition code.&lt;br&gt;• Verify related fields (occurrence codes, value codes, MSP information) for accuracy and consistency.&lt;br&gt;• Resubmit corrected claim to payer.&lt;br&gt;• If denial applied incorrectly → appeal with documentation supporting correct billing scenario.&lt;br&gt;• Educate staff if issue resulted from workflow or knowledge gap.&lt;br&gt;• | Code | Description &lt;br&gt;| 01 | Military service related &lt;br&gt;| 02 | Condition is employment related &lt;br&gt;| 03 | Patient covered by insurance not reflected here &lt;br&gt;| 04 | Information only bill &lt;br&gt;| 05 | Lien has been filed &lt;br&gt;| 06 | ESRD patient in first 18 months of Medicare entitlement &lt;br&gt;| 07 | Treatment of non-terminal condition for hospice patient &lt;br&gt;| 08 | Beneficiary would not provide information concerning other insurance &lt;br&gt;| 09 | Neither patient nor spouse employed &lt;br&gt;| 10 | Patient and/or spouse employed but no group health coverage &lt;br&gt;| 11 | Disabled beneficiary but no LGHP coverage &lt;br&gt;| 12 | Working aged beneficiary or spouse with EGHP &lt;br&gt;| 13 | End Stage Renal Disease beneficiary in MSP period with EGHP &lt;br&gt;| 14 | No-fault including auto accident &lt;br&gt;| 15 | Workers’ Compensation &lt;br&gt;| 16 | Other government program &lt;br&gt;| 17 | Patient is homeless &lt;br&gt;| 18 | Maiden name retained &lt;br&gt;| 19 | Child retains mother's name &lt;br&gt;| 20 | Beneficiary requested billing &lt;br&gt;| 21 | Billing for denial notice &lt;br&gt;| 22 | Patient on leave of absence &lt;br&gt;| 23 | Patient on pass &lt;br&gt;| 24 | Home IV patient &lt;br&gt;| 25 | Non-covered stay (leave of absence) &lt;br&gt;| 26 | Veterans Administration eligible patient &lt;br&gt;| 27 | Patient transferred to another facility &lt;br&gt;| 28 | Patient and/or spouse’s EGHP is secondary to Medicare &lt;br&gt;| 29 | Disabled beneficiary and LGHP is secondary &lt;br&gt;| 30 | Qualifying clinical trial &lt;br&gt;| 31 | Patient enrolled in Hospice &lt;br&gt;| 32 | Patient enrolled in Hospice — unrelated condition &lt;br&gt;| 33 | Patient is a Medicaid Qualified Medicare Beneficiary (QMB) &lt;br&gt;| 34 | Patient is a Qualified Disabled Working Individual (QDWI) &lt;br&gt;| 35 | Patient is a Qualified Individual (QI) &lt;br&gt;| 36 | General care patient in hospital &lt;br&gt;| 37 | Preadmission screening completed &lt;br&gt;| 38 | Preadmission screening not required &lt;br&gt;| 39 | Private room medically necessary &lt;br&gt;| 40 | Same-day transfer &lt;br&gt;| 41 | Partial hospitalization &lt;br&gt;| 42 | Continued care not related to inpatient admission &lt;br&gt;| 43 | Scheduled payment adjustment &lt;br&gt;| 44 | Inpatient admission changed to outpatient &lt;br&gt;| 45 | Ambulance limitation &lt;br&gt;| 46 | Non-availability of bed &lt;br&gt;| 47 | Transfer from another facility &lt;br&gt;| 48 | Psychiatric residential treatment center &lt;br&gt;| 49 | Product replacement within warranty &lt;br&gt;| 50 | Product replacement due to recall &lt;br&gt;| 51 | Attestation of unrelated outpatient non-diagnostic service &lt;br&gt;| 52 | Hospice patient outside service area &lt;br&gt;| 53 | Initial placement of home health patient &lt;br&gt;| 54 | No skilled home health visits in billing period &lt;br&gt;| 55 | SNF bed not available &lt;br&gt;| 56 | Medical appropriateness override &lt;br&gt;| 57 | SNF readmission &lt;br&gt;| 58 | Treatment authorization &lt;br&gt;| 59 | Non-primary ESRD facility &lt;br&gt;| 60 | Outpatient therapy plan of care &lt;br&gt;| 61 | Immediate referral &lt;br&gt;| 62 | Extended treatment &lt;br&gt;| 63 | Patient under waiver &lt;br&gt;| 64 | Other waiver &lt;br&gt;| 65 | Non-primary home health agency &lt;br&gt;| 66 | Patient eligible for Medicare but not enrolled &lt;br&gt;| 67 | Beneficiary elects not to use lifetime reserve days &lt;br&gt;| 68 | Beneficiary elects to use lifetime reserve days &lt;br&gt;| 69 | Day outlier &lt;br&gt;| 70 | Cost outlier &lt;br&gt;| 71 | Full care in unit &lt;br&gt;| 72 | Self-administered drug exclusion &lt;br&gt;| 73 | Self-administered drug coverage &lt;br&gt;| 74 | Home health — visits reduced &lt;br&gt;| 75 | Home health — visits increased &lt;br&gt;| 76 | Patient liability waiver signed &lt;br&gt;| 77 | Provider accepts or is obligated to accept payment &lt;br&gt;| 78 | New coverage not implemented &lt;br&gt;| 79 | Cost report settlement &lt;br&gt;| 80 | Home health recertification &lt;br&gt;| 81 | Home health certification &lt;br&gt;| 82 | Patient transfers to hospice &lt;br&gt;| 83 | Patient revokes hospice &lt;br&gt;| 84 | Hospice discharge &lt;br&gt;| 85 | Delayed recertification &lt;br&gt;| 86 | Delayed certification &lt;br&gt;| 87 | Home health election period &lt;br&gt;| 88 | Notification of admission &lt;br&gt;| 89 | Notification of discharge &lt;br&gt;| 90 | Notification of transfer&lt;/td&gt;&lt;/tr&gt;</t>
  </si>
  <si>
    <t>&lt;tr data-carc="CO 16" data-type="co" data-rarc="M46 — Missing/incomplete/invalid occurrence span code(s)." data-denial="The claim was denied because required Occurrence Span Code(s) were missing, incomplete, invalid, or reported with incorrect date ranges. Occurrence Span Codes (UB-04 Form Locator 35–36) identify a period of time (From–Through dates) during which a specific condition or event existed that impacts claim processing. If the span code or date range is incorrect or absent, the payer cannot properly adjudicate the claim." data-root="• Required occurrence span codes not captured during registration or billing workflow.\n• Incorrect understanding of payer requirements for reporting date ranges affecting coverage.\n• Data entry errors such as missing “from” or “through” dates or invalid date ranges.\n• Mismatch between occurrence span codes, condition codes, and claim statement dates.\n• System configuration issues causing span codes to drop during claim generation.\n• Staff unfamiliarity with UB-04 occurrence span code rules and scenarios."&gt;&lt;td&gt;&lt;div class="row-num"&gt;#106&lt;/div&gt;&lt;span class="carc-badge co"&gt;CO 16&lt;/span&gt;&lt;/td&gt;&lt;td&gt;&lt;span class="denial-reason"&gt;Invalid Occurrence Span Code&lt;/span&gt;&lt;/td&gt;&lt;td class="rarc-wrap"&gt;&lt;div class="rarc-id"&gt;M46&lt;/div&gt;&lt;div class="rarc-desc"&gt;Missing/incomplete/invalid occurrence span code(s).&lt;/div&gt;&lt;/td&gt;&lt;td class="td-meaning"&gt;The claim was denied because required Occurrence Span Code(s) were missing, incomplete, invalid, or reported with incorrect date ranges. Occurrence Span Codes (UB-04 Form Locator 35–36) identify a period of time (From–Through dates) during which a specific condition or event existed that impacts claim processing. If the span code or date range is incorrect or absent, the payer cannot properly adjudicate the claim.&lt;/td&gt;&lt;td&gt;&lt;div class="chip-row"&gt;&lt;span class="chip chip-green"&gt;Inpatient claim missing occurrence span code for non-covered days (e.g., patient leave of absence) → denied.&lt;/span&gt;&lt;span class="chip chip-green"&gt;Hospice patient billing without span dates indicating hospice period overlapping hospital services → denial issued.&lt;/span&gt;&lt;span class="chip chip-green"&gt;Skilled Nursing Facility (SNF) claim missing benefit period or qualifying stay span → denied.&lt;/span&gt;&lt;span class="chip chip-green"&gt;Medicare Secondary Payer claim missing occurrence span code indicating liability or no-fault coverage period → denial applied.&lt;/span&gt;&lt;span class="chip chip-green"&gt;Occurrence span code entered but date range incomplete or inconsistent with statement dates → claim rejected/denied.&lt;/span&gt;&lt;/div&gt;&lt;/td&gt;&lt;td&gt;&lt;div class="chip-row"&gt;&lt;span class="chip chip-green"&gt;Required occurrence span codes not captured during registration or billing workflow.&lt;/span&gt;&lt;span class="chip chip-green"&gt;Incorrect understanding of payer requirements for reporting date ranges affecting coverage.&lt;/span&gt;&lt;span class="chip chip-green"&gt;Data entry errors such as missing “from” or “through” dates or invalid date ranges.&lt;/span&gt;&lt;span class="chip chip-green"&gt;Mismatch between occurrence span codes, condition codes, and claim statement dates.&lt;/span&gt;&lt;span class="chip chip-green"&gt;System configuration issues causing span codes to drop during claim generation.&lt;/span&gt;&lt;span class="chip chip-green"&gt;Staff unfamiliarity with UB-04 occurrence span code rules and scenarios.&lt;/span&gt;&lt;/div&gt;&lt;/td&gt;&lt;td class="td-res"&gt;• Review payer requirements to determine which occurrence span code(s) are required.&lt;br&gt;• Verify accurate date ranges from patient records (non-covered days, hospice period, leave, MSP coverage).&lt;br&gt;• Correct the claim by adding or updating occurrence span code(s) with proper from–through dates.&lt;br&gt;• Ensure consistency with condition codes, occurrence codes, and statement period.&lt;br&gt;• Resubmit corrected claim to payer.&lt;br&gt;• If denial applied incorrectly → appeal with supporting documentation confirming span dates.&lt;br&gt;• | Code | Description &lt;br&gt;| 70 | Qualifying stay dates for SNF &lt;br&gt;| 71 | Full days of non-covered care &lt;br&gt;| 72 | First/last visit dates (Home Health) &lt;br&gt;| 73 | Benefit eligibility span &lt;br&gt;| 74 | Non-covered level of care &lt;br&gt;| 75 | SNF level of care dates &lt;br&gt;| 76 | Patient liability period &lt;br&gt;| 77 | Provider liability period &lt;br&gt;| 78 | SNF prior stay dates &lt;br&gt;| 79 | Payer code reporting period &lt;br&gt;| 80 | Home health recertification period &lt;br&gt;| 81 | Home health certification period &lt;br&gt;| 82 | Psychiatric residential treatment period &lt;br&gt;| 83 | Leave of absence days &lt;br&gt;| 84 | Hospice election period &lt;br&gt;| 85 | Hospice revocation period &lt;br&gt;| 86 | Skilled nursing level of care period &lt;br&gt;| 87 | Home health service interruption period &lt;br&gt;| 88 | Cost outlier period &lt;br&gt;| 89 | Preadmission screening period&lt;/td&gt;&lt;/tr&gt;</t>
  </si>
  <si>
    <t>&lt;tr data-carc="CO 16" data-type="co" data-rarc="M47 — Missing/incomplete/invalid Payer Claim Control Number. Other terms exist for this element including, but not limited to, Internal Control Number (ICN), Claim Control Number (CCN), Document Control Number (DCN)." data-denial="The claim was denied because the payer claim control number (also known as Internal Control Number — ICN, Claim Control Number — CCN, or Document Control Number — DCN) was missing, incomplete, or invalid. This number is required when submitting corrected claims, adjustments, voids, or secondary claims so the payer can locate the original claim in their system. Without the correct reference number, the payer cannot process the request." data-root="• Original payer claim control number not captured or stored in billing system.\n• Data entry errors during corrected or replacement claim submission.\n• Staff unaware of requirement to include ICN/DCN for adjustments or resubmissions.\n• Mismatch between payer reference number and claim being corrected.\n• System configuration issues causing claim number to drop during EDI transmission.\n• Secondary billing workflows not properly referencing primary claim information."&gt;&lt;td&gt;&lt;div class="row-num"&gt;#107&lt;/div&gt;&lt;span class="carc-badge co"&gt;CO 16&lt;/span&gt;&lt;/td&gt;&lt;td&gt;&lt;span class="denial-reason"&gt;Invalid Claim Number&lt;/span&gt;&lt;/td&gt;&lt;td class="rarc-wrap"&gt;&lt;div class="rarc-id"&gt;M47&lt;/div&gt;&lt;div class="rarc-desc"&gt;Missing/incomplete/invalid Payer Claim Control Number. Other terms exist for this element including, but not limited to, Internal Control Number (ICN), Claim Control Number (CCN), Document Control Number (DCN).&lt;/div&gt;&lt;/td&gt;&lt;td class="td-meaning"&gt;The claim was denied because the payer claim control number (also known as Internal Control Number — ICN, Claim Control Number — CCN, or Document Control Number — DCN) was missing, incomplete, or invalid. This number is required when submitting corrected claims, adjustments, voids, or secondary claims so the payer can locate the original claim in their system. Without the correct reference number, the payer cannot process the request.&lt;/td&gt;&lt;td&gt;&lt;div class="chip-row"&gt;&lt;span class="chip chip-green"&gt;Corrected claim submitted without referencing the original claim ICN/DCN → denied.&lt;/span&gt;&lt;span class="chip chip-green"&gt;Adjustment or replacement claim includes incorrect payer control number → payer unable to match claim → denial issued.&lt;/span&gt;&lt;span class="chip chip-green"&gt;Secondary insurance claim submitted without primary payer claim number in required field → denied.&lt;/span&gt;&lt;span class="chip chip-green"&gt;Void request sent with missing or invalid claim reference number → rejected.&lt;/span&gt;&lt;span class="chip chip-green"&gt;Manual entry error causing incorrect ICN format or truncated number → denial applied.&lt;/span&gt;&lt;/div&gt;&lt;/td&gt;&lt;td&gt;&lt;div class="chip-row"&gt;&lt;span class="chip chip-green"&gt;Original payer claim control number not captured or stored in billing system.&lt;/span&gt;&lt;span class="chip chip-green"&gt;Data entry errors during corrected or replacement claim submission.&lt;/span&gt;&lt;span class="chip chip-green"&gt;Staff unaware of requirement to include ICN/DCN for adjustments or resubmissions.&lt;/span&gt;&lt;span class="chip chip-green"&gt;Mismatch between payer reference number and claim being corrected.&lt;/span&gt;&lt;span class="chip chip-green"&gt;System configuration issues causing claim number to drop during EDI transmission.&lt;/span&gt;&lt;span class="chip chip-green"&gt;Secondary billing workflows not properly referencing primary claim information.&lt;/span&gt;&lt;/div&gt;&lt;/td&gt;&lt;td class="td-res"&gt;• Retrieve the correct payer claim control number from the Explanation of Benefits (EOB) or payer portal.&lt;br&gt;• Verify the number matches the claim being corrected or adjusted.&lt;br&gt;• Enter the ICN/DCN/CCN in the appropriate claim field (e.g., REF segment or claim frequency code loop).&lt;br&gt;• Resubmit the corrected, replacement, or secondary claim with accurate reference information.&lt;br&gt;• If payer error suspected → contact payer to confirm correct claim control number before resubmission.&lt;br&gt;• Appeal if denial occurred despite correct reference number submission.&lt;/td&gt;&lt;/tr&gt;</t>
  </si>
  <si>
    <t>&lt;tr data-carc="CO 16" data-type="co" data-rarc="M49 — Missing/incomplete/invalid value code(s) or amount(s)." data-denial="The claim was denied because the required Value Code(s) or corresponding amounts were missing, incomplete, invalid, or not appropriate for the billing situation. Value Codes (UB-04 Form Locator 39–41) report numeric values such as patient liability amounts, covered days, coinsurance days, benefit usage, blood units, and other financial or utilization information that impacts claim adjudication. Without valid value codes and amounts, the payer cannot process the claim correctly." data-root="• Required value codes not captured during billing preparation.\n• Incorrect or missing monetary amounts associated with value codes.\n• Data entry errors or formatting issues during claim creation.\n• Mismatch between value codes and occurrence/condition codes on the claim.\n• System configuration issues causing value code fields to drop during transmission.\n• Staff unfamiliarity with payer-specific value code requirements."&gt;&lt;td&gt;&lt;div class="row-num"&gt;#108&lt;/div&gt;&lt;span class="carc-badge co"&gt;CO 16&lt;/span&gt;&lt;/td&gt;&lt;td&gt;&lt;span class="denial-reason"&gt;Invalid Value Code(s) or Amount(s)&lt;/span&gt;&lt;/td&gt;&lt;td class="rarc-wrap"&gt;&lt;div class="rarc-id"&gt;M49&lt;/div&gt;&lt;div class="rarc-desc"&gt;Missing/incomplete/invalid value code(s) or amount(s).&lt;/div&gt;&lt;/td&gt;&lt;td class="td-meaning"&gt;The claim was denied because the required Value Code(s) or corresponding amounts were missing, incomplete, invalid, or not appropriate for the billing situation. Value Codes (UB-04 Form Locator 39–41) report numeric values such as patient liability amounts, covered days, coinsurance days, benefit usage, blood units, and other financial or utilization information that impacts claim adjudication. Without valid value codes and amounts, the payer cannot process the claim correctly.&lt;/td&gt;&lt;td&gt;&lt;div class="chip-row"&gt;&lt;span class="chip chip-green"&gt;Inpatient claim missing value codes for covered days or coinsurance days → denied.&lt;/span&gt;&lt;span class="chip chip-green"&gt;Medicare Secondary Payer claim submitted without required value code indicating primary payer payment amount → denial issued.&lt;/span&gt;&lt;span class="chip chip-green"&gt;Claim missing patient liability amount value code required for adjudication → denied.&lt;/span&gt;&lt;span class="chip chip-green"&gt;Value code entered but associated amount missing or invalid format → claim rejected.&lt;/span&gt;&lt;span class="chip chip-green"&gt;Incorrect value code used that does not match billing scenario → denial applied.&lt;/span&gt;&lt;/div&gt;&lt;/td&gt;&lt;td&gt;&lt;div class="chip-row"&gt;&lt;span class="chip chip-green"&gt;Required value codes not captured during billing preparation.&lt;/span&gt;&lt;span class="chip chip-green"&gt;Incorrect or missing monetary amounts associated with value codes.&lt;/span&gt;&lt;span class="chip chip-green"&gt;Data entry errors or formatting issues during claim creation.&lt;/span&gt;&lt;span class="chip chip-green"&gt;Mismatch between value codes and occurrence/condition codes on the claim.&lt;/span&gt;&lt;span class="chip chip-green"&gt;System configuration issues causing value code fields to drop during transmission.&lt;/span&gt;&lt;span class="chip chip-green"&gt;Staff unfamiliarity with payer-specific value code requirements.&lt;/span&gt;&lt;/div&gt;&lt;/td&gt;&lt;td class="td-res"&gt;• Review payer requirements to determine which value codes and amounts are required.&lt;br&gt;• Verify accurate financial information from patient account or EOB data.&lt;br&gt;• Correct the claim by adding or updating value codes and corresponding amounts.&lt;br&gt;• Ensure consistency with occurrence codes, condition codes, and statement dates.&lt;br&gt;• Resubmit corrected claim to payer.&lt;br&gt;• If denial applied incorrectly → appeal with documentation supporting value code information.&lt;br&gt;• | Code | Description                                        |&lt;br&gt;| ---- | -------------------------------------------------- |&lt;br&gt;| 01   | Most common semi-private room rate                 |&lt;br&gt;| 02   | Hospital has no semi-private rooms                 |&lt;br&gt;| 03   | Hospital has semi-private rooms but none available |&lt;br&gt;| 04   | Psychiatric days                                   |&lt;br&gt;| 05   | Lifetime reserve days                              |&lt;br&gt;| 06   | Coinsurance days                                   |&lt;br&gt;| 07   | Covered days                                       |&lt;br&gt;| 08   | Non-covered days                                   |&lt;br&gt;| 09   | Coinsurance amount                                 |&lt;br&gt;| 10   | Lifetime reserve amount                            |&lt;br&gt;| 11   | Patient liability amount                           |&lt;br&gt;| 12   | Working aged beneficiary EGHP amount               |&lt;br&gt;| 13   | ESRD beneficiary EGHP amount                       |&lt;br&gt;| 14   | No-fault payment amount                            |&lt;br&gt;| 15   | Workers’ compensation payment amount               |&lt;br&gt;| 16   | Other government payment amount                    |&lt;br&gt;| 17   | Patient paid amount                                |&lt;br&gt;| 18   | Payer paid amount                                  |&lt;br&gt;| 19   | Blood deductible units                             |&lt;br&gt;| 20   | Blood deductible amount                            |&lt;br&gt;| 21   | Blood furnished units                              |&lt;br&gt;| 22   | Blood replacement units                            |&lt;br&gt;| 23   | Blood deductible pints                             |&lt;br&gt;| 24   | Payer covered charges                              |&lt;br&gt;| 25   | Non-covered charges                                |&lt;br&gt;| 26   | ESWL kidney stone treatment                        |&lt;br&gt;| 27   | Medicare outpatient coinsurance                    |&lt;br&gt;| 28   | Medicare inpatient deductible                      |&lt;br&gt;| 29   | Medicare inpatient coinsurance                     |&lt;br&gt;| 30   | Medicare lifetime reserve coinsurance              |&lt;br&gt;| 31   | Medicare blood deductible                          |&lt;br&gt;| 32   | Working aged EGHP coinsurance                      |&lt;br&gt;| 33   | ESRD EGHP coinsurance                              |&lt;br&gt;| 34   | No-fault coinsurance                               |&lt;br&gt;| 35   | Workers’ compensation coinsurance                  |&lt;br&gt;| 36   | Other liability coinsurance                        |&lt;br&gt;| 37   | Medicare secondary payment                         |&lt;br&gt;| 38   | Medicare secondary coinsurance                     |&lt;br&gt;| 39   | Medicare secondary deductible                      |&lt;br&gt;| 40   | Medicare secondary blood deductible                |&lt;br&gt;| 41   | Medicare secondary psychiatric days                |&lt;br&gt;| 42   | Medicare secondary lifetime reserve                |&lt;br&gt;| 43   | Medicare secondary coinsurance days                |&lt;br&gt;| 44   | Medicare secondary covered days                    |&lt;br&gt;| 45   | Accident hour                                      |&lt;br&gt;| 46   | Number of treatments                               |&lt;br&gt;| 47   | Hemoglobin reading                                 |&lt;br&gt;| 48   | Hematocrit reading                                 |&lt;br&gt;| 49   | EPO units administered                             |&lt;br&gt;| 50   | Physical therapy visits                            |&lt;br&gt;| 51   | Occupational therapy visits                        |&lt;br&gt;| 52   | Speech therapy visits                              |&lt;br&gt;| 53   | Initial treatment date                             |&lt;br&gt;| 54   | Last visit date                                    |&lt;br&gt;| 55   | SNF prior days                                     |&lt;br&gt;| 56   | SNF covered days                                   |&lt;br&gt;| 57   | SNF coinsurance days                               |&lt;br&gt;| 58   | SNF lifetime reserve days                          |&lt;br&gt;| 59   | SNF non-covered days                               |&lt;br&gt;| 60   | Home health visits                                 |&lt;br&gt;| 61   | Home health covered days                           |&lt;br&gt;| 62   | Home health non-covered days                       |&lt;br&gt;| 63   | Home health coinsurance visits                     |&lt;br&gt;| 64   | Home health charges                                |&lt;br&gt;| 65   | Employer contact information                       |&lt;br&gt;| 66   | Employer location                                  |&lt;br&gt;| 67   | Employer telephone                                 |&lt;br&gt;| 68   | Employer name                                      |&lt;br&gt;| 69   | Employer address                                   |&lt;br&gt;| 80   | Covered charges                                    |&lt;br&gt;| 81   | Non-covered charges                                |&lt;br&gt;| 82   | Professional component charges                     |&lt;br&gt;| 83   | Technical component charges                        |&lt;/td&gt;&lt;/tr&gt;</t>
  </si>
  <si>
    <t>&lt;tr data-carc="CO 16" data-type="co" data-rarc="M50 — Missing/incomplete/invalid revenue code(s)." data-denial="The claim was denied because one or more Revenue Codes were missing, incomplete, invalid, or not appropriate for the services billed. Revenue Codes (UB-04 Form Locator 42) identify the department or type of service provided by the facility (e.g., room and board, pharmacy, laboratory, therapy). Without valid revenue codes aligned with CPT/HCPCS and billing rules, the payer cannot adjudicate the claim." data-root="• Units or days field left blank or populated incorrectly during billing.\n• Mismatch between documentation and billed units.\n• Coding errors for time-based or per-session procedures.\n• System configuration issues causing units to drop during claim transmission.\n• Staff unfamiliarity with payer unit billing requirements or CPT guidelines.\n• Data entry mistakes or incorrect unit conversions (minutes vs units)."&gt;&lt;td&gt;&lt;div class="row-num"&gt;#109&lt;/div&gt;&lt;span class="carc-badge co"&gt;CO 16&lt;/span&gt;&lt;/td&gt;&lt;td&gt;&lt;span class="denial-reason"&gt;Invalid Revenue Code&lt;/span&gt;&lt;/td&gt;&lt;td class="rarc-wrap"&gt;&lt;div class="rarc-id"&gt;M50&lt;/div&gt;&lt;div class="rarc-desc"&gt;Missing/incomplete/invalid revenue code(s).&lt;/div&gt;&lt;/td&gt;&lt;td class="td-meaning"&gt;The claim was denied because one or more Revenue Codes were missing, incomplete, invalid, or not appropriate for the services billed. Revenue Codes (UB-04 Form Locator 42) identify the department or type of service provided by the facility (e.g., room and board, pharmacy, laboratory, therapy). Without valid revenue codes aligned with CPT/HCPCS and billing rules, the payer cannot adjudicate the claim.&lt;/td&gt;&lt;td&gt;&lt;div class="chip-row"&gt;&lt;span class="chip chip-green"&gt;Therapy services billed without units or with incorrect number of units → denied.&lt;/span&gt;&lt;span class="chip chip-green"&gt;Inpatient or SNF claim missing covered days or length of stay information → denial issued.&lt;/span&gt;&lt;span class="chip chip-green"&gt;DME rental claim submitted without rental month units → denied.&lt;/span&gt;&lt;span class="chip chip-green"&gt;Procedure code billed with units exceeding payer maximum allowed per day → denial applied.&lt;/span&gt;&lt;span class="chip chip-green"&gt;Units entered inconsistent with time-based CPT coding documentation → claim rejected.&lt;/span&gt;&lt;/div&gt;&lt;/td&gt;&lt;td&gt;&lt;div class="chip-row"&gt;&lt;span class="chip chip-green"&gt;Units or days field left blank or populated incorrectly during billing.&lt;/span&gt;&lt;span class="chip chip-green"&gt;Mismatch between documentation and billed units.&lt;/span&gt;&lt;span class="chip chip-green"&gt;Coding errors for time-based or per-session procedures.&lt;/span&gt;&lt;span class="chip chip-green"&gt;System configuration issues causing units to drop during claim transmission.&lt;/span&gt;&lt;span class="chip chip-green"&gt;Staff unfamiliarity with payer unit billing requirements or CPT guidelines.&lt;/span&gt;&lt;span class="chip chip-green"&gt;Data entry mistakes or incorrect unit conversions (minutes vs units).&lt;/span&gt;&lt;/div&gt;&lt;/td&gt;&lt;td class="td-res"&gt;• Review clinical documentation to confirm correct units or days of service.&lt;br&gt;• Verify CPT/HCPCS guidelines and payer policies for allowable units.&lt;br&gt;• Correct the claim with accurate units or covered days information.&lt;br&gt;• Ensure consistency between revenue codes, CPT codes, and units reported.&lt;br&gt;• Resubmit corrected claim to payer.&lt;br&gt;• If denial incorrect → appeal with documentation supporting billed units.&lt;br&gt;• | Range | Description &lt;br&gt;| 0001–0009 | Total Charges &lt;br&gt;| 0100–0169 | Room &amp; Board (Inpatient)&lt;br&gt;| 0170–0179 | Nursery &lt;br&gt;| 0180–0189 | Leave of Absence &lt;br&gt;| 0190–0199 | Subacute Care &lt;br&gt;| 0200–0209 | Intensive Care &lt;br&gt;| 0210–0219 | Coronary Care &lt;br&gt;| 0220–0229 | Special Charges &lt;br&gt;| 0230–0239 | Incremental Nursing &lt;br&gt;| 0240–0249 | All-Inclusive Room &amp; Board &lt;br&gt;| 0250–0259 | Pharmacy &lt;br&gt;| 0260–0269 | IV Therapy&lt;br&gt;| 0270–0279 | Medical/Surgical Supplies &lt;br&gt;| 0280–0289 | Oncology &lt;br&gt;| 0290–0299 | Durable Medical Equipment &lt;br&gt;| 0300–0309 | Laboratory &lt;br&gt;| 0310–0319 | Laboratory Pathology &lt;br&gt;| 0320–0329 | Radiology Diagnostic &lt;br&gt;| 0330–0339 | Radiology Therapeutic &lt;br&gt;| 0340–0349 | Nuclear Medicine &lt;br&gt;| 0350–0359 | CT Scan &lt;br&gt;| 0360–0369 | Operating Room &lt;br&gt;| 0370–0379 | Anesthesia &lt;br&gt;| 0380–0389 | Blood &lt;br&gt;| 0390–0399 | Blood Storage &lt;br&gt;| 0400–0409 | Other Imaging &lt;br&gt;| 0410–0419 | Respiratory Services &lt;br&gt;| 0420–0429 | Physical Therapy &lt;br&gt;| 0430–0439 | Occupational Therapy &lt;br&gt;| 0440–0449 | Speech Therapy &lt;br&gt;| 0450–0459 | Emergency Room &lt;br&gt;| 0460–0469 | Pulmonary Function &lt;br&gt;| 0470–0479 | Audiology &lt;br&gt;| 0480–0489 | Cardiology &lt;br&gt;| 0490–0499 | Ambulatory Surgery &lt;br&gt;| 0500–0509 | Outpatient Services&lt;br&gt;| 0510–0519 | Clinic &lt;br&gt;| 0520–0529 | Free-Standing Clinic G34&lt;br&gt;| 0530–0539 | Community Mental Health &lt;br&gt;| 0540–0549 | Ambulance &lt;br&gt;| 0550–0559 | Skilled Nursing &lt;br&gt;| 0560–0569 | Medical Social Services &lt;br&gt;| 0570–0579 | Home Health Aide &lt;br&gt;| 0580–0589 | Home Health Visit &lt;br&gt;| 0590–0599 | Home Health Units &lt;br&gt;| 0600–0609 | Oxygen&lt;br&gt;| 0610–0619 | MRI &lt;br&gt;| 0620–0629 | Oncology Pharmacy &lt;br&gt;| 0630–0639 | Drugs Requiring Detail Coding &lt;br&gt;| 0640–0649 | Hemodialysis &lt;br&gt;| 0650–0659 | Hospice &lt;br&gt;| 0660–0669 | Skilled Nursing Facility&lt;br&gt;| 0670–0679 | Outpatient Observation &lt;br&gt;| 0680–0689 | Trauma Response &lt;br&gt;| 0690–0699 | Preventive Care &lt;br&gt;| 0700–0709 | Cast Room &lt;br&gt;| 0710–0719 | Recovery Room &lt;br&gt;| 0720–0729 | Labor Room &lt;br&gt;| 0730–0739 | EKG/ECG &lt;br&gt;| 0740–0749 | EEG &lt;br&gt;| 0750–0759 | Gastrointestinal &lt;br&gt;| 0760–0769 | Specialty Services &lt;br&gt;| 0770–0779 | Preventive Services &lt;br&gt;| 0780–0789 | Telemedicine &lt;br&gt;| 0790–0799 | Lithotripsy &lt;br&gt;| 0800–0809 | Inpatient Renal Dialysis&lt;br&gt;| 0810–0819 | Organ Acquisition &lt;br&gt;| 0820–0829 | Hematology &lt;br&gt;| 0830–0839 | Oncology &lt;br&gt;| 0840–0849 | Pulmonary Rehabilitation &lt;br&gt;| 0850–0859 | Residential Treatment &lt;br&gt;| 0860–0869 | Reserved &lt;br&gt;| 0870–0879 | Behavioral Health &lt;br&gt;| 0880–0889 | Miscellaneous &lt;br&gt;| 0890–0899 | Special Programs &lt;br&gt;| 0900–0909 | Behavioral Health Treatment &lt;br&gt;| 0910–0919 | Psychiatric &lt;br&gt;| 0920–0929 | Other Diagnostic &lt;br&gt;| 0930–0939 | Other Therapeutic &lt;br&gt;| 0940–0949 | Other Therapeutic Services &lt;br&gt;| 0950–0959 | Other Outpatient &lt;br&gt;| 0960–0969 | Professional Fees &lt;br&gt;| 0970–0979 | Professional Fees &lt;br&gt;| 0980–0989 | Professional Fees &lt;br&gt;| 0990–0999 | Professional Fees&lt;/td&gt;&lt;/tr&gt;</t>
  </si>
  <si>
    <t>&lt;tr data-carc="CO 16" data-type="co" data-rarc="M51 — Missing/incomplete/invalid procedure code(s)." data-denial="The claim was denied because one or more procedure codes (CPT/HCPCS) were missing, incomplete, invalid, expired, or not recognized by the payer. Procedure codes are required to identify the service performed and determine reimbursement. If the code submitted is incorrect or absent, the payer cannot adjudicate the claim.\nClaim Form Locations:\nUB-04: Form Locator (FL) 44 — HCPCS / Rate / HIPPS Code\nCMS-1500: Box 24D — Procedures, Services, or Supplies (CPT/HCPCS &amp; Modifiers)" data-root="• Procedure code field left blank or populated incorrectly during charge entry.\n• Use of outdated or deleted CPT/HCPCS codes not valid for service date.\n• Missing required modifiers causing code to be incomplete.\n• Mismatch between procedure code and diagnosis, revenue code, or POS.\n• System mapping errors between charge master and billing system.\n• Staff unfamiliarity with coding updates or payer requirements."&gt;&lt;td&gt;&lt;div class="row-num"&gt;#110&lt;/div&gt;&lt;span class="carc-badge co"&gt;CO 16&lt;/span&gt;&lt;/td&gt;&lt;td&gt;&lt;span class="denial-reason"&gt;Invalid Procedure Code&lt;/span&gt;&lt;/td&gt;&lt;td class="rarc-wrap"&gt;&lt;div class="rarc-id"&gt;M51&lt;/div&gt;&lt;div class="rarc-desc"&gt;Missing/incomplete/invalid procedure code(s).&lt;/div&gt;&lt;/td&gt;&lt;td class="td-meaning"&gt;The claim was denied because one or more procedure codes (CPT/HCPCS) were missing, incomplete, invalid, expired, or not recognized by the payer. Procedure codes are required to identify the service performed and determine reimbursement. If the code submitted is incorrect or absent, the payer cannot adjudicate the claim.&lt;br&gt;Claim Form Locations:&lt;br&gt;UB-04: Form Locator (FL) 44 — HCPCS / Rate / HIPPS Code&lt;br&gt;CMS-1500: Box 24D — Procedures, Services, or Supplies (CPT/HCPCS &amp; Modifiers)&lt;/td&gt;&lt;td&gt;&lt;div class="chip-row"&gt;&lt;span class="chip chip-green"&gt;Claim submitted without a CPT/HCPCS code populated on the service line → denied.&lt;/span&gt;&lt;span class="chip chip-green"&gt;Invalid or deleted procedure code used for the date of service → denial issued.&lt;/span&gt;&lt;span class="chip chip-green"&gt;HCPCS code billed without required modifiers causing code to be considered incomplete → denied.&lt;/span&gt;&lt;span class="chip chip-green"&gt;Procedure code inconsistent with place of service or revenue code → claim rejected.&lt;/span&gt;&lt;span class="chip chip-green"&gt;Typographical error in CPT code resulting in unrecognized code → denial applied.&lt;/span&gt;&lt;/div&gt;&lt;/td&gt;&lt;td&gt;&lt;div class="chip-row"&gt;&lt;span class="chip chip-green"&gt;Procedure code field left blank or populated incorrectly during charge entry.&lt;/span&gt;&lt;span class="chip chip-green"&gt;Use of outdated or deleted CPT/HCPCS codes not valid for service date.&lt;/span&gt;&lt;span class="chip chip-green"&gt;Missing required modifiers causing code to be incomplete.&lt;/span&gt;&lt;span class="chip chip-green"&gt;Mismatch between procedure code and diagnosis, revenue code, or POS.&lt;/span&gt;&lt;span class="chip chip-green"&gt;System mapping errors between charge master and billing system.&lt;/span&gt;&lt;span class="chip chip-green"&gt;Staff unfamiliarity with coding updates or payer requirements.&lt;/span&gt;&lt;/div&gt;&lt;/td&gt;&lt;td class="td-res"&gt;• Review medical documentation to identify correct procedure performed.&lt;br&gt;• Verify CPT/HCPCS code validity for the date of service using current coding references.&lt;br&gt;• Add required modifiers if applicable.&lt;br&gt;• Correct claim with valid procedure code(s) and resubmit.&lt;br&gt;• Ensure consistency between procedure codes, diagnosis codes, and billing details.&lt;br&gt;• If denial applied incorrectly → appeal with documentation supporting correct coding.&lt;/td&gt;&lt;/tr&gt;</t>
  </si>
  <si>
    <t>&lt;tr data-carc="CO 16" data-type="co" data-rarc="M52 — Missing/incomplete/invalid 'from' date(s) of service." data-denial="The claim was denied because the “From” date of service (start date of care or service line date) was missing, incomplete, invalid, or inconsistent with other claim information. The “From” date is required to establish the service period, determine coverage eligibility, and calculate reimbursement. Without a valid start date, the payer cannot adjudicate the claim.\nClaim Form Locations:\nUB-04:\nFL 6 — Statement Covers Period (From Date)\nFL 45 — Service Date (From) (for each revenue line)\nCMS-1500:\nBox 24A — Date(s) of Service (From)" data-root="• Date of service field left blank during claim entry.\n• Data entry error or incorrect date format.\n• Mismatch between service line dates and claim header dates.\n• System interface issues causing dates to drop during transmission.\n• Staff unfamiliarity with institutional billing date requirements.\n• Incorrect use of span dates or service period logic."&gt;&lt;td&gt;&lt;div class="row-num"&gt;#111&lt;/div&gt;&lt;span class="carc-badge co"&gt;CO 16&lt;/span&gt;&lt;/td&gt;&lt;td&gt;&lt;span class="denial-reason"&gt;Invalid From Date Of Service&lt;/span&gt;&lt;/td&gt;&lt;td class="rarc-wrap"&gt;&lt;div class="rarc-id"&gt;M52&lt;/div&gt;&lt;div class="rarc-desc"&gt;Missing/incomplete/invalid 'from' date(s) of service.&lt;/div&gt;&lt;/td&gt;&lt;td class="td-meaning"&gt;The claim was denied because the “From” date of service (start date of care or service line date) was missing, incomplete, invalid, or inconsistent with other claim information. The “From” date is required to establish the service period, determine coverage eligibility, and calculate reimbursement. Without a valid start date, the payer cannot adjudicate the claim.&lt;br&gt;Claim Form Locations:&lt;br&gt;UB-04:&lt;br&gt;FL 6 — Statement Covers Period (From Date)&lt;br&gt;FL 45 — Service Date (From) (for each revenue line)&lt;br&gt;CMS-1500:&lt;br&gt;Box 24A — Date(s) of Service (From)&lt;/td&gt;&lt;td&gt;&lt;div class="chip-row"&gt;&lt;span class="chip chip-green"&gt;Institutional claim submitted without statement “from” date → denied.&lt;/span&gt;&lt;span class="chip chip-green"&gt;Service line missing from date while through date present → rejection or denial issued.&lt;/span&gt;&lt;span class="chip chip-green"&gt;Invalid date format or impossible date entered (e.g., future date, wrong year) → claim denied.&lt;/span&gt;&lt;span class="chip chip-green"&gt;From date inconsistent with admission date or occurrence dates → denial applied.&lt;/span&gt;&lt;span class="chip chip-green"&gt;Multiple-day service billed but start date missing → payer unable to determine service period.&lt;/span&gt;&lt;/div&gt;&lt;/td&gt;&lt;td&gt;&lt;div class="chip-row"&gt;&lt;span class="chip chip-green"&gt;Date of service field left blank during claim entry.&lt;/span&gt;&lt;span class="chip chip-green"&gt;Data entry error or incorrect date format.&lt;/span&gt;&lt;span class="chip chip-green"&gt;Mismatch between service line dates and claim header dates.&lt;/span&gt;&lt;span class="chip chip-green"&gt;System interface issues causing dates to drop during transmission.&lt;/span&gt;&lt;span class="chip chip-green"&gt;Staff unfamiliarity with institutional billing date requirements.&lt;/span&gt;&lt;span class="chip chip-green"&gt;Incorrect use of span dates or service period logic.&lt;/span&gt;&lt;/div&gt;&lt;/td&gt;&lt;td class="td-res"&gt;• Review documentation to determine correct start date of service.&lt;br&gt;• Verify consistency between from date, through date, admission date, and occurrence codes.&lt;br&gt;• Correct the claim with accurate “from” date information.&lt;br&gt;• Ensure proper date format according to payer requirements.&lt;br&gt;• Resubmit corrected claim to payer.&lt;br&gt;• If denial applied incorrectly → appeal with supporting documentation showing service dates.&lt;/td&gt;&lt;/tr&gt;</t>
  </si>
  <si>
    <t>&lt;tr data-carc="CO 16" data-type="co" data-rarc="M53 — Missing/incomplete/invalid days or units of service." data-denial="The claim was denied because the days or units of service reported were missing, incomplete, invalid, or inconsistent with the procedure code, revenue code, or billing guidelines. Accurate reporting of units (such as number of visits, minutes, treatment sessions, rental months, or inpatient days) is required for the payer to calculate reimbursement correctly. Without valid units or covered days information, the claim cannot be adjudicated.\nClaim Form Locations:\nUB-04:\nFL 46 — Service Units (for each revenue code line)\nFL 39–41 — Value Codes (for covered days, non-covered days, coinsurance days when applicable)\nCMS-1500:\nBox 24G — Days or Units" data-root="• Units or days field left blank or entered incorrectly during charge capture.\n• Mismatch between clinical documentation and billed units.\n• Incorrect conversion of time into billable units for time-based services.\n• System configuration or interface issues causing units to drop during claim transmission.\n• Staff unfamiliar with payer rules, MUE limits, or unit billing guidelines.\n• Revenue code and units mismatch on institutional claims."&gt;&lt;td&gt;&lt;div class="row-num"&gt;#112&lt;/div&gt;&lt;span class="carc-badge co"&gt;CO 16&lt;/span&gt;&lt;/td&gt;&lt;td&gt;&lt;span class="denial-reason"&gt;Invalid Units of Service or Days&lt;/span&gt;&lt;/td&gt;&lt;td class="rarc-wrap"&gt;&lt;div class="rarc-id"&gt;M53&lt;/div&gt;&lt;div class="rarc-desc"&gt;Missing/incomplete/invalid days or units of service.&lt;/div&gt;&lt;/td&gt;&lt;td class="td-meaning"&gt;The claim was denied because the days or units of service reported were missing, incomplete, invalid, or inconsistent with the procedure code, revenue code, or billing guidelines. Accurate reporting of units (such as number of visits, minutes, treatment sessions, rental months, or inpatient days) is required for the payer to calculate reimbursement correctly. Without valid units or covered days information, the claim cannot be adjudicated.&lt;br&gt;Claim Form Locations:&lt;br&gt;UB-04:&lt;br&gt;FL 46 — Service Units (for each revenue code line)&lt;br&gt;FL 39–41 — Value Codes (for covered days, non-covered days, coinsurance days when applicable)&lt;br&gt;CMS-1500:&lt;br&gt;Box 24G — Days or Units&lt;/td&gt;&lt;td&gt;&lt;div class="chip-row"&gt;&lt;span class="chip chip-green"&gt;Therapy or infusion services billed without units or with incorrect unit calculation → denied.&lt;/span&gt;&lt;span class="chip chip-green"&gt;Inpatient or SNF claim missing covered days, non-covered days, or length of stay information → denial issued.&lt;/span&gt;&lt;span class="chip chip-green"&gt;DME rental claim submitted without monthly rental units → denied.&lt;/span&gt;&lt;span class="chip chip-green"&gt;Procedure billed with units exceeding payer Medically Unlikely Edits (MUE) limits → denial applied.&lt;/span&gt;&lt;span class="chip chip-green"&gt;Time-based CPT codes billed with units inconsistent with documentation minutes → claim rejected.&lt;/span&gt;&lt;/div&gt;&lt;/td&gt;&lt;td&gt;&lt;div class="chip-row"&gt;&lt;span class="chip chip-green"&gt;Units or days field left blank or entered incorrectly during charge capture.&lt;/span&gt;&lt;span class="chip chip-green"&gt;Mismatch between clinical documentation and billed units.&lt;/span&gt;&lt;span class="chip chip-green"&gt;Incorrect conversion of time into billable units for time-based services.&lt;/span&gt;&lt;span class="chip chip-green"&gt;System configuration or interface issues causing units to drop during claim transmission.&lt;/span&gt;&lt;span class="chip chip-green"&gt;Staff unfamiliar with payer rules, MUE limits, or unit billing guidelines.&lt;/span&gt;&lt;span class="chip chip-green"&gt;Revenue code and units mismatch on institutional claims.&lt;/span&gt;&lt;/div&gt;&lt;/td&gt;&lt;td class="td-res"&gt;• Review clinical documentation to determine accurate units or days of service.&lt;br&gt;• Verify CPT/HCPCS guidelines and payer policies for allowable units.&lt;br&gt;• Correct claim with proper units, covered days, or rental months.&lt;br&gt;Ensure consistency between procedure code, revenue code, and units billed.&lt;br&gt;• Resubmit corrected claim to payer.&lt;br&gt;• If denial incorrect → appeal with documentation supporting billed units and medical necessity.&lt;/td&gt;&lt;/tr&gt;</t>
  </si>
  <si>
    <t>&lt;tr data-carc="CO 16" data-type="co" data-rarc="M54 — Missing/incomplete/invalid total charges." data-denial="The claim was denied because the total charges reported on the claim were missing, incomplete, invalid, or inconsistent with the sum of the individual service line charges. Payers require accurate total charge amounts to adjudicate claims and calculate reimbursement. If the total does not reconcile with billed services or is absent, the claim cannot be processed.\nClaim Form Locations:\nUB-04:\nFL 47 — Total Charges (line item charges)\nFL 28 — Total Charges (claim-level total)\nCMS-1500:\nBox 28 — Total Charge" data-root="• Total charge field not populated correctly during claim creation.\n• Mismatch between service line charges and claim header total.\n• System interface or clearinghouse mapping errors.\n• Manual data entry mistakes or rounding discrepancies.\n• Billing software configuration issues causing incorrect totals.\n• Staff unfamiliar with reconciliation requirements for institutional claims."&gt;&lt;td&gt;&lt;div class="row-num"&gt;#113&lt;/div&gt;&lt;span class="carc-badge co"&gt;CO 16&lt;/span&gt;&lt;/td&gt;&lt;td&gt;&lt;span class="denial-reason"&gt;Invalid Total Charges&lt;/span&gt;&lt;/td&gt;&lt;td class="rarc-wrap"&gt;&lt;div class="rarc-id"&gt;M54&lt;/div&gt;&lt;div class="rarc-desc"&gt;Missing/incomplete/invalid total charges.&lt;/div&gt;&lt;/td&gt;&lt;td class="td-meaning"&gt;The claim was denied because the total charges reported on the claim were missing, incomplete, invalid, or inconsistent with the sum of the individual service line charges. Payers require accurate total charge amounts to adjudicate claims and calculate reimbursement. If the total does not reconcile with billed services or is absent, the claim cannot be processed.&lt;br&gt;Claim Form Locations:&lt;br&gt;UB-04:&lt;br&gt;FL 47 — Total Charges (line item charges)&lt;br&gt;FL 28 — Total Charges (claim-level total)&lt;br&gt;CMS-1500:&lt;br&gt;Box 28 — Total Charge&lt;/td&gt;&lt;td&gt;&lt;div class="chip-row"&gt;&lt;span class="chip chip-green"&gt;Institutional claim submitted with line item charges but total charge field left blank → denied.&lt;/span&gt;&lt;span class="chip chip-green"&gt;Total charges do not equal the sum of revenue code line charges → rejection or denial issued.&lt;/span&gt;&lt;span class="chip chip-green"&gt;Claim transmitted with zero or negative total charges → denial applied.&lt;/span&gt;&lt;span class="chip chip-green"&gt;Data transmission error caused total charge field to drop during EDI submission → claim denied.&lt;/span&gt;&lt;span class="chip chip-green"&gt;Currency formatting or decimal error resulted in invalid total amount → payer unable to adjudicate.&lt;/span&gt;&lt;/div&gt;&lt;/td&gt;&lt;td&gt;&lt;div class="chip-row"&gt;&lt;span class="chip chip-green"&gt;Total charge field not populated correctly during claim creation.&lt;/span&gt;&lt;span class="chip chip-green"&gt;Mismatch between service line charges and claim header total.&lt;/span&gt;&lt;span class="chip chip-green"&gt;System interface or clearinghouse mapping errors.&lt;/span&gt;&lt;span class="chip chip-green"&gt;Manual data entry mistakes or rounding discrepancies.&lt;/span&gt;&lt;span class="chip chip-green"&gt;Billing software configuration issues causing incorrect totals.&lt;/span&gt;&lt;span class="chip chip-green"&gt;Staff unfamiliar with reconciliation requirements for institutional claims.&lt;/span&gt;&lt;/div&gt;&lt;/td&gt;&lt;td class="td-res"&gt;• Review claim details and calculate total charges based on service line amounts.&lt;br&gt;• Correct the claim header total charge field to match the sum of all lines.&lt;br&gt;• Verify currency format and decimal placement accuracy.&lt;br&gt;• Ensure consistency between revenue codes, CPT codes, and total charges.&lt;br&gt;• Resubmit corrected claim to payer.&lt;br&gt;• If denial applied incorrectly → appeal with documentation showing correct total charges.&lt;/td&gt;&lt;/tr&gt;</t>
  </si>
  <si>
    <t>&lt;tr data-carc="CO 96" data-type="co" data-rarc="M55 — We do not pay for self-administered anti-emetic drugs that are not administered with a covered oral anti-cancer drug." data-denial="The claim was denied because the anti-emetic medication is considered self-administered and is only covered by the payer when it is provided in conjunction with a covered oral anti-cancer (chemotherapy) drug. If the anti-emetic is billed alone, or the associated oral anti-cancer therapy does not meet coverage criteria, payment is not allowed. This rule is most commonly associated with Medicare Part B drug coverage policies." data-root="• Anti-emetic classified as self-administered drug (SAD) under payer rules.\n• No covered oral anti-cancer medication billed on the same claim or treatment episode.\n• Incorrect benefit billed (Part B instead of Part D or pharmacy benefit).\n• Documentation missing linking anti-emetic use to oral chemotherapy regimen.\n• Provider unaware of payer requirement that anti-emetic coverage depends on chemotherapy coverage.\n• Coding or billing sequence errors causing chemotherapy drug not to adjudicate properly."&gt;&lt;td&gt;&lt;div class="row-num"&gt;#114&lt;/div&gt;&lt;span class="carc-badge co"&gt;CO 96&lt;/span&gt;&lt;/td&gt;&lt;td&gt;&lt;span class="denial-reason"&gt;Non Covered Charge&lt;/span&gt;&lt;/td&gt;&lt;td class="rarc-wrap"&gt;&lt;div class="rarc-id"&gt;M55&lt;/div&gt;&lt;div class="rarc-desc"&gt;We do not pay for self-administered anti-emetic drugs that are not administered with a covered oral anti-cancer drug.&lt;/div&gt;&lt;/td&gt;&lt;td class="td-meaning"&gt;The claim was denied because the anti-emetic medication is considered self-administered and is only covered by the payer when it is provided in conjunction with a covered oral anti-cancer (chemotherapy) drug. If the anti-emetic is billed alone, or the associated oral anti-cancer therapy does not meet coverage criteria, payment is not allowed. This rule is most commonly associated with Medicare Part B drug coverage policies.&lt;/td&gt;&lt;td&gt;&lt;div class="chip-row"&gt;&lt;span class="chip chip-green"&gt;Anti-nausea medication prescribed for home use without an accompanying covered oral chemotherapy drug → denied.&lt;/span&gt;&lt;span class="chip chip-green"&gt;Oral anti-emetic billed separately when chemotherapy drug was not billed or not covered → denial issued.&lt;/span&gt;&lt;span class="chip chip-green"&gt;Patient receiving IV chemotherapy (covered under Part B) but oral anti-emetic dispensed for home use → anti-emetic denied as self-administered.&lt;/span&gt;&lt;span class="chip chip-green"&gt;Anti-emetic prescribed for non-cancer diagnosis (e.g., general nausea) but billed to Part B → denied.&lt;/span&gt;&lt;span class="chip chip-green"&gt;Oral chemotherapy denied for medical necessity, causing associated anti-emetic also to deny → denial applied.&lt;/span&gt;&lt;/div&gt;&lt;/td&gt;&lt;td&gt;&lt;div class="chip-row"&gt;&lt;span class="chip chip-green"&gt;Anti-emetic classified as self-administered drug (SAD) under payer rules.&lt;/span&gt;&lt;span class="chip chip-green"&gt;No covered oral anti-cancer medication billed on the same claim or treatment episode.&lt;/span&gt;&lt;span class="chip chip-green"&gt;Incorrect benefit billed (Part B instead of Part D or pharmacy benefit).&lt;/span&gt;&lt;span class="chip chip-green"&gt;Documentation missing linking anti-emetic use to oral chemotherapy regimen.&lt;/span&gt;&lt;span class="chip chip-green"&gt;Provider unaware of payer requirement that anti-emetic coverage depends on chemotherapy coverage.&lt;/span&gt;&lt;span class="chip chip-green"&gt;Coding or billing sequence errors causing chemotherapy drug not to adjudicate properly.&lt;/span&gt;&lt;/div&gt;&lt;/td&gt;&lt;td class="td-res"&gt;• Verify whether a covered oral anti-cancer drug was prescribed and billed appropriately.&lt;br&gt;• Confirm diagnosis and treatment plan supporting chemotherapy-related nausea prevention.&lt;br&gt;• If oral chemotherapy qualifies under coverage → resubmit or appeal with documentation linking anti-emetic to treatment.&lt;br&gt;• If medication is truly self-administered and not covered → bill through pharmacy benefit (Part D or commercial RX plan) if applicable.&lt;br&gt;• Transfer patient responsibility if allowed and patient notified appropriately.&lt;br&gt;• Appeal if payer incorrectly applied self-administered drug classification.&lt;/td&gt;&lt;/tr&gt;</t>
  </si>
  <si>
    <t>&lt;tr data-carc="CO 16" data-type="co" data-rarc="M56 — Missing/incomplete/invalid payer identifier." data-denial="The claim was denied because the payer identifier (such as payer name, payer ID number, or electronic payer ID) was missing, incomplete, invalid, or not recognized. The payer identifier is required to route and adjudicate the claim correctly. If this information is incorrect or absent, the claim cannot be processed.\nClaim Form Locations:\nUB-04:\nFL 50 — Payer Name\nFL 60 — Insured’s Unique ID (Member ID)\nFL 62 — Insurance Group Number (if applicable)\nCMS-1500:\nBox 11 — Insured’s Policy/Group Number\nBox 11c — Insurance Plan Name or Program Name\nBox 9 / 9a–9d — Other Insured Information (if secondary" data-root="• Incorrect payer selected during claim creation.\n• Outdated payer ID tables in billing system or clearinghouse.\n• Data entry mistakes when entering payer information.\n• System mapping or interface errors causing payer identifier to drop.\n• Staff unfamiliar with payer-specific routing requirements.\n• Insurance information not verified during registration."&gt;&lt;td&gt;&lt;div class="row-num"&gt;#115&lt;/div&gt;&lt;span class="carc-badge co"&gt;CO 16&lt;/span&gt;&lt;/td&gt;&lt;td&gt;&lt;span class="denial-reason"&gt;Invalid Payer Identifier&lt;/span&gt;&lt;/td&gt;&lt;td class="rarc-wrap"&gt;&lt;div class="rarc-id"&gt;M56&lt;/div&gt;&lt;div class="rarc-desc"&gt;Missing/incomplete/invalid payer identifier.&lt;/div&gt;&lt;/td&gt;&lt;td class="td-meaning"&gt;The claim was denied because the payer identifier (such as payer name, payer ID number, or electronic payer ID) was missing, incomplete, invalid, or not recognized. The payer identifier is required to route and adjudicate the claim correctly. If this information is incorrect or absent, the claim cannot be processed.&lt;br&gt;Claim Form Locations:&lt;br&gt;UB-04:&lt;br&gt;FL 50 — Payer Name&lt;br&gt;FL 60 — Insured’s Unique ID (Member ID)&lt;br&gt;FL 62 — Insurance Group Number (if applicable)&lt;br&gt;CMS-1500:&lt;br&gt;Box 11 — Insured’s Policy/Group Number&lt;br&gt;Box 11c — Insurance Plan Name or Program Name&lt;br&gt;Box 9 / 9a–9d — Other Insured Information (if secondary&lt;/td&gt;&lt;td&gt;&lt;div class="chip-row"&gt;&lt;span class="chip chip-green"&gt;Claim submitted with incorrect payer ID causing it to route to the wrong insurance → denied.&lt;/span&gt;&lt;span class="chip chip-green"&gt;Electronic claim transmitted without payer identifier populated → rejection issued.&lt;/span&gt;&lt;span class="chip chip-green"&gt;Payer ID outdated after payer merger or system change → claim denied.&lt;/span&gt;&lt;span class="chip chip-green"&gt;Secondary claim submitted with wrong payer identifier for coordination of benefits → denied.&lt;/span&gt;&lt;span class="chip chip-green"&gt;Manual entry error causing invalid payer number format → claim rejected.&lt;/span&gt;&lt;/div&gt;&lt;/td&gt;&lt;td&gt;&lt;div class="chip-row"&gt;&lt;span class="chip chip-green"&gt;Incorrect payer selected during claim creation.&lt;/span&gt;&lt;span class="chip chip-green"&gt;Outdated payer ID tables in billing system or clearinghouse.&lt;/span&gt;&lt;span class="chip chip-green"&gt;Data entry mistakes when entering payer information.&lt;/span&gt;&lt;span class="chip chip-green"&gt;System mapping or interface errors causing payer identifier to drop.&lt;/span&gt;&lt;span class="chip chip-green"&gt;Staff unfamiliar with payer-specific routing requirements.&lt;/span&gt;&lt;span class="chip chip-green"&gt;Insurance information not verified during registration.&lt;/span&gt;&lt;/div&gt;&lt;/td&gt;&lt;td class="td-res"&gt;• Verify correct payer information from patient insurance card or eligibility response.&lt;br&gt;• Confirm payer ID using clearinghouse or payer reference tools.&lt;br&gt;• Correct the claim with accurate payer identifier details.&lt;br&gt;• Resubmit claim to the correct payer.&lt;br&gt;• If claim routed incorrectly previously → ensure duplicate billing does not occur.&lt;br&gt;• Contact payer or clearinghouse if identifier discrepancies persist.&lt;/td&gt;&lt;/tr&gt;</t>
  </si>
  <si>
    <t>&lt;tr data-carc="CO 16" data-type="co" data-rarc="M59 — Missing/incomplete/invalid 'to' date(s) of service." data-denial="The claim was denied because the “To” date of service (end date of the service period or service line) was missing, incomplete, invalid, or inconsistent with other claim information. The “To” date is required when services span multiple days or when institutional claims include a statement period. Without a valid end date, the payer cannot determine the full duration of care or adjudicate the claim correctly.\nClaim Form Locations:\nUB-04:\nFL 6 — Statement Covers Period (Through Date)\nFL 45 — Service Date (To) (for each revenue code line when span billing applies)\nCMS-1500:\nBox 24A — Date(s) of Service (To)" data-root="• To date field left blank during claim entry.\n• Data entry errors or incorrect date formatting.\n• Mismatch between from date, to date, admission date, or discharge date.\n• System interface issues causing end date to drop during claim transmission.\n• Staff unfamiliar with date span requirements for institutional billing.\n• Incorrect use of single-day vs span date billing logic."&gt;&lt;td&gt;&lt;div class="row-num"&gt;#116&lt;/div&gt;&lt;span class="carc-badge co"&gt;CO 16&lt;/span&gt;&lt;/td&gt;&lt;td&gt;&lt;span class="denial-reason"&gt;Invalid Date Of Service&lt;/span&gt;&lt;/td&gt;&lt;td class="rarc-wrap"&gt;&lt;div class="rarc-id"&gt;M59&lt;/div&gt;&lt;div class="rarc-desc"&gt;Missing/incomplete/invalid 'to' date(s) of service.&lt;/div&gt;&lt;/td&gt;&lt;td class="td-meaning"&gt;The claim was denied because the “To” date of service (end date of the service period or service line) was missing, incomplete, invalid, or inconsistent with other claim information. The “To” date is required when services span multiple days or when institutional claims include a statement period. Without a valid end date, the payer cannot determine the full duration of care or adjudicate the claim correctly.&lt;br&gt;Claim Form Locations:&lt;br&gt;UB-04:&lt;br&gt;FL 6 — Statement Covers Period (Through Date)&lt;br&gt;FL 45 — Service Date (To) (for each revenue code line when span billing applies)&lt;br&gt;CMS-1500:&lt;br&gt;Box 24A — Date(s) of Service (To)&lt;/td&gt;&lt;td&gt;&lt;div class="chip-row"&gt;&lt;span class="chip chip-green"&gt;Institutional claim submitted with statement “from” date but missing “to” date → denied.&lt;/span&gt;&lt;span class="chip chip-green"&gt;Service line billed with multiple-day span but end date omitted → rejection issued.&lt;/span&gt;&lt;span class="chip chip-green"&gt;Invalid date entered (future date, incorrect year, or format error) → denial applied.&lt;/span&gt;&lt;span class="chip chip-green"&gt;To date inconsistent with discharge date or occurrence dates → payer unable to process claim.&lt;/span&gt;&lt;span class="chip chip-green"&gt;Therapy or rental services billed with span dates but end date missing → claim denied.&lt;/span&gt;&lt;/div&gt;&lt;/td&gt;&lt;td&gt;&lt;div class="chip-row"&gt;&lt;span class="chip chip-green"&gt;To date field left blank during claim entry.&lt;/span&gt;&lt;span class="chip chip-green"&gt;Data entry errors or incorrect date formatting.&lt;/span&gt;&lt;span class="chip chip-green"&gt;Mismatch between from date, to date, admission date, or discharge date.&lt;/span&gt;&lt;span class="chip chip-green"&gt;System interface issues causing end date to drop during claim transmission.&lt;/span&gt;&lt;span class="chip chip-green"&gt;Staff unfamiliar with date span requirements for institutional billing.&lt;/span&gt;&lt;span class="chip chip-green"&gt;Incorrect use of single-day vs span date billing logic.&lt;/span&gt;&lt;/div&gt;&lt;/td&gt;&lt;td class="td-res"&gt;• Review documentation to determine correct end date of service.&lt;br&gt;• Verify consistency between from date, to date, discharge date, and occurrence codes.&lt;br&gt;• Correct the claim with accurate “to” date information.&lt;br&gt;• Ensure proper date format according to payer requirements.&lt;br&gt;• Resubmit corrected claim to payer.&lt;br&gt;• If denial applied incorrectly → appeal with documentation supporting service dates.&lt;/td&gt;&lt;/tr&gt;</t>
  </si>
  <si>
    <t>&lt;tr data-carc="CO 16" data-type="co" data-rarc="M60 — Missing Certificate of Medical Necessity." data-denial="The claim was denied because the required Certificate of Medical Necessity (CMN) or equivalent medical necessity documentation was not submitted, was incomplete, or was not available for review. A CMN is commonly required for certain services and equipment—especially Durable Medical Equipment (DME), oxygen therapy, supplies, and specific high-cost treatments—to demonstrate that the service meets payer medical necessity criteria." data-root="• CMN not obtained prior to claim submission.\n• Incomplete or invalid CMN documentation.\n• Missing physician signature or certification date.\n• Failure to respond to payer documentation request within timeframe.\n• Workflow gaps between clinical staff and billing team.\n• Documentation stored but not transmitted to payer due to system or process failure.\nS• taff unaware of services requiring CMN."&gt;&lt;td&gt;&lt;div class="row-num"&gt;#117&lt;/div&gt;&lt;span class="carc-badge co"&gt;CO 16&lt;/span&gt;&lt;/td&gt;&lt;td&gt;&lt;span class="denial-reason"&gt;Medical Necessity&lt;/span&gt;&lt;/td&gt;&lt;td class="rarc-wrap"&gt;&lt;div class="rarc-id"&gt;M60&lt;/div&gt;&lt;div class="rarc-desc"&gt;Missing Certificate of Medical Necessity.&lt;/div&gt;&lt;/td&gt;&lt;td class="td-meaning"&gt;The claim was denied because the required Certificate of Medical Necessity (CMN) or equivalent medical necessity documentation was not submitted, was incomplete, or was not available for review. A CMN is commonly required for certain services and equipment—especially Durable Medical Equipment (DME), oxygen therapy, supplies, and specific high-cost treatments—to demonstrate that the service meets payer medical necessity criteria.&lt;/td&gt;&lt;td&gt;&lt;div class="chip-row"&gt;&lt;span class="chip chip-green"&gt;DME equipment billed without submitting CMN form → denied.&lt;/span&gt;&lt;span class="chip chip-green"&gt;Oxygen therapy claim submitted but CMN not attached or not on file → denial issued.&lt;/span&gt;&lt;span class="chip chip-green"&gt;CMN completed but missing required fields (diagnosis, physician signature, dates) → denied.&lt;/span&gt;&lt;span class="chip chip-green"&gt;Payer requested CMN during audit or Additional Documentation Request (ADR) but not received → claim denied.&lt;/span&gt;&lt;span class="chip chip-green"&gt;Outdated CMN used after recertification period expired → denial applied.&lt;/span&gt;&lt;/div&gt;&lt;/td&gt;&lt;td&gt;&lt;div class="chip-row"&gt;&lt;span class="chip chip-green"&gt;CMN not obtained prior to claim submission.&lt;/span&gt;&lt;span class="chip chip-green"&gt;Incomplete or invalid CMN documentation.&lt;/span&gt;&lt;span class="chip chip-green"&gt;Missing physician signature or certification date.&lt;/span&gt;&lt;span class="chip chip-green"&gt;Failure to respond to payer documentation request within timeframe.&lt;/span&gt;&lt;span class="chip chip-green"&gt;Workflow gaps between clinical staff and billing team.&lt;/span&gt;&lt;span class="chip chip-green"&gt;Documentation stored but not transmitted to payer due to system or process failure.&lt;/span&gt;&lt;span class="chip chip-green"&gt;Staff unaware of services requiring CMN.&lt;/span&gt;&lt;/div&gt;&lt;/td&gt;&lt;td class="td-res"&gt;• Confirm whether a valid CMN exists that meets payer requirements.&lt;br&gt;• Obtain completed CMN with correct diagnosis, physician signature, and certification dates if missing.&lt;br&gt;• Submit CMN documentation via payer portal, attachment, fax, or reconsideration process.&lt;br&gt;• If denial followed ADR → include reference number when resubmitting documentation.&lt;br&gt;• Appeal denial with CMN and supporting medical records if claim was incorrectly denied.&lt;br&gt;• If CMN cannot be obtained → adjust claim per payer policy.&lt;/td&gt;&lt;/tr&gt;</t>
  </si>
  <si>
    <t>&lt;tr data-carc="CO 16" data-type="co" data-rarc="M65 — One interpreting physician charge can be submitted per claim when a purchased diagnostic test is indicated. Please submit a separate claim for each interpreting physician." data-denial="The claim was denied because more than one interpreting physician (professional component) charge was submitted on a single claim when billing a purchased diagnostic test. Payer rules require that only one interpreting physician be reported per claim when the test is purchased from another entity. If multiple physicians performed interpretations, each interpreting physician must be billed on a separate claim." data-root="• Multiple interpreting providers included on a single claim instead of separate submissions.\n• Misunderstanding of purchased diagnostic test billing rules.\n• Incorrect claim setup for modifier -26 professional component billing.\n• System configuration allowing multiple rendering providers on one claim line.\n• Staff unfamiliar with CMS purchased diagnostic test requirements."&gt;&lt;td&gt;&lt;div class="row-num"&gt;#118&lt;/div&gt;&lt;span class="carc-badge co"&gt;CO 16&lt;/span&gt;&lt;/td&gt;&lt;td&gt;&lt;span class="denial-reason"&gt;Invalid Procedure Code&lt;/span&gt;&lt;/td&gt;&lt;td class="rarc-wrap"&gt;&lt;div class="rarc-id"&gt;M65&lt;/div&gt;&lt;div class="rarc-desc"&gt;One interpreting physician charge can be submitted per claim when a purchased diagnostic test is indicated. Please submit a separate claim for each interpreting physician.&lt;/div&gt;&lt;/td&gt;&lt;td class="td-meaning"&gt;The claim was denied because more than one interpreting physician (professional component) charge was submitted on a single claim when billing a purchased diagnostic test. Payer rules require that only one interpreting physician be reported per claim when the test is purchased from another entity. If multiple physicians performed interpretations, each interpreting physician must be billed on a separate claim.&lt;/td&gt;&lt;td&gt;&lt;div class="chip-row"&gt;&lt;span class="chip chip-green"&gt;Purchased diagnostic imaging test billed with two interpreting physicians on one claim → denied.&lt;/span&gt;&lt;span class="chip chip-green"&gt;Group practice submits multiple professional interpretations for the same purchased test under one claim → payer rejects additional interpretations.&lt;/span&gt;&lt;span class="chip chip-green"&gt;Different radiologists interpreted different portions of the study but billed together → denial issued.&lt;/span&gt;&lt;span class="chip chip-green"&gt;Modifier -26 services billed for multiple physicians without separate claims → denial applied.&lt;/span&gt;&lt;span class="chip chip-green"&gt;Purchased test billed globally with multiple rendering providers listed → claim rejected.&lt;/span&gt;&lt;/div&gt;&lt;/td&gt;&lt;td&gt;&lt;div class="chip-row"&gt;&lt;span class="chip chip-green"&gt;Multiple interpreting providers included on a single claim instead of separate submissions.&lt;/span&gt;&lt;span class="chip chip-green"&gt;Misunderstanding of purchased diagnostic test billing rules.&lt;/span&gt;&lt;span class="chip chip-green"&gt;Incorrect claim setup for modifier -26 professional component billing.&lt;/span&gt;&lt;span class="chip chip-green"&gt;System configuration allowing multiple rendering providers on one claim line.&lt;/span&gt;&lt;span class="chip chip-green"&gt;Staff unfamiliar with CMS purchased diagnostic test requirements.&lt;/span&gt;&lt;/div&gt;&lt;/td&gt;&lt;td class="td-res"&gt;• Identify each interpreting physician associated with the diagnostic test.&lt;br&gt;• Split the claim into separate claims — one per interpreting physician.&lt;br&gt;• Ensure correct use of modifier -26 (professional component) where applicable.&lt;br&gt;• Verify purchased diagnostic test indicator and supplier information are correctly reported.&lt;br&gt;• Resubmit corrected claims individually for each interpreting provider.&lt;br&gt;• Appeal if denial occurred despite correct single interpretation billing.&lt;/td&gt;&lt;/tr&gt;</t>
  </si>
  <si>
    <t>&lt;tr data-carc="CO 16" data-type="co" data-rarc="M66 — 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 data-denial="The claim was denied because a diagnostic test subject to price limitations was billed using a procedure code that included both the professional component (interpretation) and the technical component, instead of separating them. Payer policy requires that the technical component (TC) and professional component (26) be billed as separate line items when price limitations apply. Only the technical component is subject to the pricing limitation, so the payer cannot adjudicate correctly when both components are combined." data-root="• Failure to split professional and technical components during billing.\n• Incorrect use of global procedure code when components should be separated.\n• Misunderstanding of payer rules for price-limited diagnostic tests.\n• System configuration or charge master setup combining components incorrectly.\n• Staff unfamiliar with modifier -26 and -TC billing requirements."&gt;&lt;td&gt;&lt;div class="row-num"&gt;#119&lt;/div&gt;&lt;span class="carc-badge co"&gt;CO 16&lt;/span&gt;&lt;/td&gt;&lt;td&gt;&lt;span class="denial-reason"&gt;Invalid Procedure Code&lt;/span&gt;&lt;/td&gt;&lt;td class="rarc-wrap"&gt;&lt;div class="rarc-id"&gt;M66&lt;/div&gt;&lt;div class="rarc-desc"&gt;Our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items.&lt;/div&gt;&lt;/td&gt;&lt;td class="td-meaning"&gt;The claim was denied because a diagnostic test subject to price limitations was billed using a procedure code that included both the professional component (interpretation) and the technical component, instead of separating them. Payer policy requires that the technical component (TC) and professional component (26) be billed as separate line items when price limitations apply. Only the technical component is subject to the pricing limitation, so the payer cannot adjudicate correctly when both components are combined.&lt;/td&gt;&lt;td&gt;&lt;div class="chip-row"&gt;&lt;span class="chip chip-green"&gt;Radiology procedure billed globally without splitting modifier -26 and -TC when required → denied.&lt;/span&gt;&lt;span class="chip chip-green"&gt;Purchased diagnostic test billed with full CPT code including professional component → payer rejects claim.&lt;/span&gt;&lt;span class="chip chip-green"&gt;Independent diagnostic testing facility billing without separating components → denial issued.&lt;/span&gt;&lt;span class="chip chip-green"&gt;Professional interpretation provided by different entity but billed together → denial applied.&lt;/span&gt;&lt;span class="chip chip-green"&gt;Price-limited diagnostic test submitted without component separation → claim denied.&lt;/span&gt;&lt;/div&gt;&lt;/td&gt;&lt;td&gt;&lt;div class="chip-row"&gt;&lt;span class="chip chip-green"&gt;Failure to split professional and technical components during billing.&lt;/span&gt;&lt;span class="chip chip-green"&gt;Incorrect use of global procedure code when components should be separated.&lt;/span&gt;&lt;span class="chip chip-green"&gt;Misunderstanding of payer rules for price-limited diagnostic tests.&lt;/span&gt;&lt;span class="chip chip-green"&gt;System configuration or charge master setup combining components incorrectly.&lt;/span&gt;&lt;span class="chip chip-green"&gt;Staff unfamiliar with modifier -26 and -TC billing requirements.&lt;/span&gt;&lt;/div&gt;&lt;/td&gt;&lt;td class="td-res"&gt;• Review documentation to determine which entity performed technical and professional components.&lt;br&gt;Split the service into two line items:&lt;br&gt;• Technical component with modifier -TC&lt;br&gt;• Professional component with modifier -26&lt;br&gt;• Ensure correct rendering provider and billing entity for each component.&lt;br&gt;• Resubmit corrected claim with separated components.&lt;br&gt;• Appeal if denial occurred despite correct component billing.&lt;/td&gt;&lt;/tr&gt;</t>
  </si>
  <si>
    <t>&lt;tr data-carc="CO 16" data-type="co" data-rarc="M67 — Missing/incomplete/invalid other procedure code(s)." data-denial="The claim was denied because one or more required other procedure codes were missing, incomplete, invalid, or inconsistent with the billed service. “Other procedure codes” typically refer to additional or related procedure fields required to support the primary service, such as secondary procedures, anesthesia-related procedures, surgical assistance codes, or institutional claim procedure fields (e.g., UB-04 FL 74). Without these supporting codes, the payer cannot properly adjudicate the claim." data-root="• Required secondary or related procedure codes not captured during coding or billing.\n• Incorrect or invalid procedure codes entered in other procedure fields.\n• Mismatch between primary procedure and supporting procedure information.\n• System mapping issues causing secondary procedure fields to drop during claim generation.\n• Staff unfamiliar with institutional claim requirements for other procedures.\n• Documentation incomplete or unclear regarding performed procedures."&gt;&lt;td&gt;&lt;div class="row-num"&gt;#120&lt;/div&gt;&lt;span class="carc-badge co"&gt;CO 16&lt;/span&gt;&lt;/td&gt;&lt;td&gt;&lt;span class="denial-reason"&gt;Invalid Procedure Code&lt;/span&gt;&lt;/td&gt;&lt;td class="rarc-wrap"&gt;&lt;div class="rarc-id"&gt;M67&lt;/div&gt;&lt;div class="rarc-desc"&gt;Missing/incomplete/invalid other procedure code(s).&lt;/div&gt;&lt;/td&gt;&lt;td class="td-meaning"&gt;The claim was denied because one or more required other procedure codes were missing, incomplete, invalid, or inconsistent with the billed service. “Other procedure codes” typically refer to additional or related procedure fields required to support the primary service, such as secondary procedures, anesthesia-related procedures, surgical assistance codes, or institutional claim procedure fields (e.g., UB-04 FL 74). Without these supporting codes, the payer cannot properly adjudicate the claim.&lt;/td&gt;&lt;td&gt;&lt;div class="chip-row"&gt;&lt;span class="chip chip-green"&gt;Institutional claim missing required secondary procedure code related to the primary surgery → denied.&lt;/span&gt;&lt;span class="chip chip-green"&gt;Anesthesia claim submitted without corresponding surgical procedure code → denial issued.&lt;/span&gt;&lt;span class="chip chip-green"&gt;UB-04 claim missing “other procedure” information required for inpatient billing → denied.&lt;/span&gt;&lt;span class="chip chip-green"&gt;Procedure code entered in incorrect format or invalid for date of service → denial applied.&lt;/span&gt;&lt;span class="chip chip-green"&gt;Claim requiring multiple related procedures but only primary procedure submitted → payer unable to process.&lt;/span&gt;&lt;/div&gt;&lt;/td&gt;&lt;td&gt;&lt;div class="chip-row"&gt;&lt;span class="chip chip-green"&gt;Required secondary or related procedure codes not captured during coding or billing.&lt;/span&gt;&lt;span class="chip chip-green"&gt;Incorrect or invalid procedure codes entered in other procedure fields.&lt;/span&gt;&lt;span class="chip chip-green"&gt;Mismatch between primary procedure and supporting procedure information.&lt;/span&gt;&lt;span class="chip chip-green"&gt;System mapping issues causing secondary procedure fields to drop during claim generation.&lt;/span&gt;&lt;span class="chip chip-green"&gt;Staff unfamiliar with institutional claim requirements for other procedures.&lt;/span&gt;&lt;span class="chip chip-green"&gt;Documentation incomplete or unclear regarding performed procedures.&lt;/span&gt;&lt;/div&gt;&lt;/td&gt;&lt;td class="td-res"&gt;• Review clinical documentation to identify all procedures performed.&lt;br&gt;• Verify correct procedure codes and ensure validity for date of service.&lt;br&gt;• Add or correct required other procedure codes in appropriate claim fields.&lt;br&gt;• Ensure consistency between primary and secondary procedure codes.&lt;br&gt;• Resubmit corrected claim to payer.&lt;br&gt;• If denial applied incorrectly → appeal with operative or clinical documentation supporting procedures performed.&lt;/td&gt;&lt;/tr&gt;</t>
  </si>
  <si>
    <t>&lt;tr data-carc="CO 4" data-type="co" data-rarc="M69 — Modified Procedure Code Not Supported — Paid at Regular Rate" data-denial="The payer processed the claim but did not recognize the modifier or modified procedure status because supporting documentation was not submitted or was insufficient. As a result, the service was paid at the standard (unmodified) rate instead of the higher or adjusted reimbursement requested. This commonly occurs with modifiers that require documentation to justify increased complexity, reduced services, or special circumstances." data-root="• Required documentation not submitted with claim when modifier used.\n• Documentation submitted but insufficient to justify modifier application.\n• Staff unaware that certain modifiers require operative notes or medical records.\n• Attachment transmission failure during claim submission.\n• Incorrect modifier selection not supported by clinical documentation.\n• Workflow gap between coding and billing teams regarding documentation requirements."&gt;&lt;td&gt;&lt;div class="row-num"&gt;#121&lt;/div&gt;&lt;span class="carc-badge co"&gt;CO 4&lt;/span&gt;&lt;/td&gt;&lt;td&gt;&lt;span class="denial-reason"&gt;Invalid Modifier&lt;/span&gt;&lt;/td&gt;&lt;td class="rarc-wrap"&gt;&lt;div class="rarc-id"&gt;M69&lt;/div&gt;&lt;div class="rarc-desc"&gt;Modified Procedure Code Not Supported — Paid at Regular Rate&lt;/div&gt;&lt;/td&gt;&lt;td class="td-meaning"&gt;The payer processed the claim but did not recognize the modifier or modified procedure status because supporting documentation was not submitted or was insufficient. As a result, the service was paid at the standard (unmodified) rate instead of the higher or adjusted reimbursement requested. This commonly occurs with modifiers that require documentation to justify increased complexity, reduced services, or special circumstances.&lt;/td&gt;&lt;td&gt;&lt;div class="chip-row"&gt;&lt;span class="chip chip-green"&gt;Modifier -22 (increased procedural services) billed without operative report → paid at standard rate.&lt;/span&gt;&lt;span class="chip chip-green"&gt;Modifier -52 (reduced services) submitted without explanation → payer ignores modifier and pays normal fee.&lt;/span&gt;&lt;span class="chip chip-green"&gt;Modifier -53 (discontinued procedure) billed without documentation → payer pays full or different rate.&lt;/span&gt;&lt;span class="chip chip-green"&gt;Assistant surgeon modifier billed without operative note showing medical necessity → adjustment made.&lt;/span&gt;&lt;span class="chip chip-green"&gt;Multiple procedure or unusual circumstance modifier applied without records → paid at regular rate.&lt;/span&gt;&lt;/div&gt;&lt;/td&gt;&lt;td&gt;&lt;div class="chip-row"&gt;&lt;span class="chip chip-green"&gt;Required documentation not submitted with claim when modifier used.&lt;/span&gt;&lt;span class="chip chip-green"&gt;Documentation submitted but insufficient to justify modifier application.&lt;/span&gt;&lt;span class="chip chip-green"&gt;Staff unaware that certain modifiers require operative notes or medical records.&lt;/span&gt;&lt;span class="chip chip-green"&gt;Attachment transmission failure during claim submission.&lt;/span&gt;&lt;span class="chip chip-green"&gt;Incorrect modifier selection not supported by clinical documentation.&lt;/span&gt;&lt;span class="chip chip-green"&gt;Workflow gap between coding and billing teams regarding documentation requirements.&lt;/span&gt;&lt;/div&gt;&lt;/td&gt;&lt;td class="td-res"&gt;• Review documentation to confirm whether modifier usage is justified.&lt;br&gt;• Obtain supporting records (operative note, physician statement, procedure report).&lt;br&gt;• Submit documentation with reconsideration or appeal requesting adjusted reimbursement.&lt;br&gt;• Verify modifier accuracy and correct claim if modifier was applied incorrectly.&lt;br&gt;• If modifier not justified → accept payment at standard rate and adjust account.&lt;br&gt;• Track payment variance to determine financial impact before appealing.&lt;/td&gt;&lt;/tr&gt;</t>
  </si>
  <si>
    <t>&lt;tr data-carc="CO 97" data-type="co" data-rarc="M71 — Total payment reduced due to overlap of tests billed." data-denial="The payer reduced the total payment because multiple diagnostic tests or services billed were determined to overlap in content, methodology, or clinical purpose. When tests are considered duplicative or inclusive of one another under payer policy or coding guidelines, reimbursement is adjusted to prevent duplicate payment. This is typically a payment reduction rather than a full denial." data-root="• Billing multiple tests that contain overlapping components or bundled services.\n• Lack of awareness of panel/component coding rules.\n• Duplicate or redundant testing ordered without clear documentation of medical necessity.\n• Coding system or charge master configuration allowing overlapping services to be billed separately.\n• Staff unfamiliar with payer bundling edits (NCCI, MUE, or payer-specific edits)."&gt;&lt;td&gt;&lt;div class="row-num"&gt;#122&lt;/div&gt;&lt;span class="carc-badge co"&gt;CO 97&lt;/span&gt;&lt;/td&gt;&lt;td&gt;&lt;span class="denial-reason"&gt;Bundling&lt;/span&gt;&lt;/td&gt;&lt;td class="rarc-wrap"&gt;&lt;div class="rarc-id"&gt;M71&lt;/div&gt;&lt;div class="rarc-desc"&gt;Total payment reduced due to overlap of tests billed.&lt;/div&gt;&lt;/td&gt;&lt;td class="td-meaning"&gt;The payer reduced the total payment because multiple diagnostic tests or services billed were determined to overlap in content, methodology, or clinical purpose. When tests are considered duplicative or inclusive of one another under payer policy or coding guidelines, reimbursement is adjusted to prevent duplicate payment. This is typically a payment reduction rather than a full denial.&lt;/td&gt;&lt;td&gt;&lt;div class="chip-row"&gt;&lt;span class="chip chip-green"&gt;Multiple laboratory panels billed where individual components overlap → payer reduces payment for duplicate components.&lt;/span&gt;&lt;span class="chip chip-green"&gt;Imaging studies billed with overlapping anatomical areas (e.g., CT abdomen and CT abdomen/pelvis) → payment adjusted.&lt;/span&gt;&lt;span class="chip chip-green"&gt;Diagnostic procedures performed on same date with similar clinical purpose → payer applies overlap reduction.&lt;/span&gt;&lt;span class="chip chip-green"&gt;Automated lab panel billed with separate component codes in addition → duplicate payment prevented.&lt;/span&gt;&lt;span class="chip chip-green"&gt;Repeated testing performed too close in time without medical necessity documentation → payment reduced.&lt;/span&gt;&lt;/div&gt;&lt;/td&gt;&lt;td&gt;&lt;div class="chip-row"&gt;&lt;span class="chip chip-green"&gt;Billing multiple tests that contain overlapping components or bundled services.&lt;/span&gt;&lt;span class="chip chip-green"&gt;Lack of awareness of panel/component coding rules.&lt;/span&gt;&lt;span class="chip chip-green"&gt;Duplicate or redundant testing ordered without clear documentation of medical necessity.&lt;/span&gt;&lt;span class="chip chip-green"&gt;Coding system or charge master configuration allowing overlapping services to be billed separately.&lt;/span&gt;&lt;span class="chip chip-green"&gt;Staff unfamiliar with payer bundling edits (NCCI, MUE, or payer-specific edits).&lt;/span&gt;&lt;/div&gt;&lt;/td&gt;&lt;td class="td-res"&gt;• Review billed tests to identify overlapping services or bundled components.&lt;br&gt;• Verify coding guidelines and payer policies for panel vs individual component billing.&lt;br&gt;• If overlap justified (different purpose or medical necessity) → appeal with supporting documentation.&lt;br&gt;• Correct claim by removing duplicate or inclusive services if billed incorrectly.&lt;br&gt;• Resubmit corrected claim if necessary.&lt;br&gt;• Educate providers regarding appropriate ordering when overlap is not clinically necessary.&lt;/td&gt;&lt;/tr&gt;</t>
  </si>
  <si>
    <t>&lt;tr data-carc="CO 97" data-type="co" data-rarc="M75 — Multiple automated multichannel tests performed on the same day combined for payment." data-denial="The payer combined payment for multiple automated multichannel laboratory tests performed on the same day because they are considered part of a single panel or bundled service under coding and reimbursement guidelines. Instead of paying each test separately, the payer reimburses according to panel pricing or consolidation rules. This is typically a payment reduction or bundling adjustment rather than a full denial." data-root="• Billing individual component tests instead of appropriate panel code.\n• Duplicate billing of panel and component services together.\n• Lack of awareness of automated multichannel test bundling rules.\n• Charge master configuration allowing overlapping laboratory codes.\n• Providers ordering multiple overlapping tests without clinical distinction.\n• Staff unfamiliar with CPT panel definitions and payer bundling edits."&gt;&lt;td&gt;&lt;div class="row-num"&gt;#123&lt;/div&gt;&lt;span class="carc-badge co"&gt;CO 97&lt;/span&gt;&lt;/td&gt;&lt;td&gt;&lt;span class="denial-reason"&gt;Bundling&lt;/span&gt;&lt;/td&gt;&lt;td class="rarc-wrap"&gt;&lt;div class="rarc-id"&gt;M75&lt;/div&gt;&lt;div class="rarc-desc"&gt;Multiple automated multichannel tests performed on the same day combined for payment.&lt;/div&gt;&lt;/td&gt;&lt;td class="td-meaning"&gt;The payer combined payment for multiple automated multichannel laboratory tests performed on the same day because they are considered part of a single panel or bundled service under coding and reimbursement guidelines. Instead of paying each test separately, the payer reimburses according to panel pricing or consolidation rules. This is typically a payment reduction or bundling adjustment rather than a full denial.&lt;/td&gt;&lt;td&gt;&lt;div class="chip-row"&gt;&lt;span class="chip chip-green"&gt;Comprehensive metabolic panel components billed individually along with the panel code → payer combines payment.&lt;/span&gt;&lt;span class="chip chip-green"&gt;Multiple chemistry tests performed using automated equipment on same date → paid as a single panel.&lt;/span&gt;&lt;span class="chip chip-green"&gt;Lab bills separate automated test codes that overlap with a defined panel → payment consolidated.&lt;/span&gt;&lt;span class="chip chip-green"&gt;Repeated automated multichannel tests ordered same day without medical necessity documentation → bundled payment applied.&lt;/span&gt;&lt;span class="chip chip-green"&gt;Provider submits both individual test codes and panel CPT code → duplicate components combined for reimbursement.&lt;/span&gt;&lt;/div&gt;&lt;/td&gt;&lt;td&gt;&lt;div class="chip-row"&gt;&lt;span class="chip chip-green"&gt;Billing individual component tests instead of appropriate panel code.&lt;/span&gt;&lt;span class="chip chip-green"&gt;Duplicate billing of panel and component services together.&lt;/span&gt;&lt;span class="chip chip-green"&gt;Lack of awareness of automated multichannel test bundling rules.&lt;/span&gt;&lt;span class="chip chip-green"&gt;Charge master configuration allowing overlapping laboratory codes.&lt;/span&gt;&lt;span class="chip chip-green"&gt;Providers ordering multiple overlapping tests without clinical distinction.&lt;/span&gt;&lt;span class="chip chip-green"&gt;Staff unfamiliar with CPT panel definitions and payer bundling edits.&lt;/span&gt;&lt;/div&gt;&lt;/td&gt;&lt;td class="td-res"&gt;• Review laboratory services billed for the date of service to identify overlapping components.&lt;br&gt;• Verify CPT coding guidelines for panel vs individual test reporting.&lt;br&gt;• Correct claim by billing appropriate panel code if components represent a defined panel.&lt;br&gt;• If tests were medically necessary and distinct → appeal with documentation supporting separate services.&lt;br&gt;• Remove duplicate or inclusive codes if billed incorrectly.&lt;br&gt;• Resubmit corrected claim if necessary.&lt;/td&gt;&lt;/tr&gt;</t>
  </si>
  <si>
    <t>&lt;tr data-carc="CO 16" data-type="co" data-rarc="M77 — Missing/incomplete/invalid/inappropriate place of service." data-denial="The claim was denied because the Place of Service (POS) was missing, incomplete, invalid, or inappropriate for the service billed. POS identifies the setting where the service was provided (e.g., office, outpatient hospital, inpatient hospital, home, telehealth).\nClaim Form Locations:\nUB-04:\nPOS is not directly reported as a POS code. It is derived from:\nFL 4 — Type of Bill (facility type)\nFL 42 — Revenue Code (service department)\nCMS-1500:\nBox 24B — Place of Service (POS Code)" data-root="• POS field left blank during claim entry.\n• Incorrect POS selected due to registration or billing error.\n• Mismatch between POS and procedure code or modifier usage.\n• Staff unfamiliar with POS coding requirements.\n• System configuration errors or mapping issues during claim generation.\n• Provider location information not updated in billing system."&gt;&lt;td&gt;&lt;div class="row-num"&gt;#124&lt;/div&gt;&lt;span class="carc-badge co"&gt;CO 16&lt;/span&gt;&lt;/td&gt;&lt;td&gt;&lt;span class="denial-reason"&gt;Place Of Service&lt;/span&gt;&lt;/td&gt;&lt;td class="rarc-wrap"&gt;&lt;div class="rarc-id"&gt;M77&lt;/div&gt;&lt;div class="rarc-desc"&gt;Missing/incomplete/invalid/inappropriate place of service.&lt;/div&gt;&lt;/td&gt;&lt;td class="td-meaning"&gt;The claim was denied because the Place of Service (POS) was missing, incomplete, invalid, or inappropriate for the service billed. POS identifies the setting where the service was provided (e.g., office, outpatient hospital, inpatient hospital, home, telehealth).&lt;br&gt;Claim Form Locations:&lt;br&gt;UB-04:&lt;br&gt;POS is not directly reported as a POS code. It is derived from:&lt;br&gt;FL 4 — Type of Bill (facility type)&lt;br&gt;FL 42 — Revenue Code (service department)&lt;br&gt;CMS-1500:&lt;br&gt;Box 24B — Place of Service (POS Code)&lt;/td&gt;&lt;td&gt;&lt;div class="chip-row"&gt;&lt;span class="chip chip-green"&gt;Professional claim submitted without POS code populated → denied.&lt;/span&gt;&lt;span class="chip chip-green"&gt;Office visit billed with hospital POS instead of office POS → denial issued.&lt;/span&gt;&lt;span class="chip chip-green"&gt;Procedure performed in outpatient hospital but billed with office POS → claim rejected.&lt;/span&gt;&lt;span class="chip chip-green"&gt;Telehealth service billed with incorrect POS code → denial applied.&lt;/span&gt;&lt;span class="chip chip-green"&gt;POS inconsistent with provider enrollment or facility type → payer unable to process claim.&lt;/span&gt;&lt;/div&gt;&lt;/td&gt;&lt;td&gt;&lt;div class="chip-row"&gt;&lt;span class="chip chip-green"&gt;POS field left blank during claim entry.&lt;/span&gt;&lt;span class="chip chip-green"&gt;Incorrect POS selected due to registration or billing error.&lt;/span&gt;&lt;span class="chip chip-green"&gt;Mismatch between POS and procedure code or modifier usage.&lt;/span&gt;&lt;span class="chip chip-green"&gt;Staff unfamiliar with POS coding requirements.&lt;/span&gt;&lt;span class="chip chip-green"&gt;System configuration errors or mapping issues during claim generation.&lt;/span&gt;&lt;span class="chip chip-green"&gt;Provider location information not updated in billing system.&lt;/span&gt;&lt;/div&gt;&lt;/td&gt;&lt;td class="td-res"&gt;• Verify correct service location from clinical documentation and scheduling records.&lt;br&gt;• Confirm appropriate POS code according to payer guidelines.&lt;br&gt;• Correct the claim with accurate POS information.&lt;br&gt;• Ensure consistency between POS, procedure code, and modifiers.&lt;br&gt;• Resubmit corrected claim to payer.&lt;br&gt;• If denial applied incorrectly → appeal with documentation supporting service location.&lt;/td&gt;&lt;/tr&gt;</t>
  </si>
  <si>
    <t>&lt;tr data-carc="CO 16" data-type="co" data-rarc="M79 — Missing/incomplete/invalid charge." data-denial="The claim was denied because the charge amount for one or more service lines was missing, incomplete, invalid, or inconsistent with billing requirements. Each billed service must include a valid charge amount so the payer can calculate reimbursement. If the charge field is blank, zero, negative, or improperly formatted, the claim cannot be adjudicated." data-root="• Charge amount field left blank during charge entry.\n• Data entry or formatting errors (decimal or currency issues).\n• Mismatch between units and charge amounts.\n• System interface or mapping problems causing charges to drop.\n• Charge master configuration errors.\n• Staff unfamiliar with billing requirements for charge reporting."&gt;&lt;td&gt;&lt;div class="row-num"&gt;#125&lt;/div&gt;&lt;span class="carc-badge co"&gt;CO 16&lt;/span&gt;&lt;/td&gt;&lt;td&gt;&lt;span class="denial-reason"&gt;Invalid Charges&lt;/span&gt;&lt;/td&gt;&lt;td class="rarc-wrap"&gt;&lt;div class="rarc-id"&gt;M79&lt;/div&gt;&lt;div class="rarc-desc"&gt;Missing/incomplete/invalid charge.&lt;/div&gt;&lt;/td&gt;&lt;td class="td-meaning"&gt;The claim was denied because the charge amount for one or more service lines was missing, incomplete, invalid, or inconsistent with billing requirements. Each billed service must include a valid charge amount so the payer can calculate reimbursement. If the charge field is blank, zero, negative, or improperly formatted, the claim cannot be adjudicated.&lt;/td&gt;&lt;td&gt;&lt;div class="chip-row"&gt;&lt;span class="chip chip-green"&gt;Service line submitted without a charge amount populated → denied.&lt;/span&gt;&lt;span class="chip chip-green"&gt;Charge entered as zero or negative value → claim rejected.&lt;/span&gt;&lt;span class="chip chip-green"&gt;Incorrect decimal placement causing invalid charge amount → denial issued.&lt;/span&gt;&lt;span class="chip chip-green"&gt;Charge inconsistent with units billed (e.g., high units with minimal charge) → payer unable to process.&lt;/span&gt;&lt;span class="chip chip-green"&gt;EDI transmission error causing charge field to drop during submission → denial applied.&lt;/span&gt;&lt;/div&gt;&lt;/td&gt;&lt;td&gt;&lt;div class="chip-row"&gt;&lt;span class="chip chip-green"&gt;Charge amount field left blank during charge entry.&lt;/span&gt;&lt;span class="chip chip-green"&gt;Data entry or formatting errors (decimal or currency issues).&lt;/span&gt;&lt;span class="chip chip-green"&gt;Mismatch between units and charge amounts.&lt;/span&gt;&lt;span class="chip chip-green"&gt;System interface or mapping problems causing charges to drop.&lt;/span&gt;&lt;span class="chip chip-green"&gt;Charge master configuration errors.&lt;/span&gt;&lt;span class="chip chip-green"&gt;Staff unfamiliar with billing requirements for charge reporting.&lt;/span&gt;&lt;/div&gt;&lt;/td&gt;&lt;td class="td-res"&gt;• Review documentation and charge master to determine correct charge amount.&lt;br&gt;• Correct the claim with accurate charge values for each service line.&lt;br&gt;• Verify units and charges are consistent and properly formatted.&lt;br&gt;Resubmit corrected claim to payer.&lt;br&gt;• If denial applied incorrectly → appeal with documentation supporting billed charges.&lt;br&gt;• Check system transmission logs if issue may be technical.&lt;/td&gt;&lt;/tr&gt;</t>
  </si>
  <si>
    <t>&lt;tr data-carc="CO 97" data-type="co" data-rarc="M80 — Not covered when performed during the same session/date as a previously processed service for the patient." data-denial="The claim was denied because the service was performed on the same date or during the same session as another service that was already processed for the patient, and payer policy considers the additional service duplicate, inclusive, or not separately payable. When services overlap or are bundled under coding guidelines (such as NCCI edits), the payer will not issue additional payment." data-root="• Duplicate billing for same service or session.\n• Failure to apply appropriate modifiers (e.g., -59, -25, -76, -77) when services are distinct.\n• Services bundled under payer coding edits or NCCI rules.\n• Lack of awareness of same-day billing limitations.\n• System or workflow issues causing duplicate claim submission.\n• Documentation not supporting medical necessity for repeated services."&gt;&lt;td&gt;&lt;div class="row-num"&gt;#126&lt;/div&gt;&lt;span class="carc-badge co"&gt;CO 97&lt;/span&gt;&lt;/td&gt;&lt;td&gt;&lt;span class="denial-reason"&gt;Bundling&lt;/span&gt;&lt;/td&gt;&lt;td class="rarc-wrap"&gt;&lt;div class="rarc-id"&gt;M80&lt;/div&gt;&lt;div class="rarc-desc"&gt;Not covered when performed during the same session/date as a previously processed service for the patient.&lt;/div&gt;&lt;/td&gt;&lt;td class="td-meaning"&gt;The claim was denied because the service was performed on the same date or during the same session as another service that was already processed for the patient, and payer policy considers the additional service duplicate, inclusive, or not separately payable. When services overlap or are bundled under coding guidelines (such as NCCI edits), the payer will not issue additional payment.&lt;/td&gt;&lt;td&gt;&lt;div class="chip-row"&gt;&lt;span class="chip chip-green"&gt;Procedure billed twice on the same date for the same patient without modifier indicating distinct service → denied.&lt;/span&gt;&lt;span class="chip chip-green"&gt;Office visit billed on same day as procedure where visit is considered included in procedure payment → denial issued.&lt;/span&gt;&lt;span class="chip chip-green"&gt;Diagnostic test repeated same day without medical necessity documentation → denied as duplicate.&lt;/span&gt;&lt;span class="chip chip-green"&gt;Multiple therapy services billed same session without appropriate modifiers → denial applied.&lt;/span&gt;&lt;span class="chip chip-green"&gt;Provider submits same CPT code again after initial claim processed → payer treats as duplicate service.&lt;/span&gt;&lt;/div&gt;&lt;/td&gt;&lt;td&gt;&lt;div class="chip-row"&gt;&lt;span class="chip chip-green"&gt;Duplicate billing for same service or session.&lt;/span&gt;&lt;span class="chip chip-green"&gt;Failure to apply appropriate modifiers (e.g., -59, -25, -76, -77) when services are distinct.&lt;/span&gt;&lt;span class="chip chip-green"&gt;Services bundled under payer coding edits or NCCI rules.&lt;/span&gt;&lt;span class="chip chip-green"&gt;Lack of awareness of same-day billing limitations.&lt;/span&gt;&lt;span class="chip chip-green"&gt;System or workflow issues causing duplicate claim submission.&lt;/span&gt;&lt;span class="chip chip-green"&gt;Documentation not supporting medical necessity for repeated services.&lt;/span&gt;&lt;/div&gt;&lt;/td&gt;&lt;td class="td-res"&gt;• Review previously processed claim to identify overlapping service.&lt;br&gt;Determine whether services were truly distinct and separately billable.&lt;br&gt;• If appropriate → submit corrected claim with proper modifier and documentation.&lt;br&gt;• If duplicate billing occurred → correct or void duplicate claim.&lt;br&gt;• Appeal denial with medical necessity documentation if services were separate encounters.&lt;br&gt;• Adjust account if denial is valid per bundling rules.&lt;/td&gt;&lt;/tr&gt;</t>
  </si>
  <si>
    <t>&lt;tr data-carc="CO 16" data-type="co" data-rarc="M81 — You are required to code to the highest level of specificity." data-denial="The claim was denied because the diagnosis or procedure code submitted was not coded to the highest level of specificity required by the payer. Coding systems (ICD-10-CM, CPT, HCPCS) require the most detailed code available based on clinical documentation. When unspecified or incomplete codes are used while more specific codes exist, the payer cannot properly adjudicate the claim." data-root="• Use of unspecified or incomplete diagnosis/procedure codes.\n• Failure to include required characters such as laterality, stage, or encounter indicator.\n• Staff unfamiliar with coding specificity requirements.\n• Documentation supports specificity but coding not updated accordingly.\n• System limitations or outdated code libraries.\n• Time constraints or coding workflow errors leading to generic code selection."&gt;&lt;td&gt;&lt;div class="row-num"&gt;#127&lt;/div&gt;&lt;span class="carc-badge co"&gt;CO 16&lt;/span&gt;&lt;/td&gt;&lt;td&gt;&lt;span class="denial-reason"&gt;Invalid Procedure Code&lt;/span&gt;&lt;/td&gt;&lt;td class="rarc-wrap"&gt;&lt;div class="rarc-id"&gt;M81&lt;/div&gt;&lt;div class="rarc-desc"&gt;You are required to code to the highest level of specificity.&lt;/div&gt;&lt;/td&gt;&lt;td class="td-meaning"&gt;The claim was denied because the diagnosis or procedure code submitted was not coded to the highest level of specificity required by the payer. Coding systems (ICD-10-CM, CPT, HCPCS) require the most detailed code available based on clinical documentation. When unspecified or incomplete codes are used while more specific codes exist, the payer cannot properly adjudicate the claim.&lt;/td&gt;&lt;td&gt;&lt;div class="chip-row"&gt;&lt;span class="chip chip-green"&gt;Diagnosis submitted with unspecified ICD-10 code when documentation supports a more specific condition → denied.&lt;/span&gt;&lt;span class="chip chip-green"&gt;Procedure billed with generic HCPCS code instead of specific available code → denial issued.&lt;/span&gt;&lt;span class="chip chip-green"&gt;Injury code submitted without laterality or encounter type (initial/subsequent) → denied.&lt;/span&gt;&lt;span class="chip chip-green"&gt;Coding missing required characters (e.g., 7th character in ICD-10) → claim rejected.&lt;/span&gt;&lt;span class="chip chip-green"&gt;Provider documentation detailed but coder selected unspecified code → denial applied.&lt;/span&gt;&lt;/div&gt;&lt;/td&gt;&lt;td&gt;&lt;div class="chip-row"&gt;&lt;span class="chip chip-green"&gt;Use of unspecified or incomplete diagnosis/procedure codes.&lt;/span&gt;&lt;span class="chip chip-green"&gt;Failure to include required characters such as laterality, stage, or encounter indicator.&lt;/span&gt;&lt;span class="chip chip-green"&gt;Staff unfamiliar with coding specificity requirements.&lt;/span&gt;&lt;span class="chip chip-green"&gt;Documentation supports specificity but coding not updated accordingly.&lt;/span&gt;&lt;span class="chip chip-green"&gt;System limitations or outdated code libraries.&lt;/span&gt;&lt;span class="chip chip-green"&gt;Time constraints or coding workflow errors leading to generic code selection.&lt;/span&gt;&lt;/div&gt;&lt;/td&gt;&lt;td class="td-res"&gt;• Review clinical documentation to identify the most specific code supported.&lt;br&gt;• Select appropriate ICD-10, CPT, or HCPCS code with full specificity.&lt;br&gt;• Ensure required characters (laterality, stage, episode of care) are included.&lt;br&gt;• Correct and resubmit the claim with accurate coding.&lt;br&gt;• If denial applied incorrectly → appeal with documentation supporting code specificity.&lt;br&gt;• Educate coding staff if issue resulted from knowledge gap.&lt;/td&gt;&lt;/tr&gt;</t>
  </si>
  <si>
    <t>&lt;tr data-carc="CO 96" data-type="co" data-rarc="M82 — Service is not covered when patient is under age 50." data-denial="The claim was denied because the service billed has payer coverage criteria that require the patient to be age 50 or older, and the patient does not meet the minimum age requirement. Certain preventive screenings, diagnostic procedures, or treatments are only covered when patients fall within specific age ranges according to payer policy or clinical guidelines." data-root="• Patient age does not meet payer medical policy requirements.\n• Failure to verify payer coverage guidelines before billing.\n• Service billed as screening rather than diagnostic with supporting symptoms.\n• Missing documentation supporting high-risk or medical necessity exception.\n• Incorrect coding selection not reflecting diagnostic indication.\n• Staff unaware of age-based coverage restrictions."&gt;&lt;td&gt;&lt;div class="row-num"&gt;#128&lt;/div&gt;&lt;span class="carc-badge co"&gt;CO 96&lt;/span&gt;&lt;/td&gt;&lt;td&gt;&lt;span class="denial-reason"&gt;Non Covered Charge&lt;/span&gt;&lt;/td&gt;&lt;td class="rarc-wrap"&gt;&lt;div class="rarc-id"&gt;M82&lt;/div&gt;&lt;div class="rarc-desc"&gt;Service is not covered when patient is under age 50.&lt;/div&gt;&lt;/td&gt;&lt;td class="td-meaning"&gt;The claim was denied because the service billed has payer coverage criteria that require the patient to be age 50 or older, and the patient does not meet the minimum age requirement. Certain preventive screenings, diagnostic procedures, or treatments are only covered when patients fall within specific age ranges according to payer policy or clinical guidelines.&lt;/td&gt;&lt;td&gt;&lt;div class="chip-row"&gt;&lt;span class="chip chip-green"&gt;Preventive screening (e.g., colon cancer screening) billed for patient younger than 50 without risk factors → denied.&lt;/span&gt;&lt;span class="chip chip-green"&gt;Age-restricted diagnostic test submitted without documentation supporting early screening criteria → denial issued.&lt;/span&gt;&lt;span class="chip chip-green"&gt;Procedure covered only for older population billed for younger patient without medical necessity → denied.&lt;/span&gt;&lt;span class="chip chip-green"&gt;Screening service billed instead of diagnostic service when symptoms exist → denial applied.&lt;/span&gt;&lt;span class="chip chip-green"&gt;Preventive benefit billed outside payer-approved age range → payer rejects claim.&lt;/span&gt;&lt;/div&gt;&lt;/td&gt;&lt;td&gt;&lt;div class="chip-row"&gt;&lt;span class="chip chip-green"&gt;Patient age does not meet payer medical policy requirements.&lt;/span&gt;&lt;span class="chip chip-green"&gt;Failure to verify payer coverage guidelines before billing.&lt;/span&gt;&lt;span class="chip chip-green"&gt;Service billed as screening rather than diagnostic with supporting symptoms.&lt;/span&gt;&lt;span class="chip chip-green"&gt;Missing documentation supporting high-risk or medical necessity exception.&lt;/span&gt;&lt;span class="chip chip-green"&gt;Incorrect coding selection not reflecting diagnostic indication.&lt;/span&gt;&lt;span class="chip chip-green"&gt;Staff unaware of age-based coverage restrictions.&lt;/span&gt;&lt;/div&gt;&lt;/td&gt;&lt;td class="td-res"&gt;• Verify payer policy and age eligibility requirements for the service.&lt;br&gt;• Review documentation to determine whether medical necessity or high-risk criteria justify coverage.&lt;br&gt;• If criteria met → appeal with physician notes, symptoms, risk factors, and clinical justification.&lt;br&gt;• Correct coding if service should be billed as diagnostic rather than screening.&lt;br&gt;• If service truly non-covered → transfer responsibility to patient only if proper financial notice or ABN obtained.&lt;br&gt;• If payer misapplied policy → submit reconsideration with policy reference.&lt;/td&gt;&lt;/tr&gt;</t>
  </si>
  <si>
    <t>&lt;tr data-carc="CO 96" data-type="co" data-rarc="M83 — Service is not covered unless the patient is classified as at high risk." data-denial="The claim was denied because the service is only covered when the patient meets high-risk criteria defined by payer medical policy, and the submitted documentation or coding did not demonstrate that the patient qualifies as high risk. Many preventive screenings, diagnostic tests, and monitoring services have expanded coverage only for patients with specific risk factors or medical conditions." data-root="• Missing or incorrect diagnosis codes reflecting high-risk status.\n• Documentation does not support payer-defined risk criteria.\n• Service billed as screening rather than diagnostic with symptoms present.\n• Staff unaware of payer-specific high-risk coverage requirements.\n• Incomplete provider documentation regarding patient risk factors.\n• Incorrect coding selection or omission of secondary diagnosis codes."&gt;&lt;td&gt;&lt;div class="row-num"&gt;#129&lt;/div&gt;&lt;span class="carc-badge co"&gt;CO 96&lt;/span&gt;&lt;/td&gt;&lt;td&gt;&lt;span class="denial-reason"&gt;Non Covered Charge&lt;/span&gt;&lt;/td&gt;&lt;td class="rarc-wrap"&gt;&lt;div class="rarc-id"&gt;M83&lt;/div&gt;&lt;div class="rarc-desc"&gt;Service is not covered unless the patient is classified as at high risk.&lt;/div&gt;&lt;/td&gt;&lt;td class="td-meaning"&gt;The claim was denied because the service is only covered when the patient meets high-risk criteria defined by payer medical policy, and the submitted documentation or coding did not demonstrate that the patient qualifies as high risk. Many preventive screenings, diagnostic tests, and monitoring services have expanded coverage only for patients with specific risk factors or medical conditions.&lt;/td&gt;&lt;td&gt;&lt;div class="chip-row"&gt;&lt;span class="chip chip-green"&gt;Screening colonoscopy billed for patient under routine coverage criteria without high-risk diagnosis → denied.&lt;/span&gt;&lt;span class="chip chip-green"&gt;Genetic testing submitted without documentation of family history or risk indicators → denial issued.&lt;/span&gt;&lt;span class="chip chip-green"&gt;Preventive service covered only for high-risk patients billed with routine screening diagnosis → denied.&lt;/span&gt;&lt;span class="chip chip-green"&gt;Cardiac or imaging screening submitted without risk-based medical necessity documentation → denial applied.&lt;/span&gt;&lt;span class="chip chip-green"&gt;Frequency-limited service billed earlier than allowed without high-risk justification → denied.&lt;/span&gt;&lt;/div&gt;&lt;/td&gt;&lt;td&gt;&lt;div class="chip-row"&gt;&lt;span class="chip chip-green"&gt;Missing or incorrect diagnosis codes reflecting high-risk status.&lt;/span&gt;&lt;span class="chip chip-green"&gt;Documentation does not support payer-defined risk criteria.&lt;/span&gt;&lt;span class="chip chip-green"&gt;Service billed as screening rather than diagnostic with symptoms present.&lt;/span&gt;&lt;span class="chip chip-green"&gt;Staff unaware of payer-specific high-risk coverage requirements.&lt;/span&gt;&lt;span class="chip chip-green"&gt;Incomplete provider documentation regarding patient risk factors.&lt;/span&gt;&lt;span class="chip chip-green"&gt;Incorrect coding selection or omission of secondary diagnosis codes.&lt;/span&gt;&lt;/div&gt;&lt;/td&gt;&lt;td class="td-res"&gt;• Review payer medical policy to identify qualifying high-risk criteria.&lt;br&gt;• Verify clinical documentation for risk factors (family history, prior conditions, comorbidities).&lt;br&gt;• Add appropriate diagnosis codes reflecting high-risk classification if supported.&lt;br&gt;• Resubmit or appeal with physician documentation demonstrating medical necessity.&lt;br&gt;• Correct coding if service should be billed as diagnostic rather than screening.&lt;br&gt;• If patient does not meet criteria → transfer responsibility to patient only if proper notification provided.&lt;/td&gt;&lt;/tr&gt;</t>
  </si>
  <si>
    <t>&lt;tr data-carc="CO 16" data-type="co" data-rarc="M84 — Medical code sets used must be the codes in effect at the time of service." data-denial="The claim was denied because the medical code set used (ICD-10, CPT, HCPCS, modifiers, or revenue codes) was not valid for the date of service (DOS). Code sets are updated periodically (annually or quarterly), and payers require providers to use the version that was active at the time the service was performed. Using deleted, future-dated, or expired codes prevents proper adjudication." data-root="• Use of outdated or future code sets not aligned with DOS.\n• Billing system or charge master not updated correctly.\n• Staff unaware of coding update effective dates.\n• Automatic coding tools applying current codes instead of DOS-appropriate codes.\n• Mapping errors during system upgrades or code library refresh.\n• Failure to maintain historical code versions for prior DOS billing."&gt;&lt;td&gt;&lt;div class="row-num"&gt;#130&lt;/div&gt;&lt;span class="carc-badge co"&gt;CO 16&lt;/span&gt;&lt;/td&gt;&lt;td&gt;&lt;span class="denial-reason"&gt;Invalid Procedure Code&lt;/span&gt;&lt;/td&gt;&lt;td class="rarc-wrap"&gt;&lt;div class="rarc-id"&gt;M84&lt;/div&gt;&lt;div class="rarc-desc"&gt;Medical code sets used must be the codes in effect at the time of service.&lt;/div&gt;&lt;/td&gt;&lt;td class="td-meaning"&gt;The claim was denied because the medical code set used (ICD-10, CPT, HCPCS, modifiers, or revenue codes) was not valid for the date of service (DOS). Code sets are updated periodically (annually or quarterly), and payers require providers to use the version that was active at the time the service was performed. Using deleted, future-dated, or expired codes prevents proper adjudication.&lt;/td&gt;&lt;td&gt;&lt;div class="chip-row"&gt;&lt;span class="chip chip-green"&gt;CPT or HCPCS code used that became effective after the service date → denied.&lt;/span&gt;&lt;span class="chip chip-green"&gt;Deleted procedure code billed for a past date of service → denial issued.&lt;/span&gt;&lt;span class="chip chip-green"&gt;ICD-10 code used from new fiscal year for services performed before update effective date → denied.&lt;/span&gt;&lt;span class="chip chip-green"&gt;Revenue code or modifier no longer valid for DOS → claim rejected.&lt;/span&gt;&lt;span class="chip chip-green"&gt;Charge master updated incorrectly causing wrong code version to be billed → denial applied.&lt;/span&gt;&lt;/div&gt;&lt;/td&gt;&lt;td&gt;&lt;div class="chip-row"&gt;&lt;span class="chip chip-green"&gt;Use of outdated or future code sets not aligned with DOS.&lt;/span&gt;&lt;span class="chip chip-green"&gt;Billing system or charge master not updated correctly.&lt;/span&gt;&lt;span class="chip chip-green"&gt;Staff unaware of coding update effective dates.&lt;/span&gt;&lt;span class="chip chip-green"&gt;Automatic coding tools applying current codes instead of DOS-appropriate codes.&lt;/span&gt;&lt;span class="chip chip-green"&gt;Mapping errors during system upgrades or code library refresh.&lt;/span&gt;&lt;span class="chip chip-green"&gt;Failure to maintain historical code versions for prior DOS billing.&lt;/span&gt;&lt;/div&gt;&lt;/td&gt;&lt;td class="td-res"&gt;• Verify correct code validity using official coding references for the service date.&lt;br&gt;• Replace invalid codes with those active on the DOS.&lt;br&gt;• Confirm modifiers, revenue codes, and diagnosis codes align with DOS requirements.&lt;br&gt;• Correct and resubmit the claim with appropriate codes.&lt;br&gt;• If denial applied incorrectly → appeal with coding references supporting validity.&lt;br&gt;• Review charge master and system configuration if multiple claims affected.&lt;/td&gt;&lt;/tr&gt;</t>
  </si>
  <si>
    <t>&lt;tr data-carc="CO 97" data-type="co" data-rarc="M86 — Service denied because payment already made for same/similar procedure within set time frame." data-denial="The claim was denied because the payer previously paid for the same or a similar procedure for the patient within a defined time limit or frequency period, and the current service falls within that restriction window. Payers enforce frequency edits to prevent duplicate or unnecessary services within short intervals unless medical necessity supports repetition." data-root="• Service repeated within payer frequency limitation period.\n• Failure to verify prior claim history before billing.\n• Missing modifier indicating repeat procedure (e.g., -76, -77, -59) when appropriate.\n• Documentation lacking medical necessity for repeated service.\n• System or workflow issues causing duplicate submissions.\n• Staff unaware of payer frequency rules or global periods."&gt;&lt;td&gt;&lt;div class="row-num"&gt;#131&lt;/div&gt;&lt;span class="carc-badge co"&gt;CO 97&lt;/span&gt;&lt;/td&gt;&lt;td&gt;&lt;span class="denial-reason"&gt;Bundling&lt;/span&gt;&lt;/td&gt;&lt;td class="rarc-wrap"&gt;&lt;div class="rarc-id"&gt;M86&lt;/div&gt;&lt;div class="rarc-desc"&gt;Service denied because payment already made for same/similar procedure within set time frame.&lt;/div&gt;&lt;/td&gt;&lt;td class="td-meaning"&gt;The claim was denied because the payer previously paid for the same or a similar procedure for the patient within a defined time limit or frequency period, and the current service falls within that restriction window. Payers enforce frequency edits to prevent duplicate or unnecessary services within short intervals unless medical necessity supports repetition.&lt;/td&gt;&lt;td&gt;&lt;div class="chip-row"&gt;&lt;span class="chip chip-green"&gt;Screening test billed again before allowed frequency interval expired → denied.&lt;/span&gt;&lt;span class="chip chip-green"&gt;Procedure repeated within global period without modifier indicating separate service → denial issued.&lt;/span&gt;&lt;span class="chip chip-green"&gt;Diagnostic imaging repeated within short timeframe without medical necessity → denied.&lt;/span&gt;&lt;span class="chip chip-green"&gt;DME replacement billed before reasonable useful lifetime expired → denial applied.&lt;/span&gt;&lt;span class="chip chip-green"&gt;Follow-up service submitted too soon after initial treatment → payer denies as duplicate timeframe service.&lt;/span&gt;&lt;/div&gt;&lt;/td&gt;&lt;td&gt;&lt;div class="chip-row"&gt;&lt;span class="chip chip-green"&gt;Service repeated within payer frequency limitation period.&lt;/span&gt;&lt;span class="chip chip-green"&gt;Failure to verify prior claim history before billing.&lt;/span&gt;&lt;span class="chip chip-green"&gt;Missing modifier indicating repeat procedure (e.g., -76, -77, -59) when appropriate.&lt;/span&gt;&lt;span class="chip chip-green"&gt;Documentation lacking medical necessity for repeated service.&lt;/span&gt;&lt;span class="chip chip-green"&gt;System or workflow issues causing duplicate submissions.&lt;/span&gt;&lt;span class="chip chip-green"&gt;Staff unaware of payer frequency rules or global periods.&lt;/span&gt;&lt;/div&gt;&lt;/td&gt;&lt;td class="td-res"&gt;• Review prior claim history to identify previously paid service and dates.&lt;br&gt;• Determine whether repeat service was medically necessary and distinct.&lt;br&gt;• If appropriate → resubmit or appeal with supporting documentation and correct modifier.&lt;br&gt;• If duplicate billing occurred → correct or cancel claim as needed.&lt;br&gt;• Verify global period rules if procedure-related.&lt;br&gt;• Adjust account if denial is valid under frequency limitations.&lt;/td&gt;&lt;/tr&gt;</t>
  </si>
  <si>
    <t>&lt;tr data-carc="CO 96" data-type="co" data-rarc="M89 — Not covered more than once under age 40." data-denial="The claim was denied because the service has a frequency limitation for patients under age 40, and the payer records indicate that the service was already provided once within the allowable period. Coverage policies may allow only a single occurrence under a certain age unless medical necessity or special criteria are met. Additional services beyond the allowed frequency are not covered." data-root="• Service repeated beyond payer frequency limits for patient age group.\n• Failure to verify prior service history before billing.\n• Missing documentation supporting medical necessity for repeat service.\n• Incorrect coding (screening vs diagnostic) causing frequency edit to trigger.\n• Staff unaware of age-based frequency restrictions.\n• Duplicate claim submission or scheduling errors."&gt;&lt;td&gt;&lt;div class="row-num"&gt;#132&lt;/div&gt;&lt;span class="carc-badge co"&gt;CO 96&lt;/span&gt;&lt;/td&gt;&lt;td&gt;&lt;span class="denial-reason"&gt;Non Covered Charge&lt;/span&gt;&lt;/td&gt;&lt;td class="rarc-wrap"&gt;&lt;div class="rarc-id"&gt;M89&lt;/div&gt;&lt;div class="rarc-desc"&gt;Not covered more than once under age 40.&lt;/div&gt;&lt;/td&gt;&lt;td class="td-meaning"&gt;The claim was denied because the service has a frequency limitation for patients under age 40, and the payer records indicate that the service was already provided once within the allowable period. Coverage policies may allow only a single occurrence under a certain age unless medical necessity or special criteria are met. Additional services beyond the allowed frequency are not covered.&lt;/td&gt;&lt;td&gt;&lt;div class="chip-row"&gt;&lt;span class="chip chip-green"&gt;Preventive screening performed a second time for a patient under 40 when policy allows only one → denied.&lt;/span&gt;&lt;span class="chip chip-green"&gt;Diagnostic or monitoring test repeated within restricted timeframe without medical necessity → denial issued.&lt;/span&gt;&lt;span class="chip chip-green"&gt;Genetic or risk-based screening billed more than once for younger patient → denied due to frequency rules.&lt;/span&gt;&lt;span class="chip chip-green"&gt;Procedure with lifetime or age-based limitation billed again before patient reaches eligible age → denial applied.&lt;/span&gt;&lt;span class="chip chip-green"&gt;Follow-up screening submitted without qualifying risk factors → payer denies additional service.&lt;/span&gt;&lt;/div&gt;&lt;/td&gt;&lt;td&gt;&lt;div class="chip-row"&gt;&lt;span class="chip chip-green"&gt;Service repeated beyond payer frequency limits for patient age group.&lt;/span&gt;&lt;span class="chip chip-green"&gt;Failure to verify prior service history before billing.&lt;/span&gt;&lt;span class="chip chip-green"&gt;Missing documentation supporting medical necessity for repeat service.&lt;/span&gt;&lt;span class="chip chip-green"&gt;Incorrect coding (screening vs diagnostic) causing frequency edit to trigger.&lt;/span&gt;&lt;span class="chip chip-green"&gt;Staff unaware of age-based frequency restrictions.&lt;/span&gt;&lt;span class="chip chip-green"&gt;Duplicate claim submission or scheduling errors.&lt;/span&gt;&lt;/div&gt;&lt;/td&gt;&lt;td class="td-res"&gt;• Review patient history and prior claim dates to confirm frequency limitation.&lt;br&gt;• Determine whether repeat service was medically necessary and qualifies for exception.&lt;br&gt;• If appropriate → appeal with documentation supporting medical necessity or risk factors.&lt;br&gt;• Correct coding if service should be billed as diagnostic instead of screening.&lt;br&gt;• If denial valid → transfer responsibility to patient only if proper financial notice obtained.&lt;br&gt;• Adjust account if payer policy clearly restricts coverage.&lt;/td&gt;&lt;/tr&gt;</t>
  </si>
  <si>
    <t>&lt;tr data-carc="CO 119" data-type="co" data-rarc="M90 — Not covered more than once in a 12 month period." data-denial="The claim was denied because the payer allows coverage for this service only once within a 12-month period, and records indicate the patient already received the same or similar service during that timeframe. Frequency limitations are applied to prevent duplicate or unnecessary services unless medical necessity or exception criteria are met." data-root="• Service repeated within payer frequency limitation period.\n• Failure to verify patient service history prior to billing or scheduling.\n• Missing documentation supporting medical necessity for repeat service.\n• Incorrect coding (screening vs diagnostic) triggering frequency edit.\n• Duplicate claim submission or resubmission without correction indicator.\n• Staff unaware of payer frequency rules."&gt;&lt;td&gt;&lt;div class="row-num"&gt;#133&lt;/div&gt;&lt;span class="carc-badge co"&gt;CO 119&lt;/span&gt;&lt;/td&gt;&lt;td&gt;&lt;span class="denial-reason"&gt;Benefit Maximum&lt;/span&gt;&lt;/td&gt;&lt;td class="rarc-wrap"&gt;&lt;div class="rarc-id"&gt;M90&lt;/div&gt;&lt;div class="rarc-desc"&gt;Not covered more than once in a 12 month period.&lt;/div&gt;&lt;/td&gt;&lt;td class="td-meaning"&gt;The claim was denied because the payer allows coverage for this service only once within a 12-month period, and records indicate the patient already received the same or similar service during that timeframe. Frequency limitations are applied to prevent duplicate or unnecessary services unless medical necessity or exception criteria are met.&lt;/td&gt;&lt;td&gt;&lt;div class="chip-row"&gt;&lt;span class="chip chip-green"&gt;Annual screening test billed twice within the same year → denied.&lt;/span&gt;&lt;span class="chip chip-green"&gt;Preventive exam performed again before 12 months from prior visit → denial issued.&lt;/span&gt;&lt;span class="chip chip-green"&gt;Diagnostic service repeated within frequency window without medical necessity → denied.&lt;/span&gt;&lt;span class="chip chip-green"&gt;DME supply replacement billed earlier than annual allowance → denial applied.&lt;/span&gt;&lt;span class="chip chip-green"&gt;Procedure submitted again due to scheduling error or duplicate billing → payer denies second claim.&lt;/span&gt;&lt;/div&gt;&lt;/td&gt;&lt;td&gt;&lt;div class="chip-row"&gt;&lt;span class="chip chip-green"&gt;Service repeated within payer frequency limitation period.&lt;/span&gt;&lt;span class="chip chip-green"&gt;Failure to verify patient service history prior to billing or scheduling.&lt;/span&gt;&lt;span class="chip chip-green"&gt;Missing documentation supporting medical necessity for repeat service.&lt;/span&gt;&lt;span class="chip chip-green"&gt;Incorrect coding (screening vs diagnostic) triggering frequency edit.&lt;/span&gt;&lt;span class="chip chip-green"&gt;Duplicate claim submission or resubmission without correction indicator.&lt;/span&gt;&lt;span class="chip chip-green"&gt;Staff unaware of payer frequency rules.&lt;/span&gt;&lt;/div&gt;&lt;/td&gt;&lt;td class="td-res"&gt;• Review prior claim history and confirm date of previously paid service.&lt;br&gt;• Determine whether repeat service qualifies for medical necessity exception.&lt;br&gt;• If appropriate → appeal with documentation supporting necessity or clinical indication.&lt;br&gt;• Correct coding if service should be diagnostic rather than routine screening.&lt;br&gt;• If denial valid → transfer responsibility to patient only if proper notification obtained.&lt;br&gt;• Adjust or void duplicate claim if submitted in error.&lt;/td&gt;&lt;/tr&gt;</t>
  </si>
  <si>
    <t>&lt;tr data-carc="CO 16" data-type="co" data-rarc="M91 — Lab procedures with different CLIA certification numbers must be billed on separate claims." data-denial="The claim was denied because laboratory services performed under different CLIA (Clinical Laboratory Improvement Amendments) certification numbers were billed on the same claim. Payer policy requires that services associated with each CLIA number be submitted on separate claims, since each CLIA certificate represents a distinct laboratory entity with its own regulatory identification." data-root="• Multiple CLIA-certified entities included on one claim submission.\n• Failure to split services by performing laboratory.\n• Billing system limitations allowing only one CLIA number per claim.\n• Staff unaware of CLIA billing requirements.\n• Incorrect claim setup when reference labs are involved.\n• Interface or mapping errors between lab system and billing system."&gt;&lt;td&gt;&lt;div class="row-num"&gt;#134&lt;/div&gt;&lt;span class="carc-badge co"&gt;CO 16&lt;/span&gt;&lt;/td&gt;&lt;td&gt;&lt;span class="denial-reason"&gt;CLIA Missing&lt;/span&gt;&lt;/td&gt;&lt;td class="rarc-wrap"&gt;&lt;div class="rarc-id"&gt;M91&lt;/div&gt;&lt;div class="rarc-desc"&gt;Lab procedures with different CLIA certification numbers must be billed on separate claims.&lt;/div&gt;&lt;/td&gt;&lt;td class="td-meaning"&gt;The claim was denied because laboratory services performed under different CLIA (Clinical Laboratory Improvement Amendments) certification numbers were billed on the same claim. Payer policy requires that services associated with each CLIA number be submitted on separate claims, since each CLIA certificate represents a distinct laboratory entity with its own regulatory identification.&lt;/td&gt;&lt;td&gt;&lt;div class="chip-row"&gt;&lt;span class="chip chip-green"&gt;Multiple lab tests performed by different laboratory locations with separate CLIA numbers billed together → denied.&lt;/span&gt;&lt;span class="chip chip-green"&gt;Reference lab services combined with in-house lab services on one claim → payer rejects claim.&lt;/span&gt;&lt;span class="chip chip-green"&gt;Hospital outreach lab and physician office lab services submitted under single claim despite different CLIA IDs → denial issued.&lt;/span&gt;&lt;span class="chip chip-green"&gt;Point-of-care testing and external lab testing billed together → denial applied.&lt;/span&gt;&lt;span class="chip chip-green"&gt;Billing system populated only one CLIA number for multiple lab providers → claim denied.&lt;/span&gt;&lt;/div&gt;&lt;/td&gt;&lt;td&gt;&lt;div class="chip-row"&gt;&lt;span class="chip chip-green"&gt;Multiple CLIA-certified entities included on one claim submission.&lt;/span&gt;&lt;span class="chip chip-green"&gt;Failure to split services by performing laboratory.&lt;/span&gt;&lt;span class="chip chip-green"&gt;Billing system limitations allowing only one CLIA number per claim.&lt;/span&gt;&lt;span class="chip chip-green"&gt;Staff unaware of CLIA billing requirements.&lt;/span&gt;&lt;span class="chip chip-green"&gt;Incorrect claim setup when reference labs are involved.&lt;/span&gt;&lt;span class="chip chip-green"&gt;Interface or mapping errors between lab system and billing system.&lt;/span&gt;&lt;/div&gt;&lt;/td&gt;&lt;td class="td-res"&gt;• Identify which services correspond to each CLIA certification number.&lt;br&gt;• Split the claim into separate claims — one per CLIA number.&lt;br&gt;• Ensure correct CLIA number is reported in the appropriate claim field for each submission.&lt;br&gt;• Verify rendering or performing provider information aligns with CLIA entity.&lt;br&gt;• Resubmit corrected claims individually.&lt;br&gt;• Appeal if denial occurred despite correct separation.&lt;/td&gt;&lt;/tr&gt;</t>
  </si>
  <si>
    <t>&lt;tr data-carc="CO 16" data-type="co" data-rarc="M96 — The technical component of a service furnished to an inpatient may only be billed by that inpatient facility. You must contact the inpatient facility for technical component reimbursement. If not already billed, you should bill us for the professional component only." data-denial="The claim was denied because the technical component (TC) of the service was performed while the patient was an inpatient, and payer rules require that the technical portion be billed only by the inpatient facility (e.g., hospital). External providers or suppliers cannot bill separately for the technical component when services are furnished to an inpatient because those costs are included in the facility’s reimbursement. The provider may bill only the professional component (modifier -26) if applicable." data-root="• Billing global or technical component for services performed during inpatient stay.\n• Failure to verify patient inpatient status prior to billing.\n• Misunderstanding of facility billing responsibility rules.\n• System not identifying inpatient overlap during claim creation.\n• Staff unaware that inpatient facility payment includes technical costs.\n• Incorrect modifier usage (-26 vs global vs -TC)."&gt;&lt;td&gt;&lt;div class="row-num"&gt;#135&lt;/div&gt;&lt;span class="carc-badge co"&gt;CO 16&lt;/span&gt;&lt;/td&gt;&lt;td&gt;&lt;span class="denial-reason"&gt;Non Covered Charge&lt;/span&gt;&lt;/td&gt;&lt;td class="rarc-wrap"&gt;&lt;div class="rarc-id"&gt;M96&lt;/div&gt;&lt;div class="rarc-desc"&gt;The technical component of a service furnished to an inpatient may only be billed by that inpatient facility. You must contact the inpatient facility for technical component reimbursement. If not already billed, you should bill us for the professional component only.&lt;/div&gt;&lt;/td&gt;&lt;td class="td-meaning"&gt;The claim was denied because the technical component (TC) of the service was performed while the patient was an inpatient, and payer rules require that the technical portion be billed only by the inpatient facility (e.g., hospital). External providers or suppliers cannot bill separately for the technical component when services are furnished to an inpatient because those costs are included in the facility’s reimbursement. The provider may bill only the professional component (modifier -26) if applicable.&lt;/td&gt;&lt;td&gt;&lt;div class="chip-row"&gt;&lt;span class="chip chip-green"&gt;Radiology service performed for hospitalized patient but outside provider billed global or technical component → denied.&lt;/span&gt;&lt;span class="chip chip-green"&gt;Diagnostic test performed in hospital inpatient setting billed by independent entity with TC included → denial issued.&lt;/span&gt;&lt;span class="chip chip-green"&gt;Pathology or imaging services billed globally instead of professional component only → denial applied.&lt;/span&gt;&lt;span class="chip chip-green"&gt;Supplier attempts to bill technical portion for inpatient procedure already covered under facility payment → denied.&lt;/span&gt;&lt;span class="chip chip-green"&gt;Provider unaware patient was admitted at time of service → claim rejected for TC billing.&lt;/span&gt;&lt;/div&gt;&lt;/td&gt;&lt;td&gt;&lt;div class="chip-row"&gt;&lt;span class="chip chip-green"&gt;Billing global or technical component for services performed during inpatient stay.&lt;/span&gt;&lt;span class="chip chip-green"&gt;Failure to verify patient inpatient status prior to billing.&lt;/span&gt;&lt;span class="chip chip-green"&gt;Misunderstanding of facility billing responsibility rules.&lt;/span&gt;&lt;span class="chip chip-green"&gt;System not identifying inpatient overlap during claim creation.&lt;/span&gt;&lt;span class="chip chip-green"&gt;Staff unaware that inpatient facility payment includes technical costs.&lt;/span&gt;&lt;span class="chip chip-green"&gt;Incorrect modifier usage (-26 vs global vs -TC).&lt;/span&gt;&lt;/div&gt;&lt;/td&gt;&lt;td class="td-res"&gt;• Verify patient admission status on date of service.&lt;br&gt;• If patient was inpatient → remove technical component from claim.&lt;br&gt;• Bill professional component only using modifier -26 if applicable.&lt;br&gt;• Coordinate with inpatient facility regarding technical reimbursement if contractual arrangement exists.&lt;br&gt;• Resubmit corrected claim with appropriate modifiers.&lt;br&gt;• Appeal if patient was not inpatient at time of service and denial applied incorrectly.&lt;/td&gt;&lt;/tr&gt;</t>
  </si>
  <si>
    <t>&lt;tr data-carc="CO 16" data-type="co" data-rarc="M99 — Missing/incomplete/invalid Universal Product Number/Serial Number." data-denial="The claim was denied because the required Universal Product Number (UPN), serial number, or device identifier was missing, incomplete, or invalid. Certain items—especially Durable Medical Equipment (DME), implants, devices, or manufacturer-tracked products—require specific product identification information for adjudication, warranty tracking, or compliance purposes. Without a valid identifier, the payer cannot process the claim." data-root="• Required product identifier not captured during equipment delivery or documentation.\n• Data entry errors when entering serial or product numbers.\n• Billing system not configured to populate device identifier fields.\n• Staff unaware of payer requirements for product identification reporting.\n• Interface or clearinghouse issues causing identifier fields to drop.\n• Incorrect or incomplete inventory tracking processes."&gt;&lt;td&gt;&lt;div class="row-num"&gt;#136&lt;/div&gt;&lt;span class="carc-badge co"&gt;CO 16&lt;/span&gt;&lt;/td&gt;&lt;td&gt;&lt;span class="denial-reason"&gt;Invalid Universal Product Number (UPN) / Serial Number&lt;/span&gt;&lt;/td&gt;&lt;td class="rarc-wrap"&gt;&lt;div class="rarc-id"&gt;M99&lt;/div&gt;&lt;div class="rarc-desc"&gt;Missing/incomplete/invalid Universal Product Number/Serial Number.&lt;/div&gt;&lt;/td&gt;&lt;td class="td-meaning"&gt;The claim was denied because the required Universal Product Number (UPN), serial number, or device identifier was missing, incomplete, or invalid. Certain items—especially Durable Medical Equipment (DME), implants, devices, or manufacturer-tracked products—require specific product identification information for adjudication, warranty tracking, or compliance purposes. Without a valid identifier, the payer cannot process the claim.&lt;/td&gt;&lt;td&gt;&lt;div class="chip-row"&gt;&lt;span class="chip chip-green"&gt;DME equipment billed without serial number or product identifier → denied.&lt;/span&gt;&lt;span class="chip chip-green"&gt;Implantable device claim missing manufacturer device number → denial issued.&lt;/span&gt;&lt;span class="chip chip-green"&gt;UPN entered incorrectly or with invalid format → claim rejected.&lt;/span&gt;&lt;span class="chip chip-green"&gt;Serial number field left blank during claim submission → denial applied.&lt;/span&gt;&lt;span class="chip chip-green"&gt;System transmission error caused device identifier to drop from claim → payer unable to adjudicate.&lt;/span&gt;&lt;/div&gt;&lt;/td&gt;&lt;td&gt;&lt;div class="chip-row"&gt;&lt;span class="chip chip-green"&gt;Required product identifier not captured during equipment delivery or documentation.&lt;/span&gt;&lt;span class="chip chip-green"&gt;Data entry errors when entering serial or product numbers.&lt;/span&gt;&lt;span class="chip chip-green"&gt;Billing system not configured to populate device identifier fields.&lt;/span&gt;&lt;span class="chip chip-green"&gt;Staff unaware of payer requirements for product identification reporting.&lt;/span&gt;&lt;span class="chip chip-green"&gt;Interface or clearinghouse issues causing identifier fields to drop.&lt;/span&gt;&lt;span class="chip chip-green"&gt;Incorrect or incomplete inventory tracking processes.&lt;/span&gt;&lt;/div&gt;&lt;/td&gt;&lt;td class="td-res"&gt;• Verify correct UPN or serial number from equipment or device documentation.&lt;br&gt;• Ensure identifier format meets payer requirements.&lt;br&gt;• Correct the claim with accurate product identification information.&lt;br&gt;• Resubmit claim to payer.&lt;br&gt;• If denial applied incorrectly → appeal with documentation supporting device identification.&lt;br&gt;• Check system mapping if multiple claims affected.&lt;/td&gt;&lt;/tr&gt;</t>
  </si>
  <si>
    <t>&lt;tr data-carc="CO 22" data-type="co" data-rarc="MA04 — Secondary payment cannot be considered without the identity of or payment information from the primary payer. The information was either not reported or was illegible." data-denial="The payer could not process the claim as secondary insurance because the primary payer information was missing, incomplete, or illegible. Secondary payers require the primary payer’s Explanation of Benefits (EOB) details — including payment amounts, adjustments, and claim identifiers — to coordinate benefits and determine the correct secondary payment. Without this information, the claim cannot be adjudicated." data-root="• Primary EOB not obtained before billing secondary payer.\n• Incomplete COB fields populated during claim submission.\n• Data transmission or attachment errors causing missing information.\n• Staff unfamiliar with secondary billing requirements.\n• Insurance order not verified correctly during registration.\n• Illegible or poor-quality scanned documents submitted."&gt;&lt;td&gt;&lt;div class="row-num"&gt;#137&lt;/div&gt;&lt;span class="carc-badge co"&gt;CO 22&lt;/span&gt;&lt;/td&gt;&lt;td&gt;&lt;span class="denial-reason"&gt;Missing Primary Payer Information&lt;/span&gt;&lt;/td&gt;&lt;td class="rarc-wrap"&gt;&lt;div class="rarc-id"&gt;MA04&lt;/div&gt;&lt;div class="rarc-desc"&gt;Secondary payment cannot be considered without the identity of or payment information from the primary payer. The information was either not reported or was illegible.&lt;/div&gt;&lt;/td&gt;&lt;td class="td-meaning"&gt;The payer could not process the claim as secondary insurance because the primary payer information was missing, incomplete, or illegible. Secondary payers require the primary payer’s Explanation of Benefits (EOB) details — including payment amounts, adjustments, and claim identifiers — to coordinate benefits and determine the correct secondary payment. Without this information, the claim cannot be adjudicated.&lt;/td&gt;&lt;td&gt;&lt;div class="chip-row"&gt;&lt;span class="chip chip-green"&gt;Secondary claim submitted without primary EOB attached → cannot process.&lt;/span&gt;&lt;span class="chip chip-green"&gt;Primary payment amount field missing or unreadable on claim → rejected.&lt;/span&gt;&lt;span class="chip chip-green"&gt;COB information transmitted incorrectly through EDI → denial issued.&lt;/span&gt;&lt;span class="chip chip-green"&gt;Manual claim submitted with illegible primary payer documentation → denied.&lt;/span&gt;&lt;span class="chip chip-green"&gt;Wrong primary payer listed or missing claim control number → secondary cannot adjudicate.&lt;/span&gt;&lt;/div&gt;&lt;/td&gt;&lt;td&gt;&lt;div class="chip-row"&gt;&lt;span class="chip chip-green"&gt;Primary EOB not obtained before billing secondary payer.&lt;/span&gt;&lt;span class="chip chip-green"&gt;Incomplete COB fields populated during claim submission.&lt;/span&gt;&lt;span class="chip chip-green"&gt;Data transmission or attachment errors causing missing information.&lt;/span&gt;&lt;span class="chip chip-green"&gt;Staff unfamiliar with secondary billing requirements.&lt;/span&gt;&lt;span class="chip chip-green"&gt;Insurance order not verified correctly during registration.&lt;/span&gt;&lt;span class="chip chip-green"&gt;Illegible or poor-quality scanned documents submitted.&lt;/span&gt;&lt;/div&gt;&lt;/td&gt;&lt;td class="td-res"&gt;• Obtain the primary payer Explanation of Benefits (EOB) with complete payment details.&lt;br&gt;• Verify primary payer identity, claim control number, and adjudication amounts.&lt;br&gt;• Correct COB fields on the claim (paid amount, adjustments, patient responsibility).&lt;br&gt;• Attach or transmit primary EOB clearly and accurately.&lt;br&gt;• Resubmit claim to secondary payer.&lt;br&gt;• If denial applied incorrectly → contact payer with correct information and request reconsideration.&lt;/td&gt;&lt;/tr&gt;</t>
  </si>
  <si>
    <t>&lt;tr data-carc="CO 109" data-type="co" data-rarc="MA07 — Alert: The claim information has also been forwarded to Medicaid for review." data-denial="This alert indicates that the claim information has been automatically forwarded to Medicaid for secondary review and potential payment consideration. This typically occurs in Coordination of Benefits (COB) situations where Medicare or another primary payer has processed the claim and transmitted it to Medicaid as the secondary payer (commonly called a crossover claim). This is informational and not a denial." data-root="• Normal coordination of benefits process for dual-eligible patients.\n• Automatic payer crossover agreement between primary payer and Medicaid.\n• Patient enrolled in both Medicare and Medicaid programs.\n• System-generated informational remark rather than an error condition."&gt;&lt;td&gt;&lt;div class="row-num"&gt;#138&lt;/div&gt;&lt;span class="carc-badge co"&gt;CO 109&lt;/span&gt;&lt;/td&gt;&lt;td&gt;&lt;span class="denial-reason"&gt;Covered by Another Payer&lt;/span&gt;&lt;/td&gt;&lt;td class="rarc-wrap"&gt;&lt;div class="rarc-id"&gt;MA07&lt;/div&gt;&lt;div class="rarc-desc"&gt;Alert: The claim information has also been forwarded to Medicaid for review.&lt;/div&gt;&lt;/td&gt;&lt;td class="td-meaning"&gt;This alert indicates that the claim information has been automatically forwarded to Medicaid for secondary review and potential payment consideration. This typically occurs in Coordination of Benefits (COB) situations where Medicare or another primary payer has processed the claim and transmitted it to Medicaid as the secondary payer (commonly called a crossover claim). This is informational and not a denial.&lt;/td&gt;&lt;td&gt;&lt;div class="chip-row"&gt;&lt;span class="chip chip-green"&gt;Medicare processes claim for dual-eligible patient and forwards it to Medicaid automatically → MA07 appears.&lt;/span&gt;&lt;span class="chip chip-green"&gt;Primary commercial payer sends crossover claim to Medicaid for secondary adjudication → informational alert issued.&lt;/span&gt;&lt;span class="chip chip-green"&gt;Provider submits claim to Medicare only, and Medicare forwards to Medicaid per crossover agreement → no action needed initially.&lt;/span&gt;&lt;span class="chip chip-green"&gt;Claim forwarded but Medicaid later denies due to eligibility or coverage limitations → separate Medicaid remittance received.&lt;/span&gt;&lt;span class="chip chip-green"&gt;Incorrect Medicaid ID on file causing forwarding issues → Medicaid unable to process after crossover.&lt;/span&gt;&lt;/div&gt;&lt;/td&gt;&lt;td&gt;&lt;div class="chip-row"&gt;&lt;span class="chip chip-green"&gt;Normal coordination of benefits process for dual-eligible patients.&lt;/span&gt;&lt;span class="chip chip-green"&gt;Automatic payer crossover agreement between primary payer and Medicaid.&lt;/span&gt;&lt;span class="chip chip-green"&gt;Patient enrolled in both Medicare and Medicaid programs.&lt;/span&gt;&lt;span class="chip chip-green"&gt;System-generated informational remark rather than an error condition.&lt;/span&gt;&lt;/div&gt;&lt;/td&gt;&lt;td class="td-res"&gt;• Monitor for Medicaid remittance advice to determine secondary payment outcome.&lt;br&gt;• Verify patient Medicaid eligibility and ID information if payment not received.&lt;br&gt;• If Medicaid does not process claim → submit claim manually to Medicaid with primary EOB.&lt;br&gt;• Reconcile payments once Medicaid adjudication is complete.&lt;br&gt;• Contact Medicaid if crossover claim cannot be located.&lt;/td&gt;&lt;/tr&gt;</t>
  </si>
  <si>
    <t>&lt;tr data-carc="CO 109" data-type="co" data-rarc="MA08 — Alert: Claim information was not forwarded because the supplemental coverage is not with a Medigap plan, or you do not participate in Medicare." data-denial="This alert indicates that the claim information was not automatically forwarded to a supplemental insurance plan because either:\n\nThe patient’s supplemental coverage is not a Medigap plan eligible for Medicare crossover, or\n\nThe provider does not participate with Medicare, so automatic forwarding cannot occur.\n\nAs a result, the provider may need to submit the claim manually to the secondary or supplemental payer if additional reimbursement is expected. This is informational and not a denial." data-root="• Supplemental payer not eligible for Medicare crossover process.\n• Provider enrollment status preventing automatic forwarding.\n• Incorrect assumption that all secondary plans receive crossover claims.\n• Missing or incorrect secondary insurance information.\n• System limitations or payer configuration issues."&gt;&lt;td&gt;&lt;div class="row-num"&gt;#139&lt;/div&gt;&lt;span class="carc-badge co"&gt;CO 109&lt;/span&gt;&lt;/td&gt;&lt;td&gt;&lt;span class="denial-reason"&gt;Covered by Another Payer&lt;/span&gt;&lt;/td&gt;&lt;td class="rarc-wrap"&gt;&lt;div class="rarc-id"&gt;MA08&lt;/div&gt;&lt;div class="rarc-desc"&gt;Alert: Claim information was not forwarded because the supplemental coverage is not with a Medigap plan, or you do not participate in Medicare.&lt;/div&gt;&lt;/td&gt;&lt;td class="td-meaning"&gt;This alert indicates that the claim information was not automatically forwarded to a supplemental insurance plan because either:&lt;br&gt;&lt;br&gt;The patient’s supplemental coverage is not a Medigap plan eligible for Medicare crossover, or&lt;br&gt;&lt;br&gt;The provider does not participate with Medicare, so automatic forwarding cannot occur.&lt;br&gt;&lt;br&gt;As a result, the provider may need to submit the claim manually to the secondary or supplemental payer if additional reimbursement is expected. This is informational and not a denial.&lt;/td&gt;&lt;td&gt;&lt;div class="chip-row"&gt;&lt;span class="chip chip-green"&gt;Patient has commercial secondary insurance instead of Medigap → Medicare does not forward claim.&lt;/span&gt;&lt;span class="chip chip-green"&gt;Provider is non-participating with Medicare → crossover not triggered.&lt;/span&gt;&lt;span class="chip chip-green"&gt;Supplemental plan not enrolled in Medicare crossover program → claim not transmitted.&lt;/span&gt;&lt;span class="chip chip-green"&gt;Medicare processes claim but provider expects automatic secondary billing → MA08 appears.&lt;/span&gt;&lt;span class="chip chip-green"&gt;Incorrect supplemental payer information on file → forwarding fails.&lt;/span&gt;&lt;/div&gt;&lt;/td&gt;&lt;td&gt;&lt;div class="chip-row"&gt;&lt;span class="chip chip-green"&gt;Supplemental payer not eligible for Medicare crossover process.&lt;/span&gt;&lt;span class="chip chip-green"&gt;Provider enrollment status preventing automatic forwarding.&lt;/span&gt;&lt;span class="chip chip-green"&gt;Incorrect assumption that all secondary plans receive crossover claims.&lt;/span&gt;&lt;span class="chip chip-green"&gt;Missing or incorrect secondary insurance information.&lt;/span&gt;&lt;span class="chip chip-green"&gt;System limitations or payer configuration issues.&lt;/span&gt;&lt;/div&gt;&lt;/td&gt;&lt;td class="td-res"&gt;• Verify patient secondary or supplemental insurance type.&lt;br&gt;• Determine whether the plan participates in Medicare crossover.&lt;br&gt;• If not forwarded automatically → submit claim manually to secondary payer with Medicare EOB.&lt;br&gt;• Confirm provider participation status with Medicare if applicable.&lt;br&gt;• Update insurance information if incorrect.&lt;br&gt;• Track claim to ensure secondary adjudication occurs.&lt;/td&gt;&lt;/tr&gt;</t>
  </si>
  <si>
    <t>&lt;tr data-carc="CO 16" data-type="co" data-rarc="MA100 — Missing/incomplete/invalid date of current illness or symptoms." data-denial="The claim was denied because the date of current illness, injury, or onset of symptoms was missing, incomplete, invalid, or inconsistent with other claim information.On the CMS-1500 claim form, this information is reported in Box 14 — Date of Current Illness, Injury, or Pregnancy (LMP). On the UB-04 claim form, similar clinical timeline information may be reported using Form Locator (FL) 31–34 — Occurrence Codes and Dates, particularly codes such as onset of symptoms or accident-related dates when applicable." data-root="• Required date field left blank during claim entry.\n• Data entry or formatting errors.\n• Staff unaware of payer requirement for onset date reporting.\n• Mismatch between documentation and claim data.\n• System mapping issues causing date to drop during transmission.\n• Incomplete intake or registration information capture."&gt;&lt;td&gt;&lt;div class="row-num"&gt;#140&lt;/div&gt;&lt;span class="carc-badge co"&gt;CO 16&lt;/span&gt;&lt;/td&gt;&lt;td&gt;&lt;span class="denial-reason"&gt;Invalid Date of Current Illness&lt;/span&gt;&lt;/td&gt;&lt;td class="rarc-wrap"&gt;&lt;div class="rarc-id"&gt;MA100&lt;/div&gt;&lt;div class="rarc-desc"&gt;Missing/incomplete/invalid date of current illness or symptoms.&lt;/div&gt;&lt;/td&gt;&lt;td class="td-meaning"&gt;The claim was denied because the date of current illness, injury, or onset of symptoms was missing, incomplete, invalid, or inconsistent with other claim information.On the CMS-1500 claim form, this information is reported in Box 14 — Date of Current Illness, Injury, or Pregnancy (LMP). On the UB-04 claim form, similar clinical timeline information may be reported using Form Locator (FL) 31–34 — Occurrence Codes and Dates, particularly codes such as onset of symptoms or accident-related dates when applicable.&lt;/td&gt;&lt;td&gt;&lt;div class="chip-row"&gt;&lt;span class="chip chip-green"&gt;Professional claim submitted without onset date in Box 14 → denied.&lt;/span&gt;&lt;span class="chip chip-green"&gt;Accident-related services billed without injury date → rejection issued.&lt;/span&gt;&lt;span class="chip chip-green"&gt;Invalid date entered (future date or incorrect format) → denial applied.&lt;/span&gt;&lt;span class="chip chip-green"&gt;Onset date inconsistent with admission or treatment dates → payer unable to process claim.&lt;/span&gt;&lt;span class="chip chip-green"&gt;Pregnancy-related services billed without LMP date when required → claim denied.&lt;/span&gt;&lt;/div&gt;&lt;/td&gt;&lt;td&gt;&lt;div class="chip-row"&gt;&lt;span class="chip chip-green"&gt;Required date field left blank during claim entry.&lt;/span&gt;&lt;span class="chip chip-green"&gt;Data entry or formatting errors.&lt;/span&gt;&lt;span class="chip chip-green"&gt;Staff unaware of payer requirement for onset date reporting.&lt;/span&gt;&lt;span class="chip chip-green"&gt;Mismatch between documentation and claim data.&lt;/span&gt;&lt;span class="chip chip-green"&gt;System mapping issues causing date to drop during transmission.&lt;/span&gt;&lt;span class="chip chip-green"&gt;Incomplete intake or registration information capture.&lt;/span&gt;&lt;/div&gt;&lt;/td&gt;&lt;td class="td-res"&gt;• Review medical records to determine correct onset or symptom date.&lt;br&gt;• Verify consistency with treatment dates and diagnosis information.&lt;br&gt;• Correct claim with accurate date in appropriate claim field.&lt;br&gt;• Ensure proper date format according to payer requirements.&lt;br&gt;• Resubmit corrected claim to payer.&lt;br&gt;• Appeal if denial applied incorrectly with supporting documentation.&lt;/td&gt;&lt;/tr&gt;</t>
  </si>
  <si>
    <t>• Review payer requirements to determine the correct occurrence code(s) and associated date(s).
• Verify patient records to obtain accurate event dates (accident, onset, eligibility, hospice election, etc.).
• Correct the claim by adding or updating occurrence code(s) and dates.
• Ensure consistency with condition codes, value codes, and diagnosis information.
• Resubmit corrected claim to payer.
• If denial was incorrect → appeal with documentation supporting occurrence details.
• | Code | Description 
| 01 | Accident/medical coverage date 
| 02 | No-fault insurance involved — including auto accident 
| 03 | Accident/tort liability date 
| 04 | Accident/employment related 
| 05 | Other accident date 
| 06 | Crime victim date 
| 07 | Reserved 
| 08 | Reserved 
| 09 | Start of infertility treatment 
| 10 | Last menstrual period 
| 11 | Onset of symptoms/illness 
| 12 | Date of initial treatment 
| 13 | Date of acute onset 
| 14 | Date of last menstrual period 
| 15 | Date patient became aware of illness 
| 16 | Date last worked 
| 17 | Date returned to work 
| 18 | Date disability began 
| 19 | Date disability ended 
| 20 | Date of injury 
| 21 | Date of death 
| 22 | Date active care ended 
| 23 | Date treatment plan established 
| 24 | Date insurance denied 
| 25 | Date benefits terminated 
| 26 | Date skilled nursing facility stay began 
| 27 | Date of hospice certification 
| 28 | Date hospice revocation 
| 29 | Date outpatient therapy began 
| 30 | Date outpatient therapy ended 
| 31 | Date beneficiary notified 
| 32 | Date of first claim 
| 33 | First day of Medicare coordination period 
| 34 | Last day of Medicare coordination period 
| 35 | Date treatment plan certified 
| 36 | Date treatment plan recertified 
| 37 | Date of discharge 
| 38 | Date of placement 
| 39 | Date of transplant 
| 40 | Date of transplant discharge 
| 41 | Date transplant waiting list 
| 42 | Date of admission 
| 43 | Date of discharge 
| 44 | Date treatment started 
| 45 | Date treatment ended 
| 46 | Date patient first became eligible 
| 47 | Date eligibility ended 
| 48 | Date of last therapy 
| 49 | Date of service 
| 50 | Assessment date 
| 51 | Eligibility notice date 
| 52 | Certification date 
| 53 | Recertification date 
| 54 | Date of physician order 
| 55 | Date of last X-ray 
| 56 | Date of last lab test 
| 57 | Date home health care started 
| 58 | Date home health care ended 
| 59 | Date patient admitted to hospice 
| 60 | Date patient discharged from hospice 
| 61 | Date of DME start 
| 62 | Date of DME end 
| 63 | Date of surgery 
| 64 | Date of anesthesia 
| 65 | Date of evaluation 
| 66 | Date of reassessment 
| 67 | Date of follow-up 
| 68 | Date of consultation 
| 69 | Date of procedure 
| 70 | Date of completion 
| 71 | Date of test 
| 72 | Date results received 
| 73 | Date specimen collected 
| 74 | Date specimen received 
| 75 | Date therapy discontinued</t>
  </si>
  <si>
    <t>&lt;tr data-carc="CO 16" data-type="co" data-rarc="M45 — Missing/incomplete/invalid occurrence code(s)." data-denial="The claim was denied because one or more required occurrence codes were missing, incomplete, invalid, or inconsistent with the claim information. Occurrence codes are primarily used on institutional (UB-04) claims to report significant dates or events related to the patient’s condition, accident, eligibility, or coverage circumstances (such as accident dates, onset of symptoms, hospice election, or MSP-related events). Without accurate occurrence codes and dates, the payer cannot properly adjudicate the claim." data-root="• Required occurrence code not captured during registration or billing workflow.\n• Incorrect understanding of payer requirements for occurrence reporting.\n• Data entry errors (wrong code, wrong date, or missing date).\n• Mismatch between condition codes, occurrence codes, and claim details.\n• System configuration issues causing occurrence codes to drop during claim creation.\n• Staff unfamiliarity with UB-04 occurrence code usage rules."&gt;&lt;td&gt;&lt;div class="row-num"&gt;#105&lt;/div&gt;&lt;span class="carc-badge co"&gt;CO 16&lt;/span&gt;&lt;/td&gt;&lt;td&gt;&lt;span class="denial-reason"&gt;Invalid Occurrence Code&lt;/span&gt;&lt;/td&gt;&lt;td class="rarc-wrap"&gt;&lt;div class="rarc-id"&gt;M45&lt;/div&gt;&lt;div class="rarc-desc"&gt;Missing/incomplete/invalid occurrence code(s).&lt;/div&gt;&lt;/td&gt;&lt;td class="td-meaning"&gt;The claim was denied because one or more required occurrence codes were missing, incomplete, invalid, or inconsistent with the claim information. Occurrence codes are primarily used on institutional (UB-04) claims to report significant dates or events related to the patient’s condition, accident, eligibility, or coverage circumstances (such as accident dates, onset of symptoms, hospice election, or MSP-related events). Without accurate occurrence codes and dates, the payer cannot properly adjudicate the claim.&lt;/td&gt;&lt;td&gt;&lt;div class="chip-row"&gt;&lt;span class="chip chip-green"&gt;Accident-related claim submitted without occurrence code reporting accident date → denied.&lt;/span&gt;&lt;span class="chip chip-green"&gt;Medicare Secondary Payer (MSP) claim missing occurrence code indicating employment or liability event → denial issued.&lt;/span&gt;&lt;span class="chip chip-green"&gt;Hospice or ESRD-related billing submitted without required occurrence date → denied.&lt;/span&gt;&lt;span class="chip chip-green"&gt;Outpatient claim requiring onset of symptoms date but occurrence code omitted → denial applied.&lt;/span&gt;&lt;span class="chip chip-green"&gt;Occurrence code entered but date missing or invalid format → claim rejected or denied.&lt;/span&gt;&lt;/div&gt;&lt;/td&gt;&lt;td&gt;&lt;div class="chip-row"&gt;&lt;span class="chip chip-green"&gt;Required occurrence code not captured during registration or billing workflow.&lt;/span&gt;&lt;span class="chip chip-green"&gt;Incorrect understanding of payer requirements for occurrence reporting.&lt;/span&gt;&lt;span class="chip chip-green"&gt;Data entry errors (wrong code, wrong date, or missing date).&lt;/span&gt;&lt;span class="chip chip-green"&gt;Mismatch between condition codes, occurrence codes, and claim details.&lt;/span&gt;&lt;span class="chip chip-green"&gt;System configuration issues causing occurrence codes to drop during claim creation.&lt;/span&gt;&lt;span class="chip chip-green"&gt;Staff unfamiliarity with UB-04 occurrence code usage rules.&lt;/span&gt;&lt;/div&gt;&lt;/td&gt;&lt;td class="td-res"&gt;• Review payer requirements to determine the correct occurrence code(s) and associated date(s).&lt;br&gt;• Verify patient records to obtain accurate event dates (accident, onset, eligibility, hospice election, etc.).&lt;br&gt;• Correct the claim by adding or updating occurrence code(s) and dates.&lt;br&gt;• Ensure consistency with condition codes, value codes, and diagnosis information.&lt;br&gt;• Resubmit corrected claim to payer.&lt;br&gt;• If denial was incorrect → appeal with documentation supporting occurrence details.&lt;br&gt;• | Code | Description &lt;br&gt;| 01 | Accident/medical coverage date &lt;br&gt;| 02 | No-fault insurance involved — including auto accident &lt;br&gt;| 03 | Accident/tort liability date &lt;br&gt;| 04 | Accident/employment related &lt;br&gt;| 05 | Other accident date &lt;br&gt;| 06 | Crime victim date &lt;br&gt;| 07 | Reserved &lt;br&gt;| 08 | Reserved &lt;br&gt;| 09 | Start of infertility treatment &lt;br&gt;| 10 | Last menstrual period &lt;br&gt;| 11 | Onset of symptoms/illness &lt;br&gt;| 12 | Date of initial treatment &lt;br&gt;| 13 | Date of acute onset &lt;br&gt;| 14 | Date of last menstrual period &lt;br&gt;| 15 | Date patient became aware of illness &lt;br&gt;| 16 | Date last worked &lt;br&gt;| 17 | Date returned to work &lt;br&gt;| 18 | Date disability began &lt;br&gt;| 19 | Date disability ended &lt;br&gt;| 20 | Date of injury &lt;br&gt;| 21 | Date of death &lt;br&gt;| 22 | Date active care ended &lt;br&gt;| 23 | Date treatment plan established &lt;br&gt;| 24 | Date insurance denied &lt;br&gt;| 25 | Date benefits terminated &lt;br&gt;| 26 | Date skilled nursing facility stay began &lt;br&gt;| 27 | Date of hospice certification &lt;br&gt;| 28 | Date hospice revocation &lt;br&gt;| 29 | Date outpatient therapy began &lt;br&gt;| 30 | Date outpatient therapy ended &lt;br&gt;| 31 | Date beneficiary notified &lt;br&gt;| 32 | Date of first claim &lt;br&gt;| 33 | First day of Medicare coordination period &lt;br&gt;| 34 | Last day of Medicare coordination period &lt;br&gt;| 35 | Date treatment plan certified &lt;br&gt;| 36 | Date treatment plan recertified &lt;br&gt;| 37 | Date of discharge &lt;br&gt;| 38 | Date of placement &lt;br&gt;| 39 | Date of transplant &lt;br&gt;| 40 | Date of transplant discharge &lt;br&gt;| 41 | Date transplant waiting list &lt;br&gt;| 42 | Date of admission &lt;br&gt;| 43 | Date of discharge &lt;br&gt;| 44 | Date treatment started &lt;br&gt;| 45 | Date treatment ended &lt;br&gt;| 46 | Date patient first became eligible &lt;br&gt;| 47 | Date eligibility ended &lt;br&gt;| 48 | Date of last therapy &lt;br&gt;| 49 | Date of service &lt;br&gt;| 50 | Assessment date &lt;br&gt;| 51 | Eligibility notice date &lt;br&gt;| 52 | Certification date &lt;br&gt;| 53 | Recertification date &lt;br&gt;| 54 | Date of physician order &lt;br&gt;| 55 | Date of last X-ray &lt;br&gt;| 56 | Date of last lab test &lt;br&gt;| 57 | Date home health care started &lt;br&gt;| 58 | Date home health care ended &lt;br&gt;| 59 | Date patient admitted to hospice &lt;br&gt;| 60 | Date patient discharged from hospice &lt;br&gt;| 61 | Date of DME start &lt;br&gt;| 62 | Date of DME end &lt;br&gt;| 63 | Date of surgery &lt;br&gt;| 64 | Date of anesthesia &lt;br&gt;| 65 | Date of evaluation &lt;br&gt;| 66 | Date of reassessment &lt;br&gt;| 67 | Date of follow-up &lt;br&gt;| 68 | Date of consultation &lt;br&gt;| 69 | Date of procedure &lt;br&gt;| 70 | Date of completion &lt;br&gt;| 71 | Date of test &lt;br&gt;| 72 | Date results received &lt;br&gt;| 73 | Date specimen collected &lt;br&gt;| 74 | Date specimen received &lt;br&gt;| 75 | Date therapy discontinued&lt;/td&gt;&lt;/tr&gt;</t>
  </si>
  <si>
    <t>Invalid Billing</t>
  </si>
  <si>
    <t>The claim was denied because the paper CMS-1500 claim form Field 19 (Additional Claim Information) contained more than three separate data items, exceeding payer processing limitations. Field 19 is used to report supplemental information such as narrative descriptions, authorization notes, or special billing indicators when required. On the CMS-1500 claim form, this information is reported in Box 19 — Additional Claim Information. The UB-04 claim form does not have a direct equivalent to Box 19; supplemental information is typically conveyed through appropriate form locators (such as FL 80 — Remarks).</t>
  </si>
  <si>
    <t>• Paper claim submitted with multiple notes, authorization numbers, and narratives all in Box 19 → denied.
• Provider includes excessive billing instructions in Field 19 → rejection issued.
• Multiple identifiers entered in one field without formatting → denial applied.
• Manual paper claim used instead of electronic submission causing field overflow → payer rejects claim.
• Clearinghouse conversion to paper format resulted in excessive information in Box 19 → denied.</t>
  </si>
  <si>
    <t>• Too many data elements entered in Box 19 on paper claim.
• Staff unaware of payer limitation on number of items allowed.
• Use of paper claim instead of electronic claim submission.
• Improper formatting of information within field.
• System or workflow requiring multiple notes without proper separation.</t>
  </si>
  <si>
    <t>• Review information entered in Box 19 and determine required elements only.
• Limit entries to allowable number of data items per payer rules.
• Move additional information to attachments or supporting documentation if needed.
• Resubmit claim with corrected Field 19 content.
• Consider electronic claim submission to avoid field limitations.
• Appeal if denial applied incorrectly and field usage was compliant.</t>
  </si>
  <si>
    <t>The claim was denied because the paper CMS-1500 claim form Field 23 (Prior Authorization Number) contained more than one data item, which exceeds payer processing requirements. Field 23 is intended to report a single authorization, referral, or pre-certification number associated with the services billed. On the CMS-1500 claim form, this information is reported in Box 23 — Prior Authorization Number. The UB-04 claim form equivalent information is typically reported in Form Locator (FL) 63 — Treatment Authorization Code, where only the appropriate authorization reference should be included.</t>
  </si>
  <si>
    <t>• Paper claim submitted with multiple authorization numbers in Box 23 → denied.
• Authorization number combined with notes or identifiers in same field → rejection issued.
• Multiple referrals entered in Box 23 for different services → denial applied.
• Clearinghouse conversion created multiple entries in authorization field → payer rejects claim.
• Provider entered both referral and authorization numbers together → claim denied.</t>
  </si>
  <si>
    <t>• Multiple data elements entered in Box 23 instead of a single authorization number.
• Staff unaware of field limitations for paper claims.
• Use of paper submission rather than electronic claims.
• Improper formatting or workflow instructions.
• System conversion issues during claim printing.</t>
  </si>
  <si>
    <t>• Verify correct authorization number applicable to the services billed.
• Enter only one authorization number in Box 23.
Move additional information to attachments if required.
• Resubmit corrected claim.
• Use electronic submission if multiple authorizations are necessary.
• Appeal if denial applied incorrectly and field usage was compliant.</t>
  </si>
  <si>
    <t>The claim was denied because information indicating whether the diagnostic test(s) were performed by an outside entity (purchased test) or confirming that no purchased tests were included was missing, incomplete, or invalid. On the CMS-1500 claim form, purchased diagnostic test information is typically reported using Box 20 — Outside Lab? and Box 32 — Service Facility Location Information, along with procedure reporting in Box 24D. On the UB-04 claim form, performing entity information may be reflected through Form Locator (FL) 42 — Revenue Code, FL 44 — HCPCS/Rate/HIPPS Code, and provider identification fields such as FL 76–79 — Provider Identifiers when applicable.</t>
  </si>
  <si>
    <t>• Diagnostic test performed by external laboratory but outside lab indicator not marked → denied.
• Purchased test billed without identifying performing entity → rejection issued.
• Provider billed global service when only professional component performed → denial applied.
• Outside lab charges reported without required information → payer rejects claim.
• Incorrect outside lab indicator selected → claim cannot be processed.</t>
  </si>
  <si>
    <t>• Outside lab or purchased test indicator not completed.
• Staff unaware of purchased diagnostic test billing requirements.
• Incorrect component billing (global vs professional vs technical).
• System mapping errors dropping outside entity information.
• Incomplete documentation regarding performing entity.
• Charge capture workflow gaps.</t>
  </si>
  <si>
    <t>• Verify whether diagnostic tests were performed by an outside entity.
• Confirm purchased test billing rules and appropriate component billing.
• Correct claim by indicating outside lab status and performing entity information.
• Ensure proper modifiers (-26 or -TC) if applicable.
• Resubmit corrected claim.
• Appeal if denial applied incorrectly with supporting documentation.</t>
  </si>
  <si>
    <t>The claim was denied because the required information for purchased diagnostic tests was missing, incomplete, or invalid. Specifically, the payer did not receive the purchase price of the test(s) and/or the name and address of the performing laboratory. On the CMS-1500 claim form, the performing laboratory information is reported in Box 32 — Service Facility Location Information, and the purchase price may be reported in Box 20 — Outside Lab? ($ Charges) when applicable, along with procedures in Box 24D. On the UB-04 claim form, performing entity information may be reflected through Form Locator (FL) 42 — Revenue Code, FL 44 — HCPCS/Rate/HIPPS Code, and provider identification fields such as FL 76–79 — Provider Identifiers, with purchase price typically conveyed through line charges or supporting documentation when required.</t>
  </si>
  <si>
    <t>• Purchased lab test billed without performing lab name and address → denied.
• Outside laboratory services submitted without purchase price → rejection issued.
• Incorrect or incomplete facility information entered in Box 32 → denial applied.
• Global service billed when only purchased technical component performed → payer rejects claim.
• System transmission dropped performing lab details → claim denied.</t>
  </si>
  <si>
    <t>• Performing laboratory information not entered during billing.
• Purchase price field not populated or entered incorrectly.
• Staff unfamiliar with purchased diagnostic test billing rules.
• System mapping or interface errors causing missing data.
• Incorrect component billing logic.
• Incomplete documentation from external laboratory.</t>
  </si>
  <si>
    <t>• Verify performing laboratory name, address, and purchase price information.
• Update claim with accurate facility and purchase price details.
• Ensure proper component billing modifiers if applicable (-26 or -TC).
• Resubmit corrected claim.
• Attach supporting documentation if payer requires.
• Appeal if denial applied incorrectly with documentation.</t>
  </si>
  <si>
    <t>Invalid Group Practice Information</t>
  </si>
  <si>
    <t>Invalid X-Ray Date</t>
  </si>
  <si>
    <t>Invalid Initial Treatment Date</t>
  </si>
  <si>
    <t>The claim was denied because the required group practice information (such as billing group name, billing provider NPI, or associated entity details) was missing, incomplete, or invalid. On the CMS-1500 claim form, billing group details are reported in Box 33 — Billing Provider Info &amp; Phone Number, including Box 33a — Billing Provider NPI and Box 33b — Other ID when applicable, with rendering provider details in Box 24J if needed. On the UB-04 claim form, billing entity information is reported in Form Locator (FL) 1 — Provider Name, Address, Telephone, FL 56 — National Provider Identifier (NPI), and provider identifiers in FL 76–79 — Attending/Operating/Other Provider as applicable.</t>
  </si>
  <si>
    <t>• Claim submitted without billing group NPI → denied.
• Incorrect group name or address entered → rejection issued.
• Rendering provider billed under wrong group entity → denial applied.
• Group enrollment inactive or not linked with payer → claim rejected.
• System transmission error removed billing provider information → denied.</t>
  </si>
  <si>
    <t>• Billing provider or group NPI missing during claim creation.
• Outdated or incorrect group information in billing system.
• Provider enrollment not properly linked to billing entity.
• Staff unfamiliar with group billing requirements.
• Credentialing and billing systems misaligned.
• EDI mapping or clearinghouse errors.</t>
  </si>
  <si>
    <t>• Verify correct group practice name, billing entity, and NPI.
• Confirm enrollment and participation status with payer.
• Correct claim with accurate billing provider information.
• Resubmit corrected claim.
• Coordinate with credentialing team if enrollment updates are required.
• Appeal if denial applied incorrectly with supporting documentation.</t>
  </si>
  <si>
    <t>Missing Taxpayer Identification Number (TIN)</t>
  </si>
  <si>
    <t>The claim was rejected because the Taxpayer Identification Number (TIN) submitted was incomplete, invalid, or does not match Internal Revenue Service (IRS) records. On the CMS-1500 claim form, the TIN is reported in Box 25 — Federal Tax ID Number. On the UB-04 claim form, the TIN is reported in Form Locator (FL) 5 — Federal Tax Number.</t>
  </si>
  <si>
    <t>• Incorrect EIN or SSN entered during claim submission → rejected.
• TIN on file with payer differs from claim submission → claim unprocessable.
• Provider changed tax entity but payer records not updated → rejection issued.
• Missing TIN field during claim creation → denial applied.
• Credentialing update not completed before billing → claim rejected.</t>
  </si>
  <si>
    <t>• Incorrect or outdated TIN in billing system.
• Mismatch between payer enrollment records and claim data.
• Recent provider tax entity change not communicated to payer.
• Data entry errors during claim creation.
• Credentialing and billing systems not synchronized.
• Clearinghouse mapping errors.</t>
  </si>
  <si>
    <t>• Verify correct TIN with provider or finance department.
• Update TIN information with payer enrollment department.
• Correct billing system records to match IRS and payer records.
• Resubmit claim after TIN correction is confirmed.
• Do not bill patient until claim is processed correctly.
• Coordinate with credentialing team if enrollment updates are required.</t>
  </si>
  <si>
    <t>Invalid Information on Where the Services Were Furnished</t>
  </si>
  <si>
    <t>The claim was denied because the required information identifying where the services were furnished (service facility name, address, or location details) was missing, incomplete, invalid, or inconsistent. On the CMS-1500 claim form, the service location is reported in Box 24B — Place of Service (POS) and, when different from the billing provider, in Box 32 — Service Facility Location Information. On the UB-04 claim form, the facility location is reflected in Form Locator (FL) 1 — Provider Name, Address, Telephone, along with service setting indicators derived from FL 4 — Type of Bill and FL 42 — Revenue Code.</t>
  </si>
  <si>
    <t>• Service facility address missing in Box 32 → denied.
• Incorrect POS code inconsistent with service location → rejection issued.
• Rendering provider enrolled at different location than billed → denial applied.
• Outpatient service billed under wrong facility address → payer rejects claim.
• System transmission dropped service location data → claim denied.</t>
  </si>
  <si>
    <t>• Service facility information not entered during claim creation.
• Incorrect or outdated facility address in billing system.
• Mismatch between POS and service facility data.
• Provider enrollment not aligned with service location.
• EDI mapping or clearinghouse errors.
• Staff unfamiliar with multi-location billing requirements.</t>
  </si>
  <si>
    <t>• Verify correct service location where care was rendered.
• Confirm provider enrollment for that specific location.
• Correct claim with accurate POS and service facility information.
• Resubmit corrected claim to payer.
• Coordinate with credentialing if location enrollment updates are needed.
• Appeal if denial applied incorrectly with supporting documentation.</t>
  </si>
  <si>
    <t>Invalid Physical Location for HPSA Services</t>
  </si>
  <si>
    <t>The claim was denied because the required physical location information (name and address or Provider Identification Number/PIN) where the services were rendered in a Health Professional Shortage Area (HPSA) was missing, incomplete, or invalid. On the CMS-1500 claim form, the service location is reported in Box 24B — Place of Service (POS) and, when different from the billing provider, in Box 32 — Service Facility Location Information, including name and address. On the UB-04 claim form, the service location is reflected in Form Locator (FL) 1 — Provider Name, Address, Telephone, along with applicable provider identifiers in FL 76–79, and service setting indicators derived from FL 4 — Type of Bill and FL 42 — Revenue Code.</t>
  </si>
  <si>
    <t>• Provider bills HPSA-eligible service but does not include physical service address → denied.
• Service location listed incorrectly, preventing HPSA validation → rejection issued.
• Provider using group billing address instead of actual service location → denial applied.
• PIN or facility identifier missing for rural clinic location → payer rejects claim.
• Incorrect POS inconsistent with HPSA-designated location → claim denied.</t>
  </si>
  <si>
    <t>• Service facility information not entered or entered incorrectly.
• Mismatch between billing address and physical rendering location.
• Provider unaware of HPSA reporting requirements.
• Enrollment records not updated for rural or shortage-area sites.
• System not configured to capture location-specific identifiers.
• Staff confusion between billing entity and service location.</t>
  </si>
  <si>
    <t>• Verify actual physical location where services were rendered.
• Confirm location qualifies as HPSA-designated area.
• Update claim with correct service facility name, address, or PIN.
• Ensure POS and provider identifiers align with HPSA location.
• Resubmit corrected claim.
• Appeal if denial applied incorrectly and documentation supports HPSA eligibility.</t>
  </si>
  <si>
    <t>Missing “Homebound”</t>
  </si>
  <si>
    <t>The claim was denied because the required “Homebound” statement was not completed to indicate whether the laboratory services were performed in the patient’s home or in an institutional setting. On the CMS-1500 claim form, service location and related information are reported in Box 24B — Place of Service (POS) and Box 32 — Service Facility Location Information, with additional claim notes sometimes reported in Box 19 — Additional Claim Information when required by payer instructions. On the UB-04 claim form, service location context is reflected through Form Locator (FL) 4 — Type of Bill, FL 42 — Revenue Code, and FL 80 — Remarks when narrative clarification is required.</t>
  </si>
  <si>
    <t>• Home lab specimen collection billed without indicating homebound status → denied.
• Laboratory services performed in patient home but POS unclear → rejection issued.
• Provider omitted required homebound certification statement → denial applied.
• Institutional lab service billed but claim suggests home setting → payer rejects claim.
• Documentation supports homebound status but claim field not completed → denied.</t>
  </si>
  <si>
    <t>• Homebound statement not completed during claim submission.
• Staff unaware of payer requirement for homebound validation.
• Mismatch between POS and service documentation.
• System does not capture homebound indicators automatically.
• Incomplete clinical documentation regarding patient status.
• Workflow gap between clinical and billing teams.</t>
  </si>
  <si>
    <t>• Verify whether laboratory services were performed at home or institutional setting.
• Confirm patient homebound status documentation if applicable.
• Update claim with required homebound statement or appropriate POS/location information.
• Resubmit corrected claim.
• Attach supporting documentation if payer requires.
• Appeal if denial applied incorrectly with documentation support.</t>
  </si>
  <si>
    <t>This alert indicates that no Medicare payment was issued because the services or supplies were furnished to a Medicare-eligible veteran through a Department of Veterans Affairs (VA) facility. Patient insurance and payer coordination information is typically reflected on the CMS-1500 Box 9–9d (Other Insured Information) and Box 11 (Insured Information), and on the UB-04 Form Locator (FL) 50–60 (Payer and Insured Information), which identify VA or other federal coverage involvement.</t>
  </si>
  <si>
    <t>• Veteran receives services at VA-authorized facility but claim submitted to Medicare → no payment issued.
• Provider bills Medicare instead of VA Community Care program → denial occurs.
• Services authorized by VA but Medicare billed as primary → claim denied.
• Dual eligibility confusion between Medicare and VA coverage → payment not issued.
• Provider unaware services were covered under VA authorization → claim processed with MA118.</t>
  </si>
  <si>
    <t>• Incorrect primary payer selection (Medicare billed instead of VA).
• Lack of verification of VA authorization prior to billing.
• Coordination of benefits confusion between Medicare and VA programs.
• Registration or eligibility verification gaps.
• Staff unfamiliar with VA Community Care billing rules.
• Missing VA authorization documentation.</t>
  </si>
  <si>
    <t>• Verify whether services were authorized or covered under VA benefits.
• Confirm correct primary payer (VA vs Medicare).
• If VA responsible → submit claim to VA program or VA Community Care contractor.
• Adjust Medicare claim if incorrectly billed.
• Bill patient only for applicable coinsurance/deductible if allowed by policy.
• Appeal if Medicare should be primary and documentation supports eligibility.</t>
  </si>
  <si>
    <t>The claim was denied because the billing provider has not established legal authorization to bill for the services performed by the individual(s) who actually furnished the care. On the CMS-1500 claim form, rendering and billing relationships are reported through Box 24J — Rendering Provider NPI, Box 33 — Billing Provider Information, and Box 17 — Referring/Ordering Provider when applicable. On the UB-04 claim form, provider roles are reflected through Form Locator (FL) 76–79 — Attending/Operating/Other Provider Identifiers, along with FL 1 — Billing Provider Information and FL 56 — NPI.</t>
  </si>
  <si>
    <t>• Services performed by non-employed provider but billed under group without reassignment → denied.
• Locum tenens services billed without proper modifier or documentation → rejection issued.
• Incident-to services billed but supervision requirements not met → denial applied.
• Rendering provider not enrolled under billing entity → payer rejects claim.
• Contract provider relationship not documented → claim denied.</t>
  </si>
  <si>
    <t>• Missing reassignment of benefits documentation.
• Rendering provider not properly enrolled or linked to billing entity.
• Incorrect use of incident-to or locum tenens billing rules.
• Credentialing and billing systems not aligned.
• Staff unfamiliar with provider relationship requirements.
• Incomplete contractual or employment documentation.</t>
  </si>
  <si>
    <t>• Verify employment or contractual relationship between billing and rendering providers.
• Confirm reassignment of benefits documentation is on file with payer.
• Ensure correct modifiers (e.g., locum tenens modifier) if applicable.
• Update provider enrollment records with payer if needed.
• Resubmit claim with corrected provider information.
• Appeal with supporting documentation proving billing rights if appropriate.</t>
  </si>
  <si>
    <t>The claim was denied because the required CLIA (Clinical Laboratory Improvement Amendments) certification number was missing, incomplete, invalid, or not recognized by the payer. On the CMS-1500 claim form, the CLIA number is reported in Box 23 — Prior Authorization Number, specifically in the designated CLIA field when applicable, along with service facility information in Box 32 if the performing lab differs from the billing provider. On the UB-04 claim form, the CLIA number is typically reported in Form Locator (FL) 63 — Treatment Authorization Code or in remarks/associated provider certification records depending on payer instructions, with laboratory services reflected through FL 42 — Revenue Code and FL 44 — HCPCS/Rate/HIPPS Code.</t>
  </si>
  <si>
    <t>• Laboratory service billed without CLIA number → denied.
• Incorrect or expired CLIA certification number entered → rejection issued.
• Billing provider CLIA used instead of performing lab CLIA → denial applied.
• System transmission error dropped CLIA number → payer rejects claim.
• CLIA-waived test billed without appropriate certification number → claim denied.</t>
  </si>
  <si>
    <t>• CLIA field not populated during claim creation.
• Expired or invalid CLIA certification.
• Mismatch between performing lab and billing provider CLIA.
• Staff unaware of CLIA reporting requirements.
• System mapping or clearinghouse errors.
• Enrollment records not updated.</t>
  </si>
  <si>
    <t>• Verify correct CLIA certification number for performing laboratory.
• Confirm certification is active for the date of service.
• Correct claim with accurate CLIA number in appropriate field.
• Ensure performing provider information aligns with CLIA records.
• Resubmit corrected claim.
• Appeal if denial applied incorrectly with supporting documentation.</t>
  </si>
  <si>
    <t>The claim was denied because the x-ray date required for the service was missing, incomplete, invalid, or inconsistent with other claim information. On the CMS-1500 claim form, the x-ray date is typically reported in Box 19 — Additional Claim Information or Box 14 — Date of Current Illness/Injury, depending on payer instructions and service type. On the UB-04 claim form, related clinical dates may be reported through Form Locator (FL) 31–34 — Occurrence Codes and Dates or FL 80 — Remarks when narrative clarification is required.</t>
  </si>
  <si>
    <t>• X-ray date field left blank during claim entry.
• Staff unaware of payer requirement for imaging date.
• Mismatch between documentation and claim data.
• Incorrect formatting or typographical error.
• System mapping or clearinghouse issues.
vIncomplete clinical documentation capture.</t>
  </si>
  <si>
    <t>• Chiropractic manipulation billed without x-ray date → denied.
• DME service requiring supporting imaging date submitted without it → rejection issued.
• Invalid or future x-ray date entered → denial applied.
• X-ray date inconsistent with treatment timeline → payer rejects claim.
• System transmission error dropped x-ray date field → claim denied.</t>
  </si>
  <si>
    <t>• Review medical documentation to confirm correct x-ray date.
• Verify date validity and consistency with treatment dates.
• Correct claim with accurate x-ray date in appropriate field.
• Resubmit corrected claim.
• Attach supporting documentation if payer requires.
• Appeal if denial applied incorrectly with documentation support.</t>
  </si>
  <si>
    <t>The claim was denied because the initial treatment date was missing, incomplete, invalid, or inconsistent with other claim information. The initial treatment date is required for certain services (such as therapy, chiropractic care). On the CMS-1500 claim form, the initial treatment date is typically reported in Box 14 — Date of Current Illness/Injury/Pregnancy (LMP) or Box 15 — Other Date, depending on payer requirements. On the UB-04 claim form, related clinical timeline dates may be reported through Form Locator (FL) 31–34 — Occurrence Codes and Dates when applicable.</t>
  </si>
  <si>
    <t>• Review documentation to determine correct initial treatment date.
• Verify consistency with diagnosis and service dates.
• Correct claim with accurate date in appropriate field.
• Resubmit corrected claim.
• Attach supporting documentation if required by payer.
• Appeal if denial applied incorrectly with documentation support.</t>
  </si>
  <si>
    <t>• Initial treatment date field left blank during claim creation.
• Staff unaware of payer requirement for start-of-care reporting.
• Mismatch between documentation and claim data.
• Data entry or formatting errors.
• System mapping or clearinghouse issues.
• Incomplete clinical documentation capture.</t>
  </si>
  <si>
    <t>• Therapy services billed without start-of-care date → denied.
• Chiropractic treatment submitted without initial treatment date → rejection issued.
• Invalid or future initial treatment date entered → denial applied.
• Initial treatment date inconsistent with service dates → payer rejects claim.
• System transmission dropped initial treatment date → claim denied.</t>
  </si>
  <si>
    <t>Services Not Payable</t>
  </si>
  <si>
    <t>The claim was denied because the provider or facility was not selected or approved to participate in a specific study, demonstration project, or program under which the services were billed. CMS-1500 Box 33 — Billing Provider Information and Box 24J — Rendering Provider, and on the UB-04 Form Locator (FL) 1 — Billing Provider, FL 56 — NPI, and FL 76–79 — Attending/Other Provider Identifiers.</t>
  </si>
  <si>
    <t>• Provider bills service under a CMS demonstration project without being enrolled → denied.
• Clinical trial service billed by non-participating facility → rejection issued.
• Payment model requiring approved participation billed by unauthorized provider → denial applied.
• Research-related procedure submitted outside authorized study site → payer rejects claim.
• Provider assumes eligibility without confirming program enrollment → claim denied.</t>
  </si>
  <si>
    <t>• Provider not enrolled or approved for the study/program.
• Misunderstanding of participation eligibility requirements.
• Billing staff unaware of program restrictions.
• Incorrect billing of research or demonstration-related services.
• Credentialing/enrollment records not updated.
• Lack of coordination between research administration and billing teams.</t>
  </si>
  <si>
    <t>• Verify whether the provider or facility is approved for the program/study.
• Confirm payer participation requirements and enrollment status.
• If eligible but not reflected → update enrollment records with payer.
• If not eligible → correct billing to standard coverage pathway if applicable.
• Resubmit corrected claim or appeal with participation documentation if appropriate.
• Coordinate with compliance or research administration team if needed.</t>
  </si>
  <si>
    <t>The claim was denied because pancreas transplant services are not covered unless performed in conjunction with, or following, a qualifying kidney transplant according to payer coverage policy (commonly Medicare guidelines). CMS-1500 Box 21 — Diagnosis Codes and Box 24D — Procedure Codes, and on the UB-04 Form Locator (FL) 67–67Q — Diagnosis Codes and FL 44 — HCPCS/Rate/HIPPS Code, which are used to determine transplant coverage eligibility.</t>
  </si>
  <si>
    <t>• Pancreas transplant billed without kidney transplant procedure → denied.
• Standalone pancreas transplant submitted without qualifying medical criteria → rejection issued.
• Kidney transplant performed previously but not documented on claim → denial applied.
• Incorrect sequencing or coding of transplant procedures → payer rejects claim.
• Provider unaware of coverage limitation requirements → claim denied.</t>
  </si>
  <si>
    <t>• Coverage criteria for pancreas transplant not met.
• Kidney transplant not performed or not documented.
• Incorrect procedure coding or sequencing.
• Missing medical necessity documentation.
• Staff unfamiliar with transplant coverage policies.
• Incomplete coordination between clinical and billing teams.</t>
  </si>
  <si>
    <t>• Verify whether kidney transplant was performed or qualifies under policy.
• Review medical records for transplant eligibility documentation.
• Correct coding or sequencing if kidney transplant information was omitted.
• Resubmit claim with supporting documentation if coverage criteria are met.
• If criteria not met → adjust claim and follow non-covered service billing rules.
• Appeal if denial applied incorrectly with clinical documentation.</t>
  </si>
  <si>
    <t>Invalid FDA Approval Number</t>
  </si>
  <si>
    <t>The claim was denied because the required FDA approval number (such as Premarket Approval (PMA), Investigational Device Exemption (IDE), or other FDA authorization reference) was missing, incomplete, invalid, or not recognized. On the CMS-1500 claim form, FDA approval or IDE information is typically reported in Box 19 — Additional Claim Information, On the UB-04 claim form, investigational device or FDA-related identifiers are commonly reported in Form Locator (FL) 19 — Statement Covers Period, FL 80 — Remarks, and when applicable FL 39–41 — Value Codes, depending on payer instructions and clinical trial billing requirements.</t>
  </si>
  <si>
    <t>• Investigational device billed without IDE number → denied.
• Clinical trial service submitted without FDA approval reference → rejection issued.
• Expired or incorrect FDA approval number entered → denial applied.
• Device-related procedure billed without regulatory documentation → payer rejects claim.
• System transmission dropped FDA approval data → claim denied.</t>
  </si>
  <si>
    <t>• FDA/IDE number not entered during claim creation.
• Staff unaware of investigational device reporting requirements.
• Incorrect or expired approval reference used.
• Mismatch between clinical trial documentation and claim data.
• System mapping or clearinghouse errors.
• Incomplete coordination between research and billing departments.</t>
  </si>
  <si>
    <t>• Verify correct FDA approval or IDE number from clinical documentation.
• Confirm approval validity for date of service.
• Update claim with accurate FDA approval information in appropriate field.
• Attach supporting documentation if required by payer.
• Resubmit corrected claim.
• Appeal if denial applied incorrectly with regulatory documentation.</t>
  </si>
  <si>
    <t>Physician Already Paid Under Demonstration Project</t>
  </si>
  <si>
    <t>The claim was denied because the physician has already received payment for the services under a demonstration project or special payment model, and duplicate payment cannot be made. Provider and service details are reflected on the CMS-1500 Box 24D — Procedure Code, Box 24J — Rendering Provider, and Box 33 — Billing Provider Information, and on the UB-04 Form Locator (FL) 44 — HCPCS/Rate/HIPPS Code, FL 76–79 — Provider Identifiers, and FL 1 — Billing Provider, which are used to identify the previously paid service.</t>
  </si>
  <si>
    <t>• Physician billed under a demonstration model and received payment → facility later bills same service → denied.
• Duplicate claim submitted outside bundled payment structure → rejection issued.
• Service included in demonstration payment bundle but billed separately → denial applied.
• Alternative payment model covers service but separate FFS claim submitted → payer rejects claim.
• Payment posted under physician NPI, but group attempts rebilling → claim denied.</t>
  </si>
  <si>
    <t>• Service already reimbursed under demonstration or bundled model.
• Lack of coordination between physician and facility billing.
• Duplicate billing outside program structure.
• Staff unaware of payment model participation.
• Enrollment in demonstration project not reflected in billing workflow.
• Misunderstanding of bundled vs fee-for-service rules.</t>
  </si>
  <si>
    <t>• Verify whether service was paid under a demonstration or bundled model.
• Coordinate with physician to confirm payment status.
• If duplicate → physician must withdraw prior claim and refund payment.
• Once refund processed, resubmit claim if appropriate.
• Review program participation and billing eligibility rules.
• Appeal only if payment was not actually issued under the demonstration model.</t>
  </si>
  <si>
    <t>Claim Overlaps Inpatient Stay</t>
  </si>
  <si>
    <t>The claim was denied because the dates of service overlap with a patient’s inpatient hospital stay. Services furnished during an inpatient admission are typically included in the inpatient facility payment (bundled under DRG or facility reimbursement rules) and cannot be billed separately by other providers unless specifically allowed (e.g., certain professional services). Providers must rebill only the services that were rendered outside the inpatient admission period. UB-04 Form Locator (FL) 12 — Admission Date and FL 17 — Discharge Date, along with service dates in FL 45. On the CMS-1500 claim form, service dates are reported in Box 24A — Date(s) of Service,</t>
  </si>
  <si>
    <t>• Outpatient services billed during hospital admission dates → denied.
• DME or therapy billed while patient admitted inpatient → rejection issued.
• Professional services incorrectly billed as outpatient during inpatient stay → denial applied.
• Facility services submitted overlapping admission period → payer rejects claim.
• Incorrect discharge date caused overlap with outpatient claim → claim denied.</t>
  </si>
  <si>
    <t>• Incorrect service dates entered on claim.
• Lack of awareness of patient inpatient admission period.
• Billing outpatient services that are bundled into inpatient payment.
• System not flagging inpatient overlap conflicts.
• Poor coordination between facility and professional billing teams.
• Eligibility verification not reviewed before billing.</t>
  </si>
  <si>
    <t>• Verify inpatient admission and discharge dates from payer or facility records.
• Identify which services occurred outside inpatient stay.
• Correct claim dates or remove overlapping services.
• Rebill only eligible non-overlapping services.
• Appeal if services were truly separate and allowed with documentation.
• Coordinate with facility if billing responsibility is unclear.</t>
  </si>
  <si>
    <t>Invalid Provider Number</t>
  </si>
  <si>
    <t>• Services billed for nursing home resident without facility provider number → denied.
• Incorrect SNF CCN submitted → rejection issued.
• POS indicates nursing facility but facility identifier missing → denial applied.
• Provider number not linked to payer enrollment records → payer rejects claim.
• System transmission dropped facility identifier → claim denied.</t>
  </si>
  <si>
    <t>• Facility provider number not entered during claim creation.
• Incorrect or outdated facility identifier used.
• Staff unaware of residence-based billing requirements.
• Enrollment mismatch between facility and payer records.
• System mapping or clearinghouse errors.
• Incomplete documentation of patient residence status.</t>
  </si>
  <si>
    <t>• Verify facility where patient resides and obtain correct provider number/CCN.
• Confirm facility enrollment information with payer.
• Correct claim with accurate facility identifier and POS.
• Resubmit corrected claim.
• Coordinate with facility administration if provider number is unknown.
• Appeal if denial applied incorrectly with supporting documentation.</t>
  </si>
  <si>
    <t>&lt;tr data-carc="CO 16" data-type="co" data-rarc="MA107 — Paper claim contains more than three separate data items in field 19." data-denial="The claim was denied because the paper CMS-1500 claim form Field 19 (Additional Claim Information) contained more than three separate data items, exceeding payer processing limitations. Field 19 is used to report supplemental information such as narrative descriptions, authorization notes, or special billing indicators when required. On the CMS-1500 claim form, this information is reported in Box 19 — Additional Claim Information. The UB-04 claim form does not have a direct equivalent to Box 19; supplemental information is typically conveyed through appropriate form locators (such as FL 80 — Remarks)." data-root="• Too many data elements entered in Box 19 on paper claim.\n• Staff unaware of payer limitation on number of items allowed.\n• Use of paper claim instead of electronic claim submission.\n• Improper formatting of information within field.\n• System or workflow requiring multiple notes without proper separation."&gt;&lt;td&gt;&lt;div class="row-num"&gt;#141&lt;/div&gt;&lt;span class="carc-badge co"&gt;CO 16&lt;/span&gt;&lt;/td&gt;&lt;td&gt;&lt;span class="denial-reason"&gt;Invalid Billing&lt;/span&gt;&lt;/td&gt;&lt;td class="rarc-wrap"&gt;&lt;div class="rarc-id"&gt;MA107&lt;/div&gt;&lt;div class="rarc-desc"&gt;Paper claim contains more than three separate data items in field 19.&lt;/div&gt;&lt;/td&gt;&lt;td class="td-meaning"&gt;The claim was denied because the paper CMS-1500 claim form Field 19 (Additional Claim Information) contained more than three separate data items, exceeding payer processing limitations. Field 19 is used to report supplemental information such as narrative descriptions, authorization notes, or special billing indicators when required. On the CMS-1500 claim form, this information is reported in Box 19 — Additional Claim Information. The UB-04 claim form does not have a direct equivalent to Box 19; supplemental information is typically conveyed through appropriate form locators (such as FL 80 — Remarks).&lt;/td&gt;&lt;td&gt;&lt;div class="chip-row"&gt;&lt;span class="chip chip-green"&gt;Paper claim submitted with multiple notes, authorization numbers, and narratives all in Box 19 → denied.&lt;/span&gt;&lt;span class="chip chip-green"&gt;Provider includes excessive billing instructions in Field 19 → rejection issued.&lt;/span&gt;&lt;span class="chip chip-green"&gt;Multiple identifiers entered in one field without formatting → denial applied.&lt;/span&gt;&lt;span class="chip chip-green"&gt;Manual paper claim used instead of electronic submission causing field overflow → payer rejects claim.&lt;/span&gt;&lt;span class="chip chip-green"&gt;Clearinghouse conversion to paper format resulted in excessive information in Box 19 → denied.&lt;/span&gt;&lt;/div&gt;&lt;/td&gt;&lt;td&gt;&lt;div class="chip-row"&gt;&lt;span class="chip chip-green"&gt;Too many data elements entered in Box 19 on paper claim.&lt;/span&gt;&lt;span class="chip chip-green"&gt;Staff unaware of payer limitation on number of items allowed.&lt;/span&gt;&lt;span class="chip chip-green"&gt;Use of paper claim instead of electronic claim submission.&lt;/span&gt;&lt;span class="chip chip-green"&gt;Improper formatting of information within field.&lt;/span&gt;&lt;span class="chip chip-green"&gt;System or workflow requiring multiple notes without proper separation.&lt;/span&gt;&lt;/div&gt;&lt;/td&gt;&lt;td class="td-res"&gt;• Review information entered in Box 19 and determine required elements only.&lt;br&gt;• Limit entries to allowable number of data items per payer rules.&lt;br&gt;• Move additional information to attachments or supporting documentation if needed.&lt;br&gt;• Resubmit claim with corrected Field 19 content.&lt;br&gt;• Consider electronic claim submission to avoid field limitations.&lt;br&gt;• Appeal if denial applied incorrectly and field usage was compliant.&lt;/td&gt;&lt;/tr&gt;</t>
  </si>
  <si>
    <t>&lt;tr data-carc="CO 16" data-type="co" data-rarc="MA108 — Paper claim contains more than one data item in field 23." data-denial="The claim was denied because the paper CMS-1500 claim form Field 23 (Prior Authorization Number) contained more than one data item, which exceeds payer processing requirements. Field 23 is intended to report a single authorization, referral, or pre-certification number associated with the services billed. On the CMS-1500 claim form, this information is reported in Box 23 — Prior Authorization Number. The UB-04 claim form equivalent information is typically reported in Form Locator (FL) 63 — Treatment Authorization Code, where only the appropriate authorization reference should be included." data-root="• Multiple data elements entered in Box 23 instead of a single authorization number.\n• Staff unaware of field limitations for paper claims.\n• Use of paper submission rather than electronic claims.\n• Improper formatting or workflow instructions.\n• System conversion issues during claim printing."&gt;&lt;td&gt;&lt;div class="row-num"&gt;#142&lt;/div&gt;&lt;span class="carc-badge co"&gt;CO 16&lt;/span&gt;&lt;/td&gt;&lt;td&gt;&lt;span class="denial-reason"&gt;Invalid Billing&lt;/span&gt;&lt;/td&gt;&lt;td class="rarc-wrap"&gt;&lt;div class="rarc-id"&gt;MA108&lt;/div&gt;&lt;div class="rarc-desc"&gt;Paper claim contains more than one data item in field 23.&lt;/div&gt;&lt;/td&gt;&lt;td class="td-meaning"&gt;The claim was denied because the paper CMS-1500 claim form Field 23 (Prior Authorization Number) contained more than one data item, which exceeds payer processing requirements. Field 23 is intended to report a single authorization, referral, or pre-certification number associated with the services billed. On the CMS-1500 claim form, this information is reported in Box 23 — Prior Authorization Number. The UB-04 claim form equivalent information is typically reported in Form Locator (FL) 63 — Treatment Authorization Code, where only the appropriate authorization reference should be included.&lt;/td&gt;&lt;td&gt;&lt;div class="chip-row"&gt;&lt;span class="chip chip-green"&gt;Paper claim submitted with multiple authorization numbers in Box 23 → denied.&lt;/span&gt;&lt;span class="chip chip-green"&gt;Authorization number combined with notes or identifiers in same field → rejection issued.&lt;/span&gt;&lt;span class="chip chip-green"&gt;Multiple referrals entered in Box 23 for different services → denial applied.&lt;/span&gt;&lt;span class="chip chip-green"&gt;Clearinghouse conversion created multiple entries in authorization field → payer rejects claim.&lt;/span&gt;&lt;span class="chip chip-green"&gt;Provider entered both referral and authorization numbers together → claim denied.&lt;/span&gt;&lt;/div&gt;&lt;/td&gt;&lt;td&gt;&lt;div class="chip-row"&gt;&lt;span class="chip chip-green"&gt;Multiple data elements entered in Box 23 instead of a single authorization number.&lt;/span&gt;&lt;span class="chip chip-green"&gt;Staff unaware of field limitations for paper claims.&lt;/span&gt;&lt;span class="chip chip-green"&gt;Use of paper submission rather than electronic claims.&lt;/span&gt;&lt;span class="chip chip-green"&gt;Improper formatting or workflow instructions.&lt;/span&gt;&lt;span class="chip chip-green"&gt;System conversion issues during claim printing.&lt;/span&gt;&lt;/div&gt;&lt;/td&gt;&lt;td class="td-res"&gt;• Verify correct authorization number applicable to the services billed.&lt;br&gt;• Enter only one authorization number in Box 23.&lt;br&gt;Move additional information to attachments if required.&lt;br&gt;• Resubmit corrected claim.&lt;br&gt;• Use electronic submission if multiple authorizations are necessary.&lt;br&gt;• Appeal if denial applied incorrectly and field usage was compliant.&lt;/td&gt;&lt;/tr&gt;</t>
  </si>
  <si>
    <t>&lt;tr data-carc="CO 16" data-type="co" data-rarc="MA110 — Missing/incomplete/invalid information on whether the diagnostic test(s) were performed by an outside entity or if no purchased tests are included on the claim." data-denial="The claim was denied because information indicating whether the diagnostic test(s) were performed by an outside entity (purchased test) or confirming that no purchased tests were included was missing, incomplete, or invalid. On the CMS-1500 claim form, purchased diagnostic test information is typically reported using Box 20 — Outside Lab? and Box 32 — Service Facility Location Information, along with procedure reporting in Box 24D. On the UB-04 claim form, performing entity information may be reflected through Form Locator (FL) 42 — Revenue Code, FL 44 — HCPCS/Rate/HIPPS Code, and provider identification fields such as FL 76–79 — Provider Identifiers when applicable." data-root="• Outside lab or purchased test indicator not completed.\n• Staff unaware of purchased diagnostic test billing requirements.\n• Incorrect component billing (global vs professional vs technical).\n• System mapping errors dropping outside entity information.\n• Incomplete documentation regarding performing entity.\n• Charge capture workflow gaps."&gt;&lt;td&gt;&lt;div class="row-num"&gt;#143&lt;/div&gt;&lt;span class="carc-badge co"&gt;CO 16&lt;/span&gt;&lt;/td&gt;&lt;td&gt;&lt;span class="denial-reason"&gt;Invalid Diagnosis&lt;/span&gt;&lt;/td&gt;&lt;td class="rarc-wrap"&gt;&lt;div class="rarc-id"&gt;MA110&lt;/div&gt;&lt;div class="rarc-desc"&gt;Missing/incomplete/invalid information on whether the diagnostic test(s) were performed by an outside entity or if no purchased tests are included on the claim.&lt;/div&gt;&lt;/td&gt;&lt;td class="td-meaning"&gt;The claim was denied because information indicating whether the diagnostic test(s) were performed by an outside entity (purchased test) or confirming that no purchased tests were included was missing, incomplete, or invalid. On the CMS-1500 claim form, purchased diagnostic test information is typically reported using Box 20 — Outside Lab? and Box 32 — Service Facility Location Information, along with procedure reporting in Box 24D. On the UB-04 claim form, performing entity information may be reflected through Form Locator (FL) 42 — Revenue Code, FL 44 — HCPCS/Rate/HIPPS Code, and provider identification fields such as FL 76–79 — Provider Identifiers when applicable.&lt;/td&gt;&lt;td&gt;&lt;div class="chip-row"&gt;&lt;span class="chip chip-green"&gt;Diagnostic test performed by external laboratory but outside lab indicator not marked → denied.&lt;/span&gt;&lt;span class="chip chip-green"&gt;Purchased test billed without identifying performing entity → rejection issued.&lt;/span&gt;&lt;span class="chip chip-green"&gt;Provider billed global service when only professional component performed → denial applied.&lt;/span&gt;&lt;span class="chip chip-green"&gt;Outside lab charges reported without required information → payer rejects claim.&lt;/span&gt;&lt;span class="chip chip-green"&gt;Incorrect outside lab indicator selected → claim cannot be processed.&lt;/span&gt;&lt;/div&gt;&lt;/td&gt;&lt;td&gt;&lt;div class="chip-row"&gt;&lt;span class="chip chip-green"&gt;Outside lab or purchased test indicator not completed.&lt;/span&gt;&lt;span class="chip chip-green"&gt;Staff unaware of purchased diagnostic test billing requirements.&lt;/span&gt;&lt;span class="chip chip-green"&gt;Incorrect component billing (global vs professional vs technical).&lt;/span&gt;&lt;span class="chip chip-green"&gt;System mapping errors dropping outside entity information.&lt;/span&gt;&lt;span class="chip chip-green"&gt;Incomplete documentation regarding performing entity.&lt;/span&gt;&lt;span class="chip chip-green"&gt;Charge capture workflow gaps.&lt;/span&gt;&lt;/div&gt;&lt;/td&gt;&lt;td class="td-res"&gt;• Verify whether diagnostic tests were performed by an outside entity.&lt;br&gt;• Confirm purchased test billing rules and appropriate component billing.&lt;br&gt;• Correct claim by indicating outside lab status and performing entity information.&lt;br&gt;• Ensure proper modifiers (-26 or -TC) if applicable.&lt;br&gt;• Resubmit corrected claim.&lt;br&gt;• Appeal if denial applied incorrectly with supporting documentation.&lt;/td&gt;&lt;/tr&gt;</t>
  </si>
  <si>
    <t>&lt;tr data-carc="CO 16" data-type="co" data-rarc="MA111 — Missing/incomplete/invalid purchase price of the test(s) and/or the performing laboratory's name and address." data-denial="The claim was denied because the required information for purchased diagnostic tests was missing, incomplete, or invalid. Specifically, the payer did not receive the purchase price of the test(s) and/or the name and address of the performing laboratory. On the CMS-1500 claim form, the performing laboratory information is reported in Box 32 — Service Facility Location Information, and the purchase price may be reported in Box 20 — Outside Lab? ($ Charges) when applicable, along with procedures in Box 24D. On the UB-04 claim form, performing entity information may be reflected through Form Locator (FL) 42 — Revenue Code, FL 44 — HCPCS/Rate/HIPPS Code, and provider identification fields such as FL 76–79 — Provider Identifiers, with purchase price typically conveyed through line charges or supporting documentation when required." data-root="• Performing laboratory information not entered during billing.\n• Purchase price field not populated or entered incorrectly.\n• Staff unfamiliar with purchased diagnostic test billing rules.\n• System mapping or interface errors causing missing data.\n• Incorrect component billing logic.\n• Incomplete documentation from external laboratory."&gt;&lt;td&gt;&lt;div class="row-num"&gt;#144&lt;/div&gt;&lt;span class="carc-badge co"&gt;CO 16&lt;/span&gt;&lt;/td&gt;&lt;td&gt;&lt;span class="denial-reason"&gt;Invalid Procedure Code&lt;/span&gt;&lt;/td&gt;&lt;td class="rarc-wrap"&gt;&lt;div class="rarc-id"&gt;MA111&lt;/div&gt;&lt;div class="rarc-desc"&gt;Missing/incomplete/invalid purchase price of the test(s) and/or the performing laboratory's name and address.&lt;/div&gt;&lt;/td&gt;&lt;td class="td-meaning"&gt;The claim was denied because the required information for purchased diagnostic tests was missing, incomplete, or invalid. Specifically, the payer did not receive the purchase price of the test(s) and/or the name and address of the performing laboratory. On the CMS-1500 claim form, the performing laboratory information is reported in Box 32 — Service Facility Location Information, and the purchase price may be reported in Box 20 — Outside Lab? ($ Charges) when applicable, along with procedures in Box 24D. On the UB-04 claim form, performing entity information may be reflected through Form Locator (FL) 42 — Revenue Code, FL 44 — HCPCS/Rate/HIPPS Code, and provider identification fields such as FL 76–79 — Provider Identifiers, with purchase price typically conveyed through line charges or supporting documentation when required.&lt;/td&gt;&lt;td&gt;&lt;div class="chip-row"&gt;&lt;span class="chip chip-green"&gt;Purchased lab test billed without performing lab name and address → denied.&lt;/span&gt;&lt;span class="chip chip-green"&gt;Outside laboratory services submitted without purchase price → rejection issued.&lt;/span&gt;&lt;span class="chip chip-green"&gt;Incorrect or incomplete facility information entered in Box 32 → denial applied.&lt;/span&gt;&lt;span class="chip chip-green"&gt;Global service billed when only purchased technical component performed → payer rejects claim.&lt;/span&gt;&lt;span class="chip chip-green"&gt;System transmission dropped performing lab details → claim denied.&lt;/span&gt;&lt;/div&gt;&lt;/td&gt;&lt;td&gt;&lt;div class="chip-row"&gt;&lt;span class="chip chip-green"&gt;Performing laboratory information not entered during billing.&lt;/span&gt;&lt;span class="chip chip-green"&gt;Purchase price field not populated or entered incorrectly.&lt;/span&gt;&lt;span class="chip chip-green"&gt;Staff unfamiliar with purchased diagnostic test billing rules.&lt;/span&gt;&lt;span class="chip chip-green"&gt;System mapping or interface errors causing missing data.&lt;/span&gt;&lt;span class="chip chip-green"&gt;Incorrect component billing logic.&lt;/span&gt;&lt;span class="chip chip-green"&gt;Incomplete documentation from external laboratory.&lt;/span&gt;&lt;/div&gt;&lt;/td&gt;&lt;td class="td-res"&gt;• Verify performing laboratory name, address, and purchase price information.&lt;br&gt;• Update claim with accurate facility and purchase price details.&lt;br&gt;• Ensure proper component billing modifiers if applicable (-26 or -TC).&lt;br&gt;• Resubmit corrected claim.&lt;br&gt;• Attach supporting documentation if payer requires.&lt;br&gt;• Appeal if denial applied incorrectly with documentation.&lt;/td&gt;&lt;/tr&gt;</t>
  </si>
  <si>
    <t>&lt;tr data-carc="CO 16" data-type="co" data-rarc="MA112 — Missing/incomplete/invalid group practice information." data-denial="The claim was denied because the required group practice information (such as billing group name, billing provider NPI, or associated entity details) was missing, incomplete, or invalid. On the CMS-1500 claim form, billing group details are reported in Box 33 — Billing Provider Info &amp; Phone Number, including Box 33a — Billing Provider NPI and Box 33b — Other ID when applicable, with rendering provider details in Box 24J if needed. On the UB-04 claim form, billing entity information is reported in Form Locator (FL) 1 — Provider Name, Address, Telephone, FL 56 — National Provider Identifier (NPI), and provider identifiers in FL 76–79 — Attending/Operating/Other Provider as applicable." data-root="• Billing provider or group NPI missing during claim creation.\n• Outdated or incorrect group information in billing system.\n• Provider enrollment not properly linked to billing entity.\n• Staff unfamiliar with group billing requirements.\n• Credentialing and billing systems misaligned.\n• EDI mapping or clearinghouse errors."&gt;&lt;td&gt;&lt;div class="row-num"&gt;#145&lt;/div&gt;&lt;span class="carc-badge co"&gt;CO 16&lt;/span&gt;&lt;/td&gt;&lt;td&gt;&lt;span class="denial-reason"&gt;Invalid Group Practice Information&lt;/span&gt;&lt;/td&gt;&lt;td class="rarc-wrap"&gt;&lt;div class="rarc-id"&gt;MA112&lt;/div&gt;&lt;div class="rarc-desc"&gt;Missing/incomplete/invalid group practice information.&lt;/div&gt;&lt;/td&gt;&lt;td class="td-meaning"&gt;The claim was denied because the required group practice information (such as billing group name, billing provider NPI, or associated entity details) was missing, incomplete, or invalid. On the CMS-1500 claim form, billing group details are reported in Box 33 — Billing Provider Info &amp; Phone Number, including Box 33a — Billing Provider NPI and Box 33b — Other ID when applicable, with rendering provider details in Box 24J if needed. On the UB-04 claim form, billing entity information is reported in Form Locator (FL) 1 — Provider Name, Address, Telephone, FL 56 — National Provider Identifier (NPI), and provider identifiers in FL 76–79 — Attending/Operating/Other Provider as applicable.&lt;/td&gt;&lt;td&gt;&lt;div class="chip-row"&gt;&lt;span class="chip chip-green"&gt;Claim submitted without billing group NPI → denied.&lt;/span&gt;&lt;span class="chip chip-green"&gt;Incorrect group name or address entered → rejection issued.&lt;/span&gt;&lt;span class="chip chip-green"&gt;Rendering provider billed under wrong group entity → denial applied.&lt;/span&gt;&lt;span class="chip chip-green"&gt;Group enrollment inactive or not linked with payer → claim rejected.&lt;/span&gt;&lt;span class="chip chip-green"&gt;System transmission error removed billing provider information → denied.&lt;/span&gt;&lt;/div&gt;&lt;/td&gt;&lt;td&gt;&lt;div class="chip-row"&gt;&lt;span class="chip chip-green"&gt;Billing provider or group NPI missing during claim creation.&lt;/span&gt;&lt;span class="chip chip-green"&gt;Outdated or incorrect group information in billing system.&lt;/span&gt;&lt;span class="chip chip-green"&gt;Provider enrollment not properly linked to billing entity.&lt;/span&gt;&lt;span class="chip chip-green"&gt;Staff unfamiliar with group billing requirements.&lt;/span&gt;&lt;span class="chip chip-green"&gt;Credentialing and billing systems misaligned.&lt;/span&gt;&lt;span class="chip chip-green"&gt;EDI mapping or clearinghouse errors.&lt;/span&gt;&lt;/div&gt;&lt;/td&gt;&lt;td class="td-res"&gt;• Verify correct group practice name, billing entity, and NPI.&lt;br&gt;• Confirm enrollment and participation status with payer.&lt;br&gt;• Correct claim with accurate billing provider information.&lt;br&gt;• Resubmit corrected claim.&lt;br&gt;• Coordinate with credentialing team if enrollment updates are required.&lt;br&gt;• Appeal if denial applied incorrectly with supporting documentation.&lt;/td&gt;&lt;/tr&gt;</t>
  </si>
  <si>
    <t>&lt;tr data-carc="CO 16" data-type="co" data-rarc="MA113 — 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 data-denial="The claim was rejected because the Taxpayer Identification Number (TIN) submitted was incomplete, invalid, or does not match Internal Revenue Service (IRS) records. On the CMS-1500 claim form, the TIN is reported in Box 25 — Federal Tax ID Number. On the UB-04 claim form, the TIN is reported in Form Locator (FL) 5 — Federal Tax Number." data-root="• Incorrect or outdated TIN in billing system.\n• Mismatch between payer enrollment records and claim data.\n• Recent provider tax entity change not communicated to payer.\n• Data entry errors during claim creation.\n• Credentialing and billing systems not synchronized.\n• Clearinghouse mapping errors."&gt;&lt;td&gt;&lt;div class="row-num"&gt;#146&lt;/div&gt;&lt;span class="carc-badge co"&gt;CO 16&lt;/span&gt;&lt;/td&gt;&lt;td&gt;&lt;span class="denial-reason"&gt;Missing Taxpayer Identification Number (TIN)&lt;/span&gt;&lt;/td&gt;&lt;td class="rarc-wrap"&gt;&lt;div class="rarc-id"&gt;MA113&lt;/div&gt;&lt;div class="rarc-desc"&gt;Incomplete/invalid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TIN.&lt;/div&gt;&lt;/td&gt;&lt;td class="td-meaning"&gt;The claim was rejected because the Taxpayer Identification Number (TIN) submitted was incomplete, invalid, or does not match Internal Revenue Service (IRS) records. On the CMS-1500 claim form, the TIN is reported in Box 25 — Federal Tax ID Number. On the UB-04 claim form, the TIN is reported in Form Locator (FL) 5 — Federal Tax Number.&lt;/td&gt;&lt;td&gt;&lt;div class="chip-row"&gt;&lt;span class="chip chip-green"&gt;Incorrect EIN or SSN entered during claim submission → rejected.&lt;/span&gt;&lt;span class="chip chip-green"&gt;TIN on file with payer differs from claim submission → claim unprocessable.&lt;/span&gt;&lt;span class="chip chip-green"&gt;Provider changed tax entity but payer records not updated → rejection issued.&lt;/span&gt;&lt;span class="chip chip-green"&gt;Missing TIN field during claim creation → denial applied.&lt;/span&gt;&lt;span class="chip chip-green"&gt;Credentialing update not completed before billing → claim rejected.&lt;/span&gt;&lt;/div&gt;&lt;/td&gt;&lt;td&gt;&lt;div class="chip-row"&gt;&lt;span class="chip chip-green"&gt;Incorrect or outdated TIN in billing system.&lt;/span&gt;&lt;span class="chip chip-green"&gt;Mismatch between payer enrollment records and claim data.&lt;/span&gt;&lt;span class="chip chip-green"&gt;Recent provider tax entity change not communicated to payer.&lt;/span&gt;&lt;span class="chip chip-green"&gt;Data entry errors during claim creation.&lt;/span&gt;&lt;span class="chip chip-green"&gt;Credentialing and billing systems not synchronized.&lt;/span&gt;&lt;span class="chip chip-green"&gt;Clearinghouse mapping errors.&lt;/span&gt;&lt;/div&gt;&lt;/td&gt;&lt;td class="td-res"&gt;• Verify correct TIN with provider or finance department.&lt;br&gt;• Update TIN information with payer enrollment department.&lt;br&gt;• Correct billing system records to match IRS and payer records.&lt;br&gt;• Resubmit claim after TIN correction is confirmed.&lt;br&gt;• Do not bill patient until claim is processed correctly.&lt;br&gt;• Coordinate with credentialing team if enrollment updates are required.&lt;/td&gt;&lt;/tr&gt;</t>
  </si>
  <si>
    <t>&lt;tr data-carc="CO 16" data-type="co" data-rarc="MA114 — Missing/incomplete/invalid information on where the services were furnished." data-denial="The claim was denied because the required information identifying where the services were furnished (service facility name, address, or location details) was missing, incomplete, invalid, or inconsistent. On the CMS-1500 claim form, the service location is reported in Box 24B — Place of Service (POS) and, when different from the billing provider, in Box 32 — Service Facility Location Information. On the UB-04 claim form, the facility location is reflected in Form Locator (FL) 1 — Provider Name, Address, Telephone, along with service setting indicators derived from FL 4 — Type of Bill and FL 42 — Revenue Code." data-root="• Service facility information not entered during claim creation.\n• Incorrect or outdated facility address in billing system.\n• Mismatch between POS and service facility data.\n• Provider enrollment not aligned with service location.\n• EDI mapping or clearinghouse errors.\n• Staff unfamiliar with multi-location billing requirements."&gt;&lt;td&gt;&lt;div class="row-num"&gt;#147&lt;/div&gt;&lt;span class="carc-badge co"&gt;CO 16&lt;/span&gt;&lt;/td&gt;&lt;td&gt;&lt;span class="denial-reason"&gt;Invalid Information on Where the Services Were Furnished&lt;/span&gt;&lt;/td&gt;&lt;td class="rarc-wrap"&gt;&lt;div class="rarc-id"&gt;MA114&lt;/div&gt;&lt;div class="rarc-desc"&gt;Missing/incomplete/invalid information on where the services were furnished.&lt;/div&gt;&lt;/td&gt;&lt;td class="td-meaning"&gt;The claim was denied because the required information identifying where the services were furnished (service facility name, address, or location details) was missing, incomplete, invalid, or inconsistent. On the CMS-1500 claim form, the service location is reported in Box 24B — Place of Service (POS) and, when different from the billing provider, in Box 32 — Service Facility Location Information. On the UB-04 claim form, the facility location is reflected in Form Locator (FL) 1 — Provider Name, Address, Telephone, along with service setting indicators derived from FL 4 — Type of Bill and FL 42 — Revenue Code.&lt;/td&gt;&lt;td&gt;&lt;div class="chip-row"&gt;&lt;span class="chip chip-green"&gt;Service facility address missing in Box 32 → denied.&lt;/span&gt;&lt;span class="chip chip-green"&gt;Incorrect POS code inconsistent with service location → rejection issued.&lt;/span&gt;&lt;span class="chip chip-green"&gt;Rendering provider enrolled at different location than billed → denial applied.&lt;/span&gt;&lt;span class="chip chip-green"&gt;Outpatient service billed under wrong facility address → payer rejects claim.&lt;/span&gt;&lt;span class="chip chip-green"&gt;System transmission dropped service location data → claim denied.&lt;/span&gt;&lt;/div&gt;&lt;/td&gt;&lt;td&gt;&lt;div class="chip-row"&gt;&lt;span class="chip chip-green"&gt;Service facility information not entered during claim creation.&lt;/span&gt;&lt;span class="chip chip-green"&gt;Incorrect or outdated facility address in billing system.&lt;/span&gt;&lt;span class="chip chip-green"&gt;Mismatch between POS and service facility data.&lt;/span&gt;&lt;span class="chip chip-green"&gt;Provider enrollment not aligned with service location.&lt;/span&gt;&lt;span class="chip chip-green"&gt;EDI mapping or clearinghouse errors.&lt;/span&gt;&lt;span class="chip chip-green"&gt;Staff unfamiliar with multi-location billing requirements.&lt;/span&gt;&lt;/div&gt;&lt;/td&gt;&lt;td class="td-res"&gt;• Verify correct service location where care was rendered.&lt;br&gt;• Confirm provider enrollment for that specific location.&lt;br&gt;• Correct claim with accurate POS and service facility information.&lt;br&gt;• Resubmit corrected claim to payer.&lt;br&gt;• Coordinate with credentialing if location enrollment updates are needed.&lt;br&gt;• Appeal if denial applied incorrectly with supporting documentation.&lt;/td&gt;&lt;/tr&gt;</t>
  </si>
  <si>
    <t>&lt;tr data-carc="CO 16" data-type="co" data-rarc="MA115 — Missing/incomplete/invalid physical location (name and address, or PIN) where the service(s) were rendered in a Health Professional Shortage Area (HPSA)." data-denial="The claim was denied because the required physical location information (name and address or Provider Identification Number/PIN) where the services were rendered in a Health Professional Shortage Area (HPSA) was missing, incomplete, or invalid. On the CMS-1500 claim form, the service location is reported in Box 24B — Place of Service (POS) and, when different from the billing provider, in Box 32 — Service Facility Location Information, including name and address. On the UB-04 claim form, the service location is reflected in Form Locator (FL) 1 — Provider Name, Address, Telephone, along with applicable provider identifiers in FL 76–79, and service setting indicators derived from FL 4 — Type of Bill and FL 42 — Revenue Code." data-root="• Service facility information not entered or entered incorrectly.\n• Mismatch between billing address and physical rendering location.\n• Provider unaware of HPSA reporting requirements.\n• Enrollment records not updated for rural or shortage-area sites.\n• System not configured to capture location-specific identifiers.\n• Staff confusion between billing entity and service location."&gt;&lt;td&gt;&lt;div class="row-num"&gt;#148&lt;/div&gt;&lt;span class="carc-badge co"&gt;CO 16&lt;/span&gt;&lt;/td&gt;&lt;td&gt;&lt;span class="denial-reason"&gt;Invalid Physical Location for HPSA Services&lt;/span&gt;&lt;/td&gt;&lt;td class="rarc-wrap"&gt;&lt;div class="rarc-id"&gt;MA115&lt;/div&gt;&lt;div class="rarc-desc"&gt;Missing/incomplete/invalid physical location (name and address, or PIN) where the service(s) were rendered in a Health Professional Shortage Area (HPSA).&lt;/div&gt;&lt;/td&gt;&lt;td class="td-meaning"&gt;The claim was denied because the required physical location information (name and address or Provider Identification Number/PIN) where the services were rendered in a Health Professional Shortage Area (HPSA) was missing, incomplete, or invalid. On the CMS-1500 claim form, the service location is reported in Box 24B — Place of Service (POS) and, when different from the billing provider, in Box 32 — Service Facility Location Information, including name and address. On the UB-04 claim form, the service location is reflected in Form Locator (FL) 1 — Provider Name, Address, Telephone, along with applicable provider identifiers in FL 76–79, and service setting indicators derived from FL 4 — Type of Bill and FL 42 — Revenue Code.&lt;/td&gt;&lt;td&gt;&lt;div class="chip-row"&gt;&lt;span class="chip chip-green"&gt;Provider bills HPSA-eligible service but does not include physical service address → denied.&lt;/span&gt;&lt;span class="chip chip-green"&gt;Service location listed incorrectly, preventing HPSA validation → rejection issued.&lt;/span&gt;&lt;span class="chip chip-green"&gt;Provider using group billing address instead of actual service location → denial applied.&lt;/span&gt;&lt;span class="chip chip-green"&gt;PIN or facility identifier missing for rural clinic location → payer rejects claim.&lt;/span&gt;&lt;span class="chip chip-green"&gt;Incorrect POS inconsistent with HPSA-designated location → claim denied.&lt;/span&gt;&lt;/div&gt;&lt;/td&gt;&lt;td&gt;&lt;div class="chip-row"&gt;&lt;span class="chip chip-green"&gt;Service facility information not entered or entered incorrectly.&lt;/span&gt;&lt;span class="chip chip-green"&gt;Mismatch between billing address and physical rendering location.&lt;/span&gt;&lt;span class="chip chip-green"&gt;Provider unaware of HPSA reporting requirements.&lt;/span&gt;&lt;span class="chip chip-green"&gt;Enrollment records not updated for rural or shortage-area sites.&lt;/span&gt;&lt;span class="chip chip-green"&gt;System not configured to capture location-specific identifiers.&lt;/span&gt;&lt;span class="chip chip-green"&gt;Staff confusion between billing entity and service location.&lt;/span&gt;&lt;/div&gt;&lt;/td&gt;&lt;td class="td-res"&gt;• Verify actual physical location where services were rendered.&lt;br&gt;• Confirm location qualifies as HPSA-designated area.&lt;br&gt;• Update claim with correct service facility name, address, or PIN.&lt;br&gt;• Ensure POS and provider identifiers align with HPSA location.&lt;br&gt;• Resubmit corrected claim.&lt;br&gt;• Appeal if denial applied incorrectly and documentation supports HPSA eligibility.&lt;/td&gt;&lt;/tr&gt;</t>
  </si>
  <si>
    <t>&lt;tr data-carc="CO 16" data-type="co" data-rarc="MA116 — Did not complete the statement 'Homebound' on the claim to validate whether laboratory services were performed at home or in an institution." data-denial="The claim was denied because the required “Homebound” statement was not completed to indicate whether the laboratory services were performed in the patient’s home or in an institutional setting. On the CMS-1500 claim form, service location and related information are reported in Box 24B — Place of Service (POS) and Box 32 — Service Facility Location Information, with additional claim notes sometimes reported in Box 19 — Additional Claim Information when required by payer instructions. On the UB-04 claim form, service location context is reflected through Form Locator (FL) 4 — Type of Bill, FL 42 — Revenue Code, and FL 80 — Remarks when narrative clarification is required." data-root="• Homebound statement not completed during claim submission.\n• Staff unaware of payer requirement for homebound validation.\n• Mismatch between POS and service documentation.\n• System does not capture homebound indicators automatically.\n• Incomplete clinical documentation regarding patient status.\n• Workflow gap between clinical and billing teams."&gt;&lt;td&gt;&lt;div class="row-num"&gt;#149&lt;/div&gt;&lt;span class="carc-badge co"&gt;CO 16&lt;/span&gt;&lt;/td&gt;&lt;td&gt;&lt;span class="denial-reason"&gt;Missing “Homebound”&lt;/span&gt;&lt;/td&gt;&lt;td class="rarc-wrap"&gt;&lt;div class="rarc-id"&gt;MA116&lt;/div&gt;&lt;div class="rarc-desc"&gt;Did not complete the statement 'Homebound' on the claim to validate whether laboratory services were performed at home or in an institution.&lt;/div&gt;&lt;/td&gt;&lt;td class="td-meaning"&gt;The claim was denied because the required “Homebound” statement was not completed to indicate whether the laboratory services were performed in the patient’s home or in an institutional setting. On the CMS-1500 claim form, service location and related information are reported in Box 24B — Place of Service (POS) and Box 32 — Service Facility Location Information, with additional claim notes sometimes reported in Box 19 — Additional Claim Information when required by payer instructions. On the UB-04 claim form, service location context is reflected through Form Locator (FL) 4 — Type of Bill, FL 42 — Revenue Code, and FL 80 — Remarks when narrative clarification is required.&lt;/td&gt;&lt;td&gt;&lt;div class="chip-row"&gt;&lt;span class="chip chip-green"&gt;Home lab specimen collection billed without indicating homebound status → denied.&lt;/span&gt;&lt;span class="chip chip-green"&gt;Laboratory services performed in patient home but POS unclear → rejection issued.&lt;/span&gt;&lt;span class="chip chip-green"&gt;Provider omitted required homebound certification statement → denial applied.&lt;/span&gt;&lt;span class="chip chip-green"&gt;Institutional lab service billed but claim suggests home setting → payer rejects claim.&lt;/span&gt;&lt;span class="chip chip-green"&gt;Documentation supports homebound status but claim field not completed → denied.&lt;/span&gt;&lt;/div&gt;&lt;/td&gt;&lt;td&gt;&lt;div class="chip-row"&gt;&lt;span class="chip chip-green"&gt;Homebound statement not completed during claim submission.&lt;/span&gt;&lt;span class="chip chip-green"&gt;Staff unaware of payer requirement for homebound validation.&lt;/span&gt;&lt;span class="chip chip-green"&gt;Mismatch between POS and service documentation.&lt;/span&gt;&lt;span class="chip chip-green"&gt;System does not capture homebound indicators automatically.&lt;/span&gt;&lt;span class="chip chip-green"&gt;Incomplete clinical documentation regarding patient status.&lt;/span&gt;&lt;span class="chip chip-green"&gt;Workflow gap between clinical and billing teams.&lt;/span&gt;&lt;/div&gt;&lt;/td&gt;&lt;td class="td-res"&gt;• Verify whether laboratory services were performed at home or institutional setting.&lt;br&gt;• Confirm patient homebound status documentation if applicable.&lt;br&gt;• Update claim with required homebound statement or appropriate POS/location information.&lt;br&gt;• Resubmit corrected claim.&lt;br&gt;• Attach supporting documentation if payer requires.&lt;br&gt;• Appeal if denial applied incorrectly with documentation support.&lt;/td&gt;&lt;/tr&gt;</t>
  </si>
  <si>
    <t>&lt;tr data-carc="CO 96" data-type="co" data-rarc="MA118 — Alert: No Medicare payment issued for this claim for services or supplies furnished to a Medicare-eligible veteran through a facility of the Department of Veterans Affairs. Coinsurance and/or deductible are applicable." data-denial="This alert indicates that no Medicare payment was issued because the services or supplies were furnished to a Medicare-eligible veteran through a Department of Veterans Affairs (VA) facility. Patient insurance and payer coordination information is typically reflected on the CMS-1500 Box 9–9d (Other Insured Information) and Box 11 (Insured Information), and on the UB-04 Form Locator (FL) 50–60 (Payer and Insured Information), which identify VA or other federal coverage involvement." data-root="• Incorrect primary payer selection (Medicare billed instead of VA).\n• Lack of verification of VA authorization prior to billing.\n• Coordination of benefits confusion between Medicare and VA programs.\n• Registration or eligibility verification gaps.\n• Staff unfamiliar with VA Community Care billing rules.\n• Missing VA authorization documentation."&gt;&lt;td&gt;&lt;div class="row-num"&gt;#150&lt;/div&gt;&lt;span class="carc-badge co"&gt;CO 96&lt;/span&gt;&lt;/td&gt;&lt;td&gt;&lt;span class="denial-reason"&gt;Non Covered Charge&lt;/span&gt;&lt;/td&gt;&lt;td class="rarc-wrap"&gt;&lt;div class="rarc-id"&gt;MA118&lt;/div&gt;&lt;div class="rarc-desc"&gt;Alert: No Medicare payment issued for this claim for services or supplies furnished to a Medicare-eligible veteran through a facility of the Department of Veterans Affairs. Coinsurance and/or deductible are applicable.&lt;/div&gt;&lt;/td&gt;&lt;td class="td-meaning"&gt;This alert indicates that no Medicare payment was issued because the services or supplies were furnished to a Medicare-eligible veteran through a Department of Veterans Affairs (VA) facility. Patient insurance and payer coordination information is typically reflected on the CMS-1500 Box 9–9d (Other Insured Information) and Box 11 (Insured Information), and on the UB-04 Form Locator (FL) 50–60 (Payer and Insured Information), which identify VA or other federal coverage involvement.&lt;/td&gt;&lt;td&gt;&lt;div class="chip-row"&gt;&lt;span class="chip chip-green"&gt;Veteran receives services at VA-authorized facility but claim submitted to Medicare → no payment issued.&lt;/span&gt;&lt;span class="chip chip-green"&gt;Provider bills Medicare instead of VA Community Care program → denial occurs.&lt;/span&gt;&lt;span class="chip chip-green"&gt;Services authorized by VA but Medicare billed as primary → claim denied.&lt;/span&gt;&lt;span class="chip chip-green"&gt;Dual eligibility confusion between Medicare and VA coverage → payment not issued.&lt;/span&gt;&lt;span class="chip chip-green"&gt;Provider unaware services were covered under VA authorization → claim processed with MA118.&lt;/span&gt;&lt;/div&gt;&lt;/td&gt;&lt;td&gt;&lt;div class="chip-row"&gt;&lt;span class="chip chip-green"&gt;Incorrect primary payer selection (Medicare billed instead of VA).&lt;/span&gt;&lt;span class="chip chip-green"&gt;Lack of verification of VA authorization prior to billing.&lt;/span&gt;&lt;span class="chip chip-green"&gt;Coordination of benefits confusion between Medicare and VA programs.&lt;/span&gt;&lt;span class="chip chip-green"&gt;Registration or eligibility verification gaps.&lt;/span&gt;&lt;span class="chip chip-green"&gt;Staff unfamiliar with VA Community Care billing rules.&lt;/span&gt;&lt;span class="chip chip-green"&gt;Missing VA authorization documentation.&lt;/span&gt;&lt;/div&gt;&lt;/td&gt;&lt;td class="td-res"&gt;• Verify whether services were authorized or covered under VA benefits.&lt;br&gt;• Confirm correct primary payer (VA vs Medicare).&lt;br&gt;• If VA responsible → submit claim to VA program or VA Community Care contractor.&lt;br&gt;• Adjust Medicare claim if incorrectly billed.&lt;br&gt;• Bill patient only for applicable coinsurance/deductible if allowed by policy.&lt;br&gt;• Appeal if Medicare should be primary and documentation supports eligibility.&lt;/td&gt;&lt;/tr&gt;</t>
  </si>
  <si>
    <t>&lt;tr data-carc="CO 16" data-type="co" data-rarc="MA12 — You have not established that you have the right under the law to bill for services furnished by the person(s) that furnished this (these) service(s)." data-denial="The claim was denied because the billing provider has not established legal authorization to bill for the services performed by the individual(s) who actually furnished the care. On the CMS-1500 claim form, rendering and billing relationships are reported through Box 24J — Rendering Provider NPI, Box 33 — Billing Provider Information, and Box 17 — Referring/Ordering Provider when applicable. On the UB-04 claim form, provider roles are reflected through Form Locator (FL) 76–79 — Attending/Operating/Other Provider Identifiers, along with FL 1 — Billing Provider Information and FL 56 — NPI." data-root="• Missing reassignment of benefits documentation.\n• Rendering provider not properly enrolled or linked to billing entity.\n• Incorrect use of incident-to or locum tenens billing rules.\n• Credentialing and billing systems not aligned.\n• Staff unfamiliar with provider relationship requirements.\n• Incomplete contractual or employment documentation."&gt;&lt;td&gt;&lt;div class="row-num"&gt;#151&lt;/div&gt;&lt;span class="carc-badge co"&gt;CO 16&lt;/span&gt;&lt;/td&gt;&lt;td&gt;&lt;span class="denial-reason"&gt;Provider Not Authorized&lt;/span&gt;&lt;/td&gt;&lt;td class="rarc-wrap"&gt;&lt;div class="rarc-id"&gt;MA12&lt;/div&gt;&lt;div class="rarc-desc"&gt;You have not established that you have the right under the law to bill for services furnished by the person(s) that furnished this (these) service(s).&lt;/div&gt;&lt;/td&gt;&lt;td class="td-meaning"&gt;The claim was denied because the billing provider has not established legal authorization to bill for the services performed by the individual(s) who actually furnished the care. On the CMS-1500 claim form, rendering and billing relationships are reported through Box 24J — Rendering Provider NPI, Box 33 — Billing Provider Information, and Box 17 — Referring/Ordering Provider when applicable. On the UB-04 claim form, provider roles are reflected through Form Locator (FL) 76–79 — Attending/Operating/Other Provider Identifiers, along with FL 1 — Billing Provider Information and FL 56 — NPI.&lt;/td&gt;&lt;td&gt;&lt;div class="chip-row"&gt;&lt;span class="chip chip-green"&gt;Services performed by non-employed provider but billed under group without reassignment → denied.&lt;/span&gt;&lt;span class="chip chip-green"&gt;Locum tenens services billed without proper modifier or documentation → rejection issued.&lt;/span&gt;&lt;span class="chip chip-green"&gt;Incident-to services billed but supervision requirements not met → denial applied.&lt;/span&gt;&lt;span class="chip chip-green"&gt;Rendering provider not enrolled under billing entity → payer rejects claim.&lt;/span&gt;&lt;span class="chip chip-green"&gt;Contract provider relationship not documented → claim denied.&lt;/span&gt;&lt;/div&gt;&lt;/td&gt;&lt;td&gt;&lt;div class="chip-row"&gt;&lt;span class="chip chip-green"&gt;Missing reassignment of benefits documentation.&lt;/span&gt;&lt;span class="chip chip-green"&gt;Rendering provider not properly enrolled or linked to billing entity.&lt;/span&gt;&lt;span class="chip chip-green"&gt;Incorrect use of incident-to or locum tenens billing rules.&lt;/span&gt;&lt;span class="chip chip-green"&gt;Credentialing and billing systems not aligned.&lt;/span&gt;&lt;span class="chip chip-green"&gt;Staff unfamiliar with provider relationship requirements.&lt;/span&gt;&lt;span class="chip chip-green"&gt;Incomplete contractual or employment documentation.&lt;/span&gt;&lt;/div&gt;&lt;/td&gt;&lt;td class="td-res"&gt;• Verify employment or contractual relationship between billing and rendering providers.&lt;br&gt;• Confirm reassignment of benefits documentation is on file with payer.&lt;br&gt;• Ensure correct modifiers (e.g., locum tenens modifier) if applicable.&lt;br&gt;• Update provider enrollment records with payer if needed.&lt;br&gt;• Resubmit claim with corrected provider information.&lt;br&gt;• Appeal with supporting documentation proving billing rights if appropriate.&lt;/td&gt;&lt;/tr&gt;</t>
  </si>
  <si>
    <t>&lt;tr data-carc="CO 16" data-type="co" data-rarc="MA120 — Missing/incomplete/invalid CLIA certification number." data-denial="The claim was denied because the required CLIA (Clinical Laboratory Improvement Amendments) certification number was missing, incomplete, invalid, or not recognized by the payer. On the CMS-1500 claim form, the CLIA number is reported in Box 23 — Prior Authorization Number, specifically in the designated CLIA field when applicable, along with service facility information in Box 32 if the performing lab differs from the billing provider. On the UB-04 claim form, the CLIA number is typically reported in Form Locator (FL) 63 — Treatment Authorization Code or in remarks/associated provider certification records depending on payer instructions, with laboratory services reflected through FL 42 — Revenue Code and FL 44 — HCPCS/Rate/HIPPS Code." data-root="• CLIA field not populated during claim creation.\n• Expired or invalid CLIA certification.\n• Mismatch between performing lab and billing provider CLIA.\n• Staff unaware of CLIA reporting requirements.\n• System mapping or clearinghouse errors.\n• Enrollment records not updated."&gt;&lt;td&gt;&lt;div class="row-num"&gt;#152&lt;/div&gt;&lt;span class="carc-badge co"&gt;CO 16&lt;/span&gt;&lt;/td&gt;&lt;td&gt;&lt;span class="denial-reason"&gt;CLIA Missing&lt;/span&gt;&lt;/td&gt;&lt;td class="rarc-wrap"&gt;&lt;div class="rarc-id"&gt;MA120&lt;/div&gt;&lt;div class="rarc-desc"&gt;Missing/incomplete/invalid CLIA certification number.&lt;/div&gt;&lt;/td&gt;&lt;td class="td-meaning"&gt;The claim was denied because the required CLIA (Clinical Laboratory Improvement Amendments) certification number was missing, incomplete, invalid, or not recognized by the payer. On the CMS-1500 claim form, the CLIA number is reported in Box 23 — Prior Authorization Number, specifically in the designated CLIA field when applicable, along with service facility information in Box 32 if the performing lab differs from the billing provider. On the UB-04 claim form, the CLIA number is typically reported in Form Locator (FL) 63 — Treatment Authorization Code or in remarks/associated provider certification records depending on payer instructions, with laboratory services reflected through FL 42 — Revenue Code and FL 44 — HCPCS/Rate/HIPPS Code.&lt;/td&gt;&lt;td&gt;&lt;div class="chip-row"&gt;&lt;span class="chip chip-green"&gt;Laboratory service billed without CLIA number → denied.&lt;/span&gt;&lt;span class="chip chip-green"&gt;Incorrect or expired CLIA certification number entered → rejection issued.&lt;/span&gt;&lt;span class="chip chip-green"&gt;Billing provider CLIA used instead of performing lab CLIA → denial applied.&lt;/span&gt;&lt;span class="chip chip-green"&gt;System transmission error dropped CLIA number → payer rejects claim.&lt;/span&gt;&lt;span class="chip chip-green"&gt;CLIA-waived test billed without appropriate certification number → claim denied.&lt;/span&gt;&lt;/div&gt;&lt;/td&gt;&lt;td&gt;&lt;div class="chip-row"&gt;&lt;span class="chip chip-green"&gt;CLIA field not populated during claim creation.&lt;/span&gt;&lt;span class="chip chip-green"&gt;Expired or invalid CLIA certification.&lt;/span&gt;&lt;span class="chip chip-green"&gt;Mismatch between performing lab and billing provider CLIA.&lt;/span&gt;&lt;span class="chip chip-green"&gt;Staff unaware of CLIA reporting requirements.&lt;/span&gt;&lt;span class="chip chip-green"&gt;System mapping or clearinghouse errors.&lt;/span&gt;&lt;span class="chip chip-green"&gt;Enrollment records not updated.&lt;/span&gt;&lt;/div&gt;&lt;/td&gt;&lt;td class="td-res"&gt;• Verify correct CLIA certification number for performing laboratory.&lt;br&gt;• Confirm certification is active for the date of service.&lt;br&gt;• Correct claim with accurate CLIA number in appropriate field.&lt;br&gt;• Ensure performing provider information aligns with CLIA records.&lt;br&gt;• Resubmit corrected claim.&lt;br&gt;• Appeal if denial applied incorrectly with supporting documentation.&lt;/td&gt;&lt;/tr&gt;</t>
  </si>
  <si>
    <t>&lt;tr data-carc="CO 16" data-type="co" data-rarc="MA121 — Missing/incomplete/invalid x-ray date." data-denial="The claim was denied because the x-ray date required for the service was missing, incomplete, invalid, or inconsistent with other claim information. On the CMS-1500 claim form, the x-ray date is typically reported in Box 19 — Additional Claim Information or Box 14 — Date of Current Illness/Injury, depending on payer instructions and service type. On the UB-04 claim form, related clinical dates may be reported through Form Locator (FL) 31–34 — Occurrence Codes and Dates or FL 80 — Remarks when narrative clarification is required." data-root="• X-ray date field left blank during claim entry.\n• Staff unaware of payer requirement for imaging date.\n• Mismatch between documentation and claim data.\n• Incorrect formatting or typographical error.\n• System mapping or clearinghouse issues.\nvIncomplete clinical documentation capture."&gt;&lt;td&gt;&lt;div class="row-num"&gt;#153&lt;/div&gt;&lt;span class="carc-badge co"&gt;CO 16&lt;/span&gt;&lt;/td&gt;&lt;td&gt;&lt;span class="denial-reason"&gt;Invalid X-Ray Date&lt;/span&gt;&lt;/td&gt;&lt;td class="rarc-wrap"&gt;&lt;div class="rarc-id"&gt;MA121&lt;/div&gt;&lt;div class="rarc-desc"&gt;Missing/incomplete/invalid x-ray date.&lt;/div&gt;&lt;/td&gt;&lt;td class="td-meaning"&gt;The claim was denied because the x-ray date required for the service was missing, incomplete, invalid, or inconsistent with other claim information. On the CMS-1500 claim form, the x-ray date is typically reported in Box 19 — Additional Claim Information or Box 14 — Date of Current Illness/Injury, depending on payer instructions and service type. On the UB-04 claim form, related clinical dates may be reported through Form Locator (FL) 31–34 — Occurrence Codes and Dates or FL 80 — Remarks when narrative clarification is required.&lt;/td&gt;&lt;td&gt;&lt;div class="chip-row"&gt;&lt;span class="chip chip-green"&gt;Chiropractic manipulation billed without x-ray date → denied.&lt;/span&gt;&lt;span class="chip chip-green"&gt;DME service requiring supporting imaging date submitted without it → rejection issued.&lt;/span&gt;&lt;span class="chip chip-green"&gt;Invalid or future x-ray date entered → denial applied.&lt;/span&gt;&lt;span class="chip chip-green"&gt;X-ray date inconsistent with treatment timeline → payer rejects claim.&lt;/span&gt;&lt;span class="chip chip-green"&gt;System transmission error dropped x-ray date field → claim denied.&lt;/span&gt;&lt;/div&gt;&lt;/td&gt;&lt;td&gt;&lt;div class="chip-row"&gt;&lt;span class="chip chip-green"&gt;X-ray date field left blank during claim entry.&lt;/span&gt;&lt;span class="chip chip-green"&gt;Staff unaware of payer requirement for imaging date.&lt;/span&gt;&lt;span class="chip chip-green"&gt;Mismatch between documentation and claim data.&lt;/span&gt;&lt;span class="chip chip-green"&gt;Incorrect formatting or typographical error.&lt;/span&gt;&lt;span class="chip chip-green"&gt;System mapping or clearinghouse issues.&lt;/span&gt;&lt;span class="chip chip-green"&gt;vIncomplete clinical documentation capture.&lt;/span&gt;&lt;/div&gt;&lt;/td&gt;&lt;td class="td-res"&gt;• Review medical documentation to confirm correct x-ray date.&lt;br&gt;• Verify date validity and consistency with treatment dates.&lt;br&gt;• Correct claim with accurate x-ray date in appropriate field.&lt;br&gt;• Resubmit corrected claim.&lt;br&gt;• Attach supporting documentation if payer requires.&lt;br&gt;• Appeal if denial applied incorrectly with documentation support.&lt;/td&gt;&lt;/tr&gt;</t>
  </si>
  <si>
    <t>&lt;tr data-carc="CO 16" data-type="co" data-rarc="MA122 — Missing/incomplete/invalid initial treatment date." data-denial="The claim was denied because the initial treatment date was missing, incomplete, invalid, or inconsistent with other claim information. The initial treatment date is required for certain services (such as therapy, chiropractic care). On the CMS-1500 claim form, the initial treatment date is typically reported in Box 14 — Date of Current Illness/Injury/Pregnancy (LMP) or Box 15 — Other Date, depending on payer requirements. On the UB-04 claim form, related clinical timeline dates may be reported through Form Locator (FL) 31–34 — Occurrence Codes and Dates when applicable." data-root="• Initial treatment date field left blank during claim creation.\n• Staff unaware of payer requirement for start-of-care reporting.\n• Mismatch between documentation and claim data.\n• Data entry or formatting errors.\n• System mapping or clearinghouse issues.\n• Incomplete clinical documentation capture."&gt;&lt;td&gt;&lt;div class="row-num"&gt;#154&lt;/div&gt;&lt;span class="carc-badge co"&gt;CO 16&lt;/span&gt;&lt;/td&gt;&lt;td&gt;&lt;span class="denial-reason"&gt;Invalid Initial Treatment Date&lt;/span&gt;&lt;/td&gt;&lt;td class="rarc-wrap"&gt;&lt;div class="rarc-id"&gt;MA122&lt;/div&gt;&lt;div class="rarc-desc"&gt;Missing/incomplete/invalid initial treatment date.&lt;/div&gt;&lt;/td&gt;&lt;td class="td-meaning"&gt;The claim was denied because the initial treatment date was missing, incomplete, invalid, or inconsistent with other claim information. The initial treatment date is required for certain services (such as therapy, chiropractic care). On the CMS-1500 claim form, the initial treatment date is typically reported in Box 14 — Date of Current Illness/Injury/Pregnancy (LMP) or Box 15 — Other Date, depending on payer requirements. On the UB-04 claim form, related clinical timeline dates may be reported through Form Locator (FL) 31–34 — Occurrence Codes and Dates when applicable.&lt;/td&gt;&lt;td&gt;&lt;div class="chip-row"&gt;&lt;span class="chip chip-green"&gt;Therapy services billed without start-of-care date → denied.&lt;/span&gt;&lt;span class="chip chip-green"&gt;Chiropractic treatment submitted without initial treatment date → rejection issued.&lt;/span&gt;&lt;span class="chip chip-green"&gt;Invalid or future initial treatment date entered → denial applied.&lt;/span&gt;&lt;span class="chip chip-green"&gt;Initial treatment date inconsistent with service dates → payer rejects claim.&lt;/span&gt;&lt;span class="chip chip-green"&gt;System transmission dropped initial treatment date → claim denied.&lt;/span&gt;&lt;/div&gt;&lt;/td&gt;&lt;td&gt;&lt;div class="chip-row"&gt;&lt;span class="chip chip-green"&gt;Initial treatment date field left blank during claim creation.&lt;/span&gt;&lt;span class="chip chip-green"&gt;Staff unaware of payer requirement for start-of-care reporting.&lt;/span&gt;&lt;span class="chip chip-green"&gt;Mismatch between documentation and claim data.&lt;/span&gt;&lt;span class="chip chip-green"&gt;Data entry or formatting errors.&lt;/span&gt;&lt;span class="chip chip-green"&gt;System mapping or clearinghouse issues.&lt;/span&gt;&lt;span class="chip chip-green"&gt;Incomplete clinical documentation capture.&lt;/span&gt;&lt;/div&gt;&lt;/td&gt;&lt;td class="td-res"&gt;• Review documentation to determine correct initial treatment date.&lt;br&gt;• Verify consistency with diagnosis and service dates.&lt;br&gt;• Correct claim with accurate date in appropriate field.&lt;br&gt;• Resubmit corrected claim.&lt;br&gt;• Attach supporting documentation if required by payer.&lt;br&gt;• Appeal if denial applied incorrectly with documentation support.&lt;/td&gt;&lt;/tr&gt;</t>
  </si>
  <si>
    <t>&lt;tr data-carc="CO 96" data-type="co" data-rarc="MA123 — Your center was not selected to participate in this study, therefore, we cannot pay for these services." data-denial="The claim was denied because the provider or facility was not selected or approved to participate in a specific study, demonstration project, or program under which the services were billed. CMS-1500 Box 33 — Billing Provider Information and Box 24J — Rendering Provider, and on the UB-04 Form Locator (FL) 1 — Billing Provider, FL 56 — NPI, and FL 76–79 — Attending/Other Provider Identifiers." data-root="• Provider not enrolled or approved for the study/program.\n• Misunderstanding of participation eligibility requirements.\n• Billing staff unaware of program restrictions.\n• Incorrect billing of research or demonstration-related services.\n• Credentialing/enrollment records not updated.\n• Lack of coordination between research administration and billing teams."&gt;&lt;td&gt;&lt;div class="row-num"&gt;#155&lt;/div&gt;&lt;span class="carc-badge co"&gt;CO 96&lt;/span&gt;&lt;/td&gt;&lt;td&gt;&lt;span class="denial-reason"&gt;Services Not Payable&lt;/span&gt;&lt;/td&gt;&lt;td class="rarc-wrap"&gt;&lt;div class="rarc-id"&gt;MA123&lt;/div&gt;&lt;div class="rarc-desc"&gt;Your center was not selected to participate in this study, therefore, we cannot pay for these services.&lt;/div&gt;&lt;/td&gt;&lt;td class="td-meaning"&gt;The claim was denied because the provider or facility was not selected or approved to participate in a specific study, demonstration project, or program under which the services were billed. CMS-1500 Box 33 — Billing Provider Information and Box 24J — Rendering Provider, and on the UB-04 Form Locator (FL) 1 — Billing Provider, FL 56 — NPI, and FL 76–79 — Attending/Other Provider Identifiers.&lt;/td&gt;&lt;td&gt;&lt;div class="chip-row"&gt;&lt;span class="chip chip-green"&gt;Provider bills service under a CMS demonstration project without being enrolled → denied.&lt;/span&gt;&lt;span class="chip chip-green"&gt;Clinical trial service billed by non-participating facility → rejection issued.&lt;/span&gt;&lt;span class="chip chip-green"&gt;Payment model requiring approved participation billed by unauthorized provider → denial applied.&lt;/span&gt;&lt;span class="chip chip-green"&gt;Research-related procedure submitted outside authorized study site → payer rejects claim.&lt;/span&gt;&lt;span class="chip chip-green"&gt;Provider assumes eligibility without confirming program enrollment → claim denied.&lt;/span&gt;&lt;/div&gt;&lt;/td&gt;&lt;td&gt;&lt;div class="chip-row"&gt;&lt;span class="chip chip-green"&gt;Provider not enrolled or approved for the study/program.&lt;/span&gt;&lt;span class="chip chip-green"&gt;Misunderstanding of participation eligibility requirements.&lt;/span&gt;&lt;span class="chip chip-green"&gt;Billing staff unaware of program restrictions.&lt;/span&gt;&lt;span class="chip chip-green"&gt;Incorrect billing of research or demonstration-related services.&lt;/span&gt;&lt;span class="chip chip-green"&gt;Credentialing/enrollment records not updated.&lt;/span&gt;&lt;span class="chip chip-green"&gt;Lack of coordination between research administration and billing teams.&lt;/span&gt;&lt;/div&gt;&lt;/td&gt;&lt;td class="td-res"&gt;• Verify whether the provider or facility is approved for the program/study.&lt;br&gt;• Confirm payer participation requirements and enrollment status.&lt;br&gt;• If eligible but not reflected → update enrollment records with payer.&lt;br&gt;• If not eligible → correct billing to standard coverage pathway if applicable.&lt;br&gt;• Resubmit corrected claim or appeal with participation documentation if appropriate.&lt;br&gt;• Coordinate with compliance or research administration team if needed.&lt;/td&gt;&lt;/tr&gt;</t>
  </si>
  <si>
    <t>&lt;tr data-carc="CO 96" data-type="co" data-rarc="MA126 — Pancreas transplant not covered unless kidney transplant performed." data-denial="The claim was denied because pancreas transplant services are not covered unless performed in conjunction with, or following, a qualifying kidney transplant according to payer coverage policy (commonly Medicare guidelines). CMS-1500 Box 21 — Diagnosis Codes and Box 24D — Procedure Codes, and on the UB-04 Form Locator (FL) 67–67Q — Diagnosis Codes and FL 44 — HCPCS/Rate/HIPPS Code, which are used to determine transplant coverage eligibility." data-root="• Coverage criteria for pancreas transplant not met.\n• Kidney transplant not performed or not documented.\n• Incorrect procedure coding or sequencing.\n• Missing medical necessity documentation.\n• Staff unfamiliar with transplant coverage policies.\n• Incomplete coordination between clinical and billing teams."&gt;&lt;td&gt;&lt;div class="row-num"&gt;#156&lt;/div&gt;&lt;span class="carc-badge co"&gt;CO 96&lt;/span&gt;&lt;/td&gt;&lt;td&gt;&lt;span class="denial-reason"&gt;Non Covered Charge&lt;/span&gt;&lt;/td&gt;&lt;td class="rarc-wrap"&gt;&lt;div class="rarc-id"&gt;MA126&lt;/div&gt;&lt;div class="rarc-desc"&gt;Pancreas transplant not covered unless kidney transplant performed.&lt;/div&gt;&lt;/td&gt;&lt;td class="td-meaning"&gt;The claim was denied because pancreas transplant services are not covered unless performed in conjunction with, or following, a qualifying kidney transplant according to payer coverage policy (commonly Medicare guidelines). CMS-1500 Box 21 — Diagnosis Codes and Box 24D — Procedure Codes, and on the UB-04 Form Locator (FL) 67–67Q — Diagnosis Codes and FL 44 — HCPCS/Rate/HIPPS Code, which are used to determine transplant coverage eligibility.&lt;/td&gt;&lt;td&gt;&lt;div class="chip-row"&gt;&lt;span class="chip chip-green"&gt;Pancreas transplant billed without kidney transplant procedure → denied.&lt;/span&gt;&lt;span class="chip chip-green"&gt;Standalone pancreas transplant submitted without qualifying medical criteria → rejection issued.&lt;/span&gt;&lt;span class="chip chip-green"&gt;Kidney transplant performed previously but not documented on claim → denial applied.&lt;/span&gt;&lt;span class="chip chip-green"&gt;Incorrect sequencing or coding of transplant procedures → payer rejects claim.&lt;/span&gt;&lt;span class="chip chip-green"&gt;Provider unaware of coverage limitation requirements → claim denied.&lt;/span&gt;&lt;/div&gt;&lt;/td&gt;&lt;td&gt;&lt;div class="chip-row"&gt;&lt;span class="chip chip-green"&gt;Coverage criteria for pancreas transplant not met.&lt;/span&gt;&lt;span class="chip chip-green"&gt;Kidney transplant not performed or not documented.&lt;/span&gt;&lt;span class="chip chip-green"&gt;Incorrect procedure coding or sequencing.&lt;/span&gt;&lt;span class="chip chip-green"&gt;Missing medical necessity documentation.&lt;/span&gt;&lt;span class="chip chip-green"&gt;Staff unfamiliar with transplant coverage policies.&lt;/span&gt;&lt;span class="chip chip-green"&gt;Incomplete coordination between clinical and billing teams.&lt;/span&gt;&lt;/div&gt;&lt;/td&gt;&lt;td class="td-res"&gt;• Verify whether kidney transplant was performed or qualifies under policy.&lt;br&gt;• Review medical records for transplant eligibility documentation.&lt;br&gt;• Correct coding or sequencing if kidney transplant information was omitted.&lt;br&gt;• Resubmit claim with supporting documentation if coverage criteria are met.&lt;br&gt;• If criteria not met → adjust claim and follow non-covered service billing rules.&lt;br&gt;• Appeal if denial applied incorrectly with clinical documentation.&lt;/td&gt;&lt;/tr&gt;</t>
  </si>
  <si>
    <t>&lt;tr data-carc="CO 16" data-type="co" data-rarc="MA128 — Missing/incomplete/invalid FDA approval number." data-denial="The claim was denied because the required FDA approval number (such as Premarket Approval (PMA), Investigational Device Exemption (IDE), or other FDA authorization reference) was missing, incomplete, invalid, or not recognized. On the CMS-1500 claim form, FDA approval or IDE information is typically reported in Box 19 — Additional Claim Information, On the UB-04 claim form, investigational device or FDA-related identifiers are commonly reported in Form Locator (FL) 19 — Statement Covers Period, FL 80 — Remarks, and when applicable FL 39–41 — Value Codes, depending on payer instructions and clinical trial billing requirements." data-root="• FDA/IDE number not entered during claim creation.\n• Staff unaware of investigational device reporting requirements.\n• Incorrect or expired approval reference used.\n• Mismatch between clinical trial documentation and claim data.\n• System mapping or clearinghouse errors.\n• Incomplete coordination between research and billing departments."&gt;&lt;td&gt;&lt;div class="row-num"&gt;#157&lt;/div&gt;&lt;span class="carc-badge co"&gt;CO 16&lt;/span&gt;&lt;/td&gt;&lt;td&gt;&lt;span class="denial-reason"&gt;Invalid FDA Approval Number&lt;/span&gt;&lt;/td&gt;&lt;td class="rarc-wrap"&gt;&lt;div class="rarc-id"&gt;MA128&lt;/div&gt;&lt;div class="rarc-desc"&gt;Missing/incomplete/invalid FDA approval number.&lt;/div&gt;&lt;/td&gt;&lt;td class="td-meaning"&gt;The claim was denied because the required FDA approval number (such as Premarket Approval (PMA), Investigational Device Exemption (IDE), or other FDA authorization reference) was missing, incomplete, invalid, or not recognized. On the CMS-1500 claim form, FDA approval or IDE information is typically reported in Box 19 — Additional Claim Information, On the UB-04 claim form, investigational device or FDA-related identifiers are commonly reported in Form Locator (FL) 19 — Statement Covers Period, FL 80 — Remarks, and when applicable FL 39–41 — Value Codes, depending on payer instructions and clinical trial billing requirements.&lt;/td&gt;&lt;td&gt;&lt;div class="chip-row"&gt;&lt;span class="chip chip-green"&gt;Investigational device billed without IDE number → denied.&lt;/span&gt;&lt;span class="chip chip-green"&gt;Clinical trial service submitted without FDA approval reference → rejection issued.&lt;/span&gt;&lt;span class="chip chip-green"&gt;Expired or incorrect FDA approval number entered → denial applied.&lt;/span&gt;&lt;span class="chip chip-green"&gt;Device-related procedure billed without regulatory documentation → payer rejects claim.&lt;/span&gt;&lt;span class="chip chip-green"&gt;System transmission dropped FDA approval data → claim denied.&lt;/span&gt;&lt;/div&gt;&lt;/td&gt;&lt;td&gt;&lt;div class="chip-row"&gt;&lt;span class="chip chip-green"&gt;FDA/IDE number not entered during claim creation.&lt;/span&gt;&lt;span class="chip chip-green"&gt;Staff unaware of investigational device reporting requirements.&lt;/span&gt;&lt;span class="chip chip-green"&gt;Incorrect or expired approval reference used.&lt;/span&gt;&lt;span class="chip chip-green"&gt;Mismatch between clinical trial documentation and claim data.&lt;/span&gt;&lt;span class="chip chip-green"&gt;System mapping or clearinghouse errors.&lt;/span&gt;&lt;span class="chip chip-green"&gt;Incomplete coordination between research and billing departments.&lt;/span&gt;&lt;/div&gt;&lt;/td&gt;&lt;td class="td-res"&gt;• Verify correct FDA approval or IDE number from clinical documentation.&lt;br&gt;• Confirm approval validity for date of service.&lt;br&gt;• Update claim with accurate FDA approval information in appropriate field.&lt;br&gt;• Attach supporting documentation if required by payer.&lt;br&gt;• Resubmit corrected claim.&lt;br&gt;• Appeal if denial applied incorrectly with regulatory documentation.&lt;/td&gt;&lt;/tr&gt;</t>
  </si>
  <si>
    <t>&lt;tr data-carc="CO 18" data-type="co" data-rarc="MA131 — Physician already paid for services in conjunction with this demonstration claim. You must have the physician withdraw that claim and refund the payment before we can process your claim." data-denial="The claim was denied because the physician has already received payment for the services under a demonstration project or special payment model, and duplicate payment cannot be made. Provider and service details are reflected on the CMS-1500 Box 24D — Procedure Code, Box 24J — Rendering Provider, and Box 33 — Billing Provider Information, and on the UB-04 Form Locator (FL) 44 — HCPCS/Rate/HIPPS Code, FL 76–79 — Provider Identifiers, and FL 1 — Billing Provider, which are used to identify the previously paid service." data-root="• Service already reimbursed under demonstration or bundled model.\n• Lack of coordination between physician and facility billing.\n• Duplicate billing outside program structure.\n• Staff unaware of payment model participation.\n• Enrollment in demonstration project not reflected in billing workflow.\n• Misunderstanding of bundled vs fee-for-service rules."&gt;&lt;td&gt;&lt;div class="row-num"&gt;#158&lt;/div&gt;&lt;span class="carc-badge co"&gt;CO 18&lt;/span&gt;&lt;/td&gt;&lt;td&gt;&lt;span class="denial-reason"&gt;Physician Already Paid Under Demonstration Project&lt;/span&gt;&lt;/td&gt;&lt;td class="rarc-wrap"&gt;&lt;div class="rarc-id"&gt;MA131&lt;/div&gt;&lt;div class="rarc-desc"&gt;Physician already paid for services in conjunction with this demonstration claim. You must have the physician withdraw that claim and refund the payment before we can process your claim.&lt;/div&gt;&lt;/td&gt;&lt;td class="td-meaning"&gt;The claim was denied because the physician has already received payment for the services under a demonstration project or special payment model, and duplicate payment cannot be made. Provider and service details are reflected on the CMS-1500 Box 24D — Procedure Code, Box 24J — Rendering Provider, and Box 33 — Billing Provider Information, and on the UB-04 Form Locator (FL) 44 — HCPCS/Rate/HIPPS Code, FL 76–79 — Provider Identifiers, and FL 1 — Billing Provider, which are used to identify the previously paid service.&lt;/td&gt;&lt;td&gt;&lt;div class="chip-row"&gt;&lt;span class="chip chip-green"&gt;Physician billed under a demonstration model and received payment → facility later bills same service → denied.&lt;/span&gt;&lt;span class="chip chip-green"&gt;Duplicate claim submitted outside bundled payment structure → rejection issued.&lt;/span&gt;&lt;span class="chip chip-green"&gt;Service included in demonstration payment bundle but billed separately → denial applied.&lt;/span&gt;&lt;span class="chip chip-green"&gt;Alternative payment model covers service but separate FFS claim submitted → payer rejects claim.&lt;/span&gt;&lt;span class="chip chip-green"&gt;Payment posted under physician NPI, but group attempts rebilling → claim denied.&lt;/span&gt;&lt;/div&gt;&lt;/td&gt;&lt;td&gt;&lt;div class="chip-row"&gt;&lt;span class="chip chip-green"&gt;Service already reimbursed under demonstration or bundled model.&lt;/span&gt;&lt;span class="chip chip-green"&gt;Lack of coordination between physician and facility billing.&lt;/span&gt;&lt;span class="chip chip-green"&gt;Duplicate billing outside program structure.&lt;/span&gt;&lt;span class="chip chip-green"&gt;Staff unaware of payment model participation.&lt;/span&gt;&lt;span class="chip chip-green"&gt;Enrollment in demonstration project not reflected in billing workflow.&lt;/span&gt;&lt;span class="chip chip-green"&gt;Misunderstanding of bundled vs fee-for-service rules.&lt;/span&gt;&lt;/div&gt;&lt;/td&gt;&lt;td class="td-res"&gt;• Verify whether service was paid under a demonstration or bundled model.&lt;br&gt;• Coordinate with physician to confirm payment status.&lt;br&gt;• If duplicate → physician must withdraw prior claim and refund payment.&lt;br&gt;• Once refund processed, resubmit claim if appropriate.&lt;br&gt;• Review program participation and billing eligibility rules.&lt;br&gt;• Appeal only if payment was not actually issued under the demonstration model.&lt;/td&gt;&lt;/tr&gt;</t>
  </si>
  <si>
    <t>&lt;tr data-carc="CO 97" data-type="co" data-rarc="MA133 — Claim overlaps inpatient stay. Rebill only those services rendered outside the inpatient stay." data-denial="The claim was denied because the dates of service overlap with a patient’s inpatient hospital stay. Services furnished during an inpatient admission are typically included in the inpatient facility payment (bundled under DRG or facility reimbursement rules) and cannot be billed separately by other providers unless specifically allowed (e.g., certain professional services). Providers must rebill only the services that were rendered outside the inpatient admission period. UB-04 Form Locator (FL) 12 — Admission Date and FL 17 — Discharge Date, along with service dates in FL 45. On the CMS-1500 claim form, service dates are reported in Box 24A — Date(s) of Service," data-root="• Incorrect service dates entered on claim.\n• Lack of awareness of patient inpatient admission period.\n• Billing outpatient services that are bundled into inpatient payment.\n• System not flagging inpatient overlap conflicts.\n• Poor coordination between facility and professional billing teams.\n• Eligibility verification not reviewed before billing."&gt;&lt;td&gt;&lt;div class="row-num"&gt;#159&lt;/div&gt;&lt;span class="carc-badge co"&gt;CO 97&lt;/span&gt;&lt;/td&gt;&lt;td&gt;&lt;span class="denial-reason"&gt;Claim Overlaps Inpatient Stay&lt;/span&gt;&lt;/td&gt;&lt;td class="rarc-wrap"&gt;&lt;div class="rarc-id"&gt;MA133&lt;/div&gt;&lt;div class="rarc-desc"&gt;Claim overlaps inpatient stay. Rebill only those services rendered outside the inpatient stay.&lt;/div&gt;&lt;/td&gt;&lt;td class="td-meaning"&gt;The claim was denied because the dates of service overlap with a patient’s inpatient hospital stay. Services furnished during an inpatient admission are typically included in the inpatient facility payment (bundled under DRG or facility reimbursement rules) and cannot be billed separately by other providers unless specifically allowed (e.g., certain professional services). Providers must rebill only the services that were rendered outside the inpatient admission period. UB-04 Form Locator (FL) 12 — Admission Date and FL 17 — Discharge Date, along with service dates in FL 45. On the CMS-1500 claim form, service dates are reported in Box 24A — Date(s) of Service,&lt;/td&gt;&lt;td&gt;&lt;div class="chip-row"&gt;&lt;span class="chip chip-green"&gt;Outpatient services billed during hospital admission dates → denied.&lt;/span&gt;&lt;span class="chip chip-green"&gt;DME or therapy billed while patient admitted inpatient → rejection issued.&lt;/span&gt;&lt;span class="chip chip-green"&gt;Professional services incorrectly billed as outpatient during inpatient stay → denial applied.&lt;/span&gt;&lt;span class="chip chip-green"&gt;Facility services submitted overlapping admission period → payer rejects claim.&lt;/span&gt;&lt;span class="chip chip-green"&gt;Incorrect discharge date caused overlap with outpatient claim → claim denied.&lt;/span&gt;&lt;/div&gt;&lt;/td&gt;&lt;td&gt;&lt;div class="chip-row"&gt;&lt;span class="chip chip-green"&gt;Incorrect service dates entered on claim.&lt;/span&gt;&lt;span class="chip chip-green"&gt;Lack of awareness of patient inpatient admission period.&lt;/span&gt;&lt;span class="chip chip-green"&gt;Billing outpatient services that are bundled into inpatient payment.&lt;/span&gt;&lt;span class="chip chip-green"&gt;System not flagging inpatient overlap conflicts.&lt;/span&gt;&lt;span class="chip chip-green"&gt;Poor coordination between facility and professional billing teams.&lt;/span&gt;&lt;span class="chip chip-green"&gt;Eligibility verification not reviewed before billing.&lt;/span&gt;&lt;/div&gt;&lt;/td&gt;&lt;td class="td-res"&gt;• Verify inpatient admission and discharge dates from payer or facility records.&lt;br&gt;• Identify which services occurred outside inpatient stay.&lt;br&gt;• Correct claim dates or remove overlapping services.&lt;br&gt;• Rebill only eligible non-overlapping services.&lt;br&gt;• Appeal if services were truly separate and allowed with documentation.&lt;br&gt;• Coordinate with facility if billing responsibility is unclear.&lt;/td&gt;&lt;/tr&gt;</t>
  </si>
  <si>
    <t>&lt;tr data-carc="CO 16" data-type="co" data-rarc="MA134 — Missing/incomplete/invalid provider number of the facility where the patient resides." data-denial="The claim was denied because the provider number (such as Medicare provider number, CCN, or facility identifier) for the facility where the patient resides (e.g., nursing facility, SNF, assisted living, or custodial care setting) was missing, incomplete, invalid, or not recognized. On the CMS-1500 claim form, the facility where services were rendered or where the patient resides may be reported in Box 32 — Service Facility Location Information, along with Box 24B — Place of Service (POS) when applicable. On the UB-04 claim form, facility identification is reflected through Form Locator (FL) 1 — Provider Name, Address, Telephone, FL 56 — National Provider Identifier (NPI)," data-root="• Facility provider number not entered during claim creation.\n• Incorrect or outdated facility identifier used.\n• Staff unaware of residence-based billing requirements.\n• Enrollment mismatch between facility and payer records.\n• System mapping or clearinghouse errors.\n• Incomplete documentation of patient residence status."&gt;&lt;td&gt;&lt;div class="row-num"&gt;#160&lt;/div&gt;&lt;span class="carc-badge co"&gt;CO 16&lt;/span&gt;&lt;/td&gt;&lt;td&gt;&lt;span class="denial-reason"&gt;Invalid Provider Number&lt;/span&gt;&lt;/td&gt;&lt;td class="rarc-wrap"&gt;&lt;div class="rarc-id"&gt;MA134&lt;/div&gt;&lt;div class="rarc-desc"&gt;Missing/incomplete/invalid provider number of the facility where the patient resides.&lt;/div&gt;&lt;/td&gt;&lt;td class="td-meaning"&gt;The claim was denied because the provider number (such as Medicare provider number, CCN, or facility identifier) for the facility where the patient resides (e.g., nursing facility, SNF, assisted living, or custodial care setting) was missing, incomplete, invalid, or not recognized. On the CMS-1500 claim form, the facility where services were rendered or where the patient resides may be reported in Box 32 — Service Facility Location Information, along with Box 24B — Place of Service (POS) when applicable. On the UB-04 claim form, facility identification is reflected through Form Locator (FL) 1 — Provider Name, Address, Telephone, FL 56 — National Provider Identifier (NPI),&lt;/td&gt;&lt;td&gt;&lt;div class="chip-row"&gt;&lt;span class="chip chip-green"&gt;Services billed for nursing home resident without facility provider number → denied.&lt;/span&gt;&lt;span class="chip chip-green"&gt;Incorrect SNF CCN submitted → rejection issued.&lt;/span&gt;&lt;span class="chip chip-green"&gt;POS indicates nursing facility but facility identifier missing → denial applied.&lt;/span&gt;&lt;span class="chip chip-green"&gt;Provider number not linked to payer enrollment records → payer rejects claim.&lt;/span&gt;&lt;span class="chip chip-green"&gt;System transmission dropped facility identifier → claim denied.&lt;/span&gt;&lt;/div&gt;&lt;/td&gt;&lt;td&gt;&lt;div class="chip-row"&gt;&lt;span class="chip chip-green"&gt;Facility provider number not entered during claim creation.&lt;/span&gt;&lt;span class="chip chip-green"&gt;Incorrect or outdated facility identifier used.&lt;/span&gt;&lt;span class="chip chip-green"&gt;Staff unaware of residence-based billing requirements.&lt;/span&gt;&lt;span class="chip chip-green"&gt;Enrollment mismatch between facility and payer records.&lt;/span&gt;&lt;span class="chip chip-green"&gt;System mapping or clearinghouse errors.&lt;/span&gt;&lt;span class="chip chip-green"&gt;Incomplete documentation of patient residence status.&lt;/span&gt;&lt;/div&gt;&lt;/td&gt;&lt;td class="td-res"&gt;• Verify facility where patient resides and obtain correct provider number/CCN.&lt;br&gt;• Confirm facility enrollment information with payer.&lt;br&gt;• Correct claim with accurate facility identifier and POS.&lt;br&gt;• Resubmit corrected claim.&lt;br&gt;• Coordinate with facility administration if provider number is unknown.&lt;br&gt;• Appeal if denial applied incorrectly with supporting documentation.&lt;/td&gt;&lt;/tr&gt;</t>
  </si>
  <si>
    <t>&lt;tr data-carc="" data-type="" data-rarc="MA14 — Alert: The patient is a member of an employer-sponsored prepaid health plan. Services from outside that health plan are not covered. However, as you were not previously notified of this, we are paying this time. In the future, we will not pay you for non-plan services." data-denial="" data-root=""&gt;&lt;td&gt;&lt;div class="row-num"&gt;#161&lt;/div&gt;&lt;span class="carc-badge "&gt;&lt;/span&gt;&lt;/td&gt;&lt;td&gt;&lt;span class="denial-reason"&gt;&lt;/span&gt;&lt;/td&gt;&lt;td class="rarc-wrap"&gt;&lt;div class="rarc-id"&gt;MA14&lt;/div&gt;&lt;div class="rarc-desc"&gt;Alert: The patient is a member of an employer-sponsored prepaid health plan. Services from outside that health plan are not covered. However, as you were not previously notified of this, we are paying this time. In the future, we will not pay you for non-plan services.&lt;/div&gt;&lt;/td&gt;&lt;td class="td-meaning"&gt;&lt;/td&gt;&lt;td&gt;&lt;div class="chip-row"&gt;&lt;/div&gt;&lt;/td&gt;&lt;td&gt;&lt;div class="chip-row"&gt;&lt;/div&gt;&lt;/td&gt;&lt;td class="td-res"&gt;&lt;/td&gt;&lt;/tr&gt;</t>
  </si>
  <si>
    <t>&lt;tr data-carc="" data-type="" data-rarc="MA16 — The patient is covered by the Black Lung Program. Send this claim to the Department of Labor, Federal Black Lung Program, P.O. Box 828, Lanham-Seabrook MD 20703." data-denial="" data-root=""&gt;&lt;td&gt;&lt;div class="row-num"&gt;#163&lt;/div&gt;&lt;span class="carc-badge "&gt;&lt;/span&gt;&lt;/td&gt;&lt;td&gt;&lt;span class="denial-reason"&gt;&lt;/span&gt;&lt;/td&gt;&lt;td class="rarc-wrap"&gt;&lt;div class="rarc-id"&gt;MA16&lt;/div&gt;&lt;div class="rarc-desc"&gt;The patient is covered by the Black Lung Program. Send this claim to the Department of Labor, Federal Black Lung Program, P.O. Box 828, Lanham-Seabrook MD 20703.&lt;/div&gt;&lt;/td&gt;&lt;td class="td-meaning"&gt;&lt;/td&gt;&lt;td&gt;&lt;div class="chip-row"&gt;&lt;/div&gt;&lt;/td&gt;&lt;td&gt;&lt;div class="chip-row"&gt;&lt;/div&gt;&lt;/td&gt;&lt;td class="td-res"&gt;&lt;/td&gt;&lt;/tr&gt;</t>
  </si>
  <si>
    <t>&lt;tr data-carc="" data-type="" data-rarc="MA17 — We are the primary payer and have paid at the primary rate. You must contact the patient's other insurer to refund any excess it may have paid due to its erroneous primary payment." data-denial="" data-root=""&gt;&lt;td&gt;&lt;div class="row-num"&gt;#164&lt;/div&gt;&lt;span class="carc-badge "&gt;&lt;/span&gt;&lt;/td&gt;&lt;td&gt;&lt;span class="denial-reason"&gt;&lt;/span&gt;&lt;/td&gt;&lt;td class="rarc-wrap"&gt;&lt;div class="rarc-id"&gt;MA17&lt;/div&gt;&lt;div class="rarc-desc"&gt;We are the primary payer and have paid at the primary rate. You must contact the patient's other insurer to refund any excess it may have paid due to its erroneous primary payment.&lt;/div&gt;&lt;/td&gt;&lt;td class="td-meaning"&gt;&lt;/td&gt;&lt;td&gt;&lt;div class="chip-row"&gt;&lt;/div&gt;&lt;/td&gt;&lt;td&gt;&lt;div class="chip-row"&gt;&lt;/div&gt;&lt;/td&gt;&lt;td class="td-res"&gt;&lt;/td&gt;&lt;/tr&gt;</t>
  </si>
  <si>
    <t>&lt;tr data-carc="" data-type="" data-rarc="MA18 — Alert: The claim information is also being forwarded to the patient's supplemental insurer. Send any questions regarding supplemental benefits to them." data-denial="" data-root=""&gt;&lt;td&gt;&lt;div class="row-num"&gt;#165&lt;/div&gt;&lt;span class="carc-badge "&gt;&lt;/span&gt;&lt;/td&gt;&lt;td&gt;&lt;span class="denial-reason"&gt;&lt;/span&gt;&lt;/td&gt;&lt;td class="rarc-wrap"&gt;&lt;div class="rarc-id"&gt;MA18&lt;/div&gt;&lt;div class="rarc-desc"&gt;Alert: The claim information is also being forwarded to the patient's supplemental insurer. Send any questions regarding supplemental benefits to them.&lt;/div&gt;&lt;/td&gt;&lt;td class="td-meaning"&gt;&lt;/td&gt;&lt;td&gt;&lt;div class="chip-row"&gt;&lt;/div&gt;&lt;/td&gt;&lt;td&gt;&lt;div class="chip-row"&gt;&lt;/div&gt;&lt;/td&gt;&lt;td class="td-res"&gt;&lt;/td&gt;&lt;/tr&gt;</t>
  </si>
  <si>
    <t>&lt;tr data-carc="" data-type="" data-rarc="MA19 — Alert: Information was not sent to the Medigap insurer due to incorrect/invalid information you submitted concerning that insurer. Please verify your information and submit your secondary claim directly to that insurer." data-denial="" data-root=""&gt;&lt;td&gt;&lt;div class="row-num"&gt;#166&lt;/div&gt;&lt;span class="carc-badge "&gt;&lt;/span&gt;&lt;/td&gt;&lt;td&gt;&lt;span class="denial-reason"&gt;&lt;/span&gt;&lt;/td&gt;&lt;td class="rarc-wrap"&gt;&lt;div class="rarc-id"&gt;MA19&lt;/div&gt;&lt;div class="rarc-desc"&gt;Alert: Information was not sent to the Medigap insurer due to incorrect/invalid information you submitted concerning that insurer. Please verify your information and submit your secondary claim directly to that insurer.&lt;/div&gt;&lt;/td&gt;&lt;td class="td-meaning"&gt;&lt;/td&gt;&lt;td&gt;&lt;div class="chip-row"&gt;&lt;/div&gt;&lt;/td&gt;&lt;td&gt;&lt;div class="chip-row"&gt;&lt;/div&gt;&lt;/td&gt;&lt;td class="td-res"&gt;&lt;/td&gt;&lt;/tr&gt;</t>
  </si>
  <si>
    <t>&lt;tr data-carc="" data-type="" data-rarc="MA20 — Skilled Nursing Facility (SNF) stay not covered when care is primarily related to the use of an urethral catheter for convenience or the control of incontinence." data-denial="" data-root=""&gt;&lt;td&gt;&lt;div class="row-num"&gt;#167&lt;/div&gt;&lt;span class="carc-badge "&gt;&lt;/span&gt;&lt;/td&gt;&lt;td&gt;&lt;span class="denial-reason"&gt;&lt;/span&gt;&lt;/td&gt;&lt;td class="rarc-wrap"&gt;&lt;div class="rarc-id"&gt;MA20&lt;/div&gt;&lt;div class="rarc-desc"&gt;Skilled Nursing Facility (SNF) stay not covered when care is primarily related to the use of an urethral catheter for convenience or the control of incontinence.&lt;/div&gt;&lt;/td&gt;&lt;td class="td-meaning"&gt;&lt;/td&gt;&lt;td&gt;&lt;div class="chip-row"&gt;&lt;/div&gt;&lt;/td&gt;&lt;td&gt;&lt;div class="chip-row"&gt;&lt;/div&gt;&lt;/td&gt;&lt;td class="td-res"&gt;&lt;/td&gt;&lt;/tr&gt;</t>
  </si>
  <si>
    <t>&lt;tr data-carc="" data-type="" data-rarc="MA21 — SSA records indicate mismatch with name and sex." data-denial="" data-root=""&gt;&lt;td&gt;&lt;div class="row-num"&gt;#168&lt;/div&gt;&lt;span class="carc-badge "&gt;&lt;/span&gt;&lt;/td&gt;&lt;td&gt;&lt;span class="denial-reason"&gt;&lt;/span&gt;&lt;/td&gt;&lt;td class="rarc-wrap"&gt;&lt;div class="rarc-id"&gt;MA21&lt;/div&gt;&lt;div class="rarc-desc"&gt;SSA records indicate mismatch with name and sex.&lt;/div&gt;&lt;/td&gt;&lt;td class="td-meaning"&gt;&lt;/td&gt;&lt;td&gt;&lt;div class="chip-row"&gt;&lt;/div&gt;&lt;/td&gt;&lt;td&gt;&lt;div class="chip-row"&gt;&lt;/div&gt;&lt;/td&gt;&lt;td class="td-res"&gt;&lt;/td&gt;&lt;/tr&gt;</t>
  </si>
  <si>
    <t>&lt;tr data-carc="" data-type="" data-rarc="MA24 — Christian Science Sanitarium/ Skilled Nursing Facility (SNF) bill in the same benefit period." data-denial="" data-root=""&gt;&lt;td&gt;&lt;div class="row-num"&gt;#171&lt;/div&gt;&lt;span class="carc-badge "&gt;&lt;/span&gt;&lt;/td&gt;&lt;td&gt;&lt;span class="denial-reason"&gt;&lt;/span&gt;&lt;/td&gt;&lt;td class="rarc-wrap"&gt;&lt;div class="rarc-id"&gt;MA24&lt;/div&gt;&lt;div class="rarc-desc"&gt;Christian Science Sanitarium/ Skilled Nursing Facility (SNF) bill in the same benefit period.&lt;/div&gt;&lt;/td&gt;&lt;td class="td-meaning"&gt;&lt;/td&gt;&lt;td&gt;&lt;div class="chip-row"&gt;&lt;/div&gt;&lt;/td&gt;&lt;td&gt;&lt;div class="chip-row"&gt;&lt;/div&gt;&lt;/td&gt;&lt;td class="td-res"&gt;&lt;/td&gt;&lt;/tr&gt;</t>
  </si>
  <si>
    <t>&lt;tr data-carc="" data-type="" data-rarc="MA25 — A patient may not elect to change a hospice provider more than once in a benefit period." data-denial="" data-root=""&gt;&lt;td&gt;&lt;div class="row-num"&gt;#172&lt;/div&gt;&lt;span class="carc-badge "&gt;&lt;/span&gt;&lt;/td&gt;&lt;td&gt;&lt;span class="denial-reason"&gt;&lt;/span&gt;&lt;/td&gt;&lt;td class="rarc-wrap"&gt;&lt;div class="rarc-id"&gt;MA25&lt;/div&gt;&lt;div class="rarc-desc"&gt;A patient may not elect to change a hospice provider more than once in a benefit period.&lt;/div&gt;&lt;/td&gt;&lt;td class="td-meaning"&gt;&lt;/td&gt;&lt;td&gt;&lt;div class="chip-row"&gt;&lt;/div&gt;&lt;/td&gt;&lt;td&gt;&lt;div class="chip-row"&gt;&lt;/div&gt;&lt;/td&gt;&lt;td class="td-res"&gt;&lt;/td&gt;&lt;/tr&gt;</t>
  </si>
  <si>
    <t>&lt;tr data-carc="" data-type="" data-rarc="MA27 — Missing/incomplete/invalid entitlement number or name shown on the claim." data-denial="" data-root=""&gt;&lt;td&gt;&lt;div class="row-num"&gt;#174&lt;/div&gt;&lt;span class="carc-badge "&gt;&lt;/span&gt;&lt;/td&gt;&lt;td&gt;&lt;span class="denial-reason"&gt;&lt;/span&gt;&lt;/td&gt;&lt;td class="rarc-wrap"&gt;&lt;div class="rarc-id"&gt;MA27&lt;/div&gt;&lt;div class="rarc-desc"&gt;Missing/incomplete/invalid entitlement number or name shown on the claim.&lt;/div&gt;&lt;/td&gt;&lt;td class="td-meaning"&gt;&lt;/td&gt;&lt;td&gt;&lt;div class="chip-row"&gt;&lt;/div&gt;&lt;/td&gt;&lt;td&gt;&lt;div class="chip-row"&gt;&lt;/div&gt;&lt;/td&gt;&lt;td class="td-res"&gt;&lt;/td&gt;&lt;/tr&gt;</t>
  </si>
  <si>
    <t>&lt;tr data-carc="" data-type="" data-rarc="MA31 — Missing/incomplete/invalid beginning and ending dates of the period billed." data-denial="" data-root=""&gt;&lt;td&gt;&lt;div class="row-num"&gt;#176&lt;/div&gt;&lt;span class="carc-badge "&gt;&lt;/span&gt;&lt;/td&gt;&lt;td&gt;&lt;span class="denial-reason"&gt;&lt;/span&gt;&lt;/td&gt;&lt;td class="rarc-wrap"&gt;&lt;div class="rarc-id"&gt;MA31&lt;/div&gt;&lt;div class="rarc-desc"&gt;Missing/incomplete/invalid beginning and ending dates of the period billed.&lt;/div&gt;&lt;/td&gt;&lt;td class="td-meaning"&gt;&lt;/td&gt;&lt;td&gt;&lt;div class="chip-row"&gt;&lt;/div&gt;&lt;/td&gt;&lt;td&gt;&lt;div class="chip-row"&gt;&lt;/div&gt;&lt;/td&gt;&lt;td class="td-res"&gt;&lt;/td&gt;&lt;/tr&gt;</t>
  </si>
  <si>
    <t>&lt;tr data-carc="" data-type="" data-rarc="MA32 — Missing/incomplete/invalid number of covered days during the billing period." data-denial="" data-root=""&gt;&lt;td&gt;&lt;div class="row-num"&gt;#177&lt;/div&gt;&lt;span class="carc-badge "&gt;&lt;/span&gt;&lt;/td&gt;&lt;td&gt;&lt;span class="denial-reason"&gt;&lt;/span&gt;&lt;/td&gt;&lt;td class="rarc-wrap"&gt;&lt;div class="rarc-id"&gt;MA32&lt;/div&gt;&lt;div class="rarc-desc"&gt;Missing/incomplete/invalid number of covered days during the billing period.&lt;/div&gt;&lt;/td&gt;&lt;td class="td-meaning"&gt;&lt;/td&gt;&lt;td&gt;&lt;div class="chip-row"&gt;&lt;/div&gt;&lt;/td&gt;&lt;td&gt;&lt;div class="chip-row"&gt;&lt;/div&gt;&lt;/td&gt;&lt;td class="td-res"&gt;&lt;/td&gt;&lt;/tr&gt;</t>
  </si>
  <si>
    <t>&lt;tr data-carc="" data-type="" data-rarc="MA35 — Missing/incomplete/invalid number of lifetime reserve days." data-denial="" data-root=""&gt;&lt;td&gt;&lt;div class="row-num"&gt;#180&lt;/div&gt;&lt;span class="carc-badge "&gt;&lt;/span&gt;&lt;/td&gt;&lt;td&gt;&lt;span class="denial-reason"&gt;&lt;/span&gt;&lt;/td&gt;&lt;td class="rarc-wrap"&gt;&lt;div class="rarc-id"&gt;MA35&lt;/div&gt;&lt;div class="rarc-desc"&gt;Missing/incomplete/invalid number of lifetime reserve days.&lt;/div&gt;&lt;/td&gt;&lt;td class="td-meaning"&gt;&lt;/td&gt;&lt;td&gt;&lt;div class="chip-row"&gt;&lt;/div&gt;&lt;/td&gt;&lt;td&gt;&lt;div class="chip-row"&gt;&lt;/div&gt;&lt;/td&gt;&lt;td class="td-res"&gt;&lt;/td&gt;&lt;/tr&gt;</t>
  </si>
  <si>
    <t>&lt;tr data-carc="" data-type="" data-rarc="MA36 — Missing/incomplete/invalid patient name." data-denial="" data-root=""&gt;&lt;td&gt;&lt;div class="row-num"&gt;#181&lt;/div&gt;&lt;span class="carc-badge "&gt;&lt;/span&gt;&lt;/td&gt;&lt;td&gt;&lt;span class="denial-reason"&gt;&lt;/span&gt;&lt;/td&gt;&lt;td class="rarc-wrap"&gt;&lt;div class="rarc-id"&gt;MA36&lt;/div&gt;&lt;div class="rarc-desc"&gt;Missing/incomplete/invalid patient name.&lt;/div&gt;&lt;/td&gt;&lt;td class="td-meaning"&gt;&lt;/td&gt;&lt;td&gt;&lt;div class="chip-row"&gt;&lt;/div&gt;&lt;/td&gt;&lt;td&gt;&lt;div class="chip-row"&gt;&lt;/div&gt;&lt;/td&gt;&lt;td class="td-res"&gt;&lt;/td&gt;&lt;/tr&gt;</t>
  </si>
  <si>
    <t>&lt;tr data-carc="" data-type="" data-rarc="MA37 — Missing/incomplete/invalid patient's address." data-denial="" data-root=""&gt;&lt;td&gt;&lt;div class="row-num"&gt;#182&lt;/div&gt;&lt;span class="carc-badge "&gt;&lt;/span&gt;&lt;/td&gt;&lt;td&gt;&lt;span class="denial-reason"&gt;&lt;/span&gt;&lt;/td&gt;&lt;td class="rarc-wrap"&gt;&lt;div class="rarc-id"&gt;MA37&lt;/div&gt;&lt;div class="rarc-desc"&gt;Missing/incomplete/invalid patient's address.&lt;/div&gt;&lt;/td&gt;&lt;td class="td-meaning"&gt;&lt;/td&gt;&lt;td&gt;&lt;div class="chip-row"&gt;&lt;/div&gt;&lt;/td&gt;&lt;td&gt;&lt;div class="chip-row"&gt;&lt;/div&gt;&lt;/td&gt;&lt;td class="td-res"&gt;&lt;/td&gt;&lt;/tr&gt;</t>
  </si>
  <si>
    <t>&lt;tr data-carc="" data-type="" data-rarc="MA39 — Missing/incomplete/invalid gender." data-denial="" data-root=""&gt;&lt;td&gt;&lt;div class="row-num"&gt;#183&lt;/div&gt;&lt;span class="carc-badge "&gt;&lt;/span&gt;&lt;/td&gt;&lt;td&gt;&lt;span class="denial-reason"&gt;&lt;/span&gt;&lt;/td&gt;&lt;td class="rarc-wrap"&gt;&lt;div class="rarc-id"&gt;MA39&lt;/div&gt;&lt;div class="rarc-desc"&gt;Missing/incomplete/invalid gender.&lt;/div&gt;&lt;/td&gt;&lt;td class="td-meaning"&gt;&lt;/td&gt;&lt;td&gt;&lt;div class="chip-row"&gt;&lt;/div&gt;&lt;/td&gt;&lt;td&gt;&lt;div class="chip-row"&gt;&lt;/div&gt;&lt;/td&gt;&lt;td class="td-res"&gt;&lt;/td&gt;&lt;/tr&gt;</t>
  </si>
  <si>
    <t>&lt;tr data-carc="" data-type="" data-rarc="MA40 — Missing/incomplete/invalid admission date." data-denial="" data-root=""&gt;&lt;td&gt;&lt;div class="row-num"&gt;#184&lt;/div&gt;&lt;span class="carc-badge "&gt;&lt;/span&gt;&lt;/td&gt;&lt;td&gt;&lt;span class="denial-reason"&gt;&lt;/span&gt;&lt;/td&gt;&lt;td class="rarc-wrap"&gt;&lt;div class="rarc-id"&gt;MA40&lt;/div&gt;&lt;div class="rarc-desc"&gt;Missing/incomplete/invalid admission date.&lt;/div&gt;&lt;/td&gt;&lt;td class="td-meaning"&gt;&lt;/td&gt;&lt;td&gt;&lt;div class="chip-row"&gt;&lt;/div&gt;&lt;/td&gt;&lt;td&gt;&lt;div class="chip-row"&gt;&lt;/div&gt;&lt;/td&gt;&lt;td class="td-res"&gt;&lt;/td&gt;&lt;/tr&gt;</t>
  </si>
  <si>
    <t>&lt;tr data-carc="" data-type="" data-rarc="MA41 — Missing/incomplete/invalid admission type." data-denial="" data-root=""&gt;&lt;td&gt;&lt;div class="row-num"&gt;#185&lt;/div&gt;&lt;span class="carc-badge "&gt;&lt;/span&gt;&lt;/td&gt;&lt;td&gt;&lt;span class="denial-reason"&gt;&lt;/span&gt;&lt;/td&gt;&lt;td class="rarc-wrap"&gt;&lt;div class="rarc-id"&gt;MA41&lt;/div&gt;&lt;div class="rarc-desc"&gt;Missing/incomplete/invalid admission type.&lt;/div&gt;&lt;/td&gt;&lt;td class="td-meaning"&gt;&lt;/td&gt;&lt;td&gt;&lt;div class="chip-row"&gt;&lt;/div&gt;&lt;/td&gt;&lt;td&gt;&lt;div class="chip-row"&gt;&lt;/div&gt;&lt;/td&gt;&lt;td class="td-res"&gt;&lt;/td&gt;&lt;/tr&gt;</t>
  </si>
  <si>
    <t>&lt;tr data-carc="" data-type="" data-rarc="MA42 — Missing/incomplete/invalid admission source." data-denial="" data-root=""&gt;&lt;td&gt;&lt;div class="row-num"&gt;#186&lt;/div&gt;&lt;span class="carc-badge "&gt;&lt;/span&gt;&lt;/td&gt;&lt;td&gt;&lt;span class="denial-reason"&gt;&lt;/span&gt;&lt;/td&gt;&lt;td class="rarc-wrap"&gt;&lt;div class="rarc-id"&gt;MA42&lt;/div&gt;&lt;div class="rarc-desc"&gt;Missing/incomplete/invalid admission source.&lt;/div&gt;&lt;/td&gt;&lt;td class="td-meaning"&gt;&lt;/td&gt;&lt;td&gt;&lt;div class="chip-row"&gt;&lt;/div&gt;&lt;/td&gt;&lt;td&gt;&lt;div class="chip-row"&gt;&lt;/div&gt;&lt;/td&gt;&lt;td class="td-res"&gt;&lt;/td&gt;&lt;/tr&gt;</t>
  </si>
  <si>
    <t>&lt;tr data-carc="" data-type="" data-rarc="MA43 — Missing/incomplete/invalid patient status." data-denial="" data-root=""&gt;&lt;td&gt;&lt;div class="row-num"&gt;#187&lt;/div&gt;&lt;span class="carc-badge "&gt;&lt;/span&gt;&lt;/td&gt;&lt;td&gt;&lt;span class="denial-reason"&gt;&lt;/span&gt;&lt;/td&gt;&lt;td class="rarc-wrap"&gt;&lt;div class="rarc-id"&gt;MA43&lt;/div&gt;&lt;div class="rarc-desc"&gt;Missing/incomplete/invalid patient status.&lt;/div&gt;&lt;/td&gt;&lt;td class="td-meaning"&gt;&lt;/td&gt;&lt;td&gt;&lt;div class="chip-row"&gt;&lt;/div&gt;&lt;/td&gt;&lt;td&gt;&lt;div class="chip-row"&gt;&lt;/div&gt;&lt;/td&gt;&lt;td class="td-res"&gt;&lt;/td&gt;&lt;/tr&gt;</t>
  </si>
  <si>
    <t>&lt;tr data-carc="" data-type="" data-rarc="MA47 — Our records show you have opted out of Medicare, agreeing with the patient not to bill Medicare for services/tests/supplies furnished. As result, we cannot pay this claim. The patient is responsible for payment." data-denial="" data-root=""&gt;&lt;td&gt;&lt;div class="row-num"&gt;#191&lt;/div&gt;&lt;span class="carc-badge "&gt;&lt;/span&gt;&lt;/td&gt;&lt;td&gt;&lt;span class="denial-reason"&gt;&lt;/span&gt;&lt;/td&gt;&lt;td class="rarc-wrap"&gt;&lt;div class="rarc-id"&gt;MA47&lt;/div&gt;&lt;div class="rarc-desc"&gt;Our records show you have opted out of Medicare, agreeing with the patient not to bill Medicare for services/tests/supplies furnished. As result, we cannot pay this claim. The patient is responsible for payment.&lt;/div&gt;&lt;/td&gt;&lt;td class="td-meaning"&gt;&lt;/td&gt;&lt;td&gt;&lt;div class="chip-row"&gt;&lt;/div&gt;&lt;/td&gt;&lt;td&gt;&lt;div class="chip-row"&gt;&lt;/div&gt;&lt;/td&gt;&lt;td class="td-res"&gt;&lt;/td&gt;&lt;/tr&gt;</t>
  </si>
  <si>
    <t>&lt;tr data-carc="" data-type="" data-rarc="MA48 — Missing/incomplete/invalid name or address of responsible party or primary payer." data-denial="" data-root=""&gt;&lt;td&gt;&lt;div class="row-num"&gt;#192&lt;/div&gt;&lt;span class="carc-badge "&gt;&lt;/span&gt;&lt;/td&gt;&lt;td&gt;&lt;span class="denial-reason"&gt;&lt;/span&gt;&lt;/td&gt;&lt;td class="rarc-wrap"&gt;&lt;div class="rarc-id"&gt;MA48&lt;/div&gt;&lt;div class="rarc-desc"&gt;Missing/incomplete/invalid name or address of responsible party or primary payer.&lt;/div&gt;&lt;/td&gt;&lt;td class="td-meaning"&gt;&lt;/td&gt;&lt;td&gt;&lt;div class="chip-row"&gt;&lt;/div&gt;&lt;/td&gt;&lt;td&gt;&lt;div class="chip-row"&gt;&lt;/div&gt;&lt;/td&gt;&lt;td class="td-res"&gt;&lt;/td&gt;&lt;/tr&gt;</t>
  </si>
  <si>
    <t>&lt;tr data-carc="" data-type="" data-rarc="MA50 — Missing/incomplete/invalid Investigational Device Exemption number or Clinical Trial number." data-denial="" data-root=""&gt;&lt;td&gt;&lt;div class="row-num"&gt;#193&lt;/div&gt;&lt;span class="carc-badge "&gt;&lt;/span&gt;&lt;/td&gt;&lt;td&gt;&lt;span class="denial-reason"&gt;&lt;/span&gt;&lt;/td&gt;&lt;td class="rarc-wrap"&gt;&lt;div class="rarc-id"&gt;MA50&lt;/div&gt;&lt;div class="rarc-desc"&gt;Missing/incomplete/invalid Investigational Device Exemption number or Clinical Trial number.&lt;/div&gt;&lt;/td&gt;&lt;td class="td-meaning"&gt;&lt;/td&gt;&lt;td&gt;&lt;div class="chip-row"&gt;&lt;/div&gt;&lt;/td&gt;&lt;td&gt;&lt;div class="chip-row"&gt;&lt;/div&gt;&lt;/td&gt;&lt;td class="td-res"&gt;&lt;/td&gt;&lt;/tr&gt;</t>
  </si>
  <si>
    <t>&lt;tr data-carc="" data-type="" data-rarc="MA53 — Missing/incomplete/invalid Competitive Bidding Demonstration Project identification." data-denial="" data-root=""&gt;&lt;td&gt;&lt;div class="row-num"&gt;#194&lt;/div&gt;&lt;span class="carc-badge "&gt;&lt;/span&gt;&lt;/td&gt;&lt;td&gt;&lt;span class="denial-reason"&gt;&lt;/span&gt;&lt;/td&gt;&lt;td class="rarc-wrap"&gt;&lt;div class="rarc-id"&gt;MA53&lt;/div&gt;&lt;div class="rarc-desc"&gt;Missing/incomplete/invalid Competitive Bidding Demonstration Project identification.&lt;/div&gt;&lt;/td&gt;&lt;td class="td-meaning"&gt;&lt;/td&gt;&lt;td&gt;&lt;div class="chip-row"&gt;&lt;/div&gt;&lt;/td&gt;&lt;td&gt;&lt;div class="chip-row"&gt;&lt;/div&gt;&lt;/td&gt;&lt;td class="td-res"&gt;&lt;/td&gt;&lt;/tr&gt;</t>
  </si>
  <si>
    <t>&lt;tr data-carc="" data-type="" data-rarc="MA54 — Physician certification or election consent for hospice care not received timely." data-denial="" data-root=""&gt;&lt;td&gt;&lt;div class="row-num"&gt;#195&lt;/div&gt;&lt;span class="carc-badge "&gt;&lt;/span&gt;&lt;/td&gt;&lt;td&gt;&lt;span class="denial-reason"&gt;&lt;/span&gt;&lt;/td&gt;&lt;td class="rarc-wrap"&gt;&lt;div class="rarc-id"&gt;MA54&lt;/div&gt;&lt;div class="rarc-desc"&gt;Physician certification or election consent for hospice care not received timely.&lt;/div&gt;&lt;/td&gt;&lt;td class="td-meaning"&gt;&lt;/td&gt;&lt;td&gt;&lt;div class="chip-row"&gt;&lt;/div&gt;&lt;/td&gt;&lt;td&gt;&lt;div class="chip-row"&gt;&lt;/div&gt;&lt;/td&gt;&lt;td class="td-res"&gt;&lt;/td&gt;&lt;/tr&gt;</t>
  </si>
  <si>
    <t>&lt;tr data-carc="" data-type="" data-rarc="MA55 — Not covered as patient received medical health care services, automatically revoking his/her election to receive religious non-medical health care services." data-denial="" data-root=""&gt;&lt;td&gt;&lt;div class="row-num"&gt;#196&lt;/div&gt;&lt;span class="carc-badge "&gt;&lt;/span&gt;&lt;/td&gt;&lt;td&gt;&lt;span class="denial-reason"&gt;&lt;/span&gt;&lt;/td&gt;&lt;td class="rarc-wrap"&gt;&lt;div class="rarc-id"&gt;MA55&lt;/div&gt;&lt;div class="rarc-desc"&gt;Not covered as patient received medical health care services, automatically revoking his/her election to receive religious non-medical health care services.&lt;/div&gt;&lt;/td&gt;&lt;td class="td-meaning"&gt;&lt;/td&gt;&lt;td&gt;&lt;div class="chip-row"&gt;&lt;/div&gt;&lt;/td&gt;&lt;td&gt;&lt;div class="chip-row"&gt;&lt;/div&gt;&lt;/td&gt;&lt;td class="td-res"&gt;&lt;/td&gt;&lt;/tr&gt;</t>
  </si>
  <si>
    <t>&lt;tr data-carc="" data-type="" data-rarc="MA56 — 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 data-denial="" data-root=""&gt;&lt;td&gt;&lt;div class="row-num"&gt;#197&lt;/div&gt;&lt;span class="carc-badge "&gt;&lt;/span&gt;&lt;/td&gt;&lt;td&gt;&lt;span class="denial-reason"&gt;&lt;/span&gt;&lt;/td&gt;&lt;td class="rarc-wrap"&gt;&lt;div class="rarc-id"&gt;MA56&lt;/div&gt;&lt;div class="rarc-desc"&gt;Our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amount.&lt;/div&gt;&lt;/td&gt;&lt;td class="td-meaning"&gt;&lt;/td&gt;&lt;td&gt;&lt;div class="chip-row"&gt;&lt;/div&gt;&lt;/td&gt;&lt;td&gt;&lt;div class="chip-row"&gt;&lt;/div&gt;&lt;/td&gt;&lt;td class="td-res"&gt;&lt;/td&gt;&lt;/tr&gt;</t>
  </si>
  <si>
    <t>&lt;tr data-carc="" data-type="" data-rarc="MA57 — Patient submitted written request to revoke his/her election for religious non-medical health care services." data-denial="" data-root=""&gt;&lt;td&gt;&lt;div class="row-num"&gt;#198&lt;/div&gt;&lt;span class="carc-badge "&gt;&lt;/span&gt;&lt;/td&gt;&lt;td&gt;&lt;span class="denial-reason"&gt;&lt;/span&gt;&lt;/td&gt;&lt;td class="rarc-wrap"&gt;&lt;div class="rarc-id"&gt;MA57&lt;/div&gt;&lt;div class="rarc-desc"&gt;Patient submitted written request to revoke his/her election for religious non-medical health care services.&lt;/div&gt;&lt;/td&gt;&lt;td class="td-meaning"&gt;&lt;/td&gt;&lt;td&gt;&lt;div class="chip-row"&gt;&lt;/div&gt;&lt;/td&gt;&lt;td&gt;&lt;div class="chip-row"&gt;&lt;/div&gt;&lt;/td&gt;&lt;td class="td-res"&gt;&lt;/td&gt;&lt;/tr&gt;</t>
  </si>
  <si>
    <t>&lt;tr data-carc="" data-type="" data-rarc="MA58 — Missing/incomplete/invalid release of information indicator." data-denial="" data-root=""&gt;&lt;td&gt;&lt;div class="row-num"&gt;#199&lt;/div&gt;&lt;span class="carc-badge "&gt;&lt;/span&gt;&lt;/td&gt;&lt;td&gt;&lt;span class="denial-reason"&gt;&lt;/span&gt;&lt;/td&gt;&lt;td class="rarc-wrap"&gt;&lt;div class="rarc-id"&gt;MA58&lt;/div&gt;&lt;div class="rarc-desc"&gt;Missing/incomplete/invalid release of information indicator.&lt;/div&gt;&lt;/td&gt;&lt;td class="td-meaning"&gt;&lt;/td&gt;&lt;td&gt;&lt;div class="chip-row"&gt;&lt;/div&gt;&lt;/td&gt;&lt;td&gt;&lt;div class="chip-row"&gt;&lt;/div&gt;&lt;/td&gt;&lt;td class="td-res"&gt;&lt;/td&gt;&lt;/tr&gt;</t>
  </si>
  <si>
    <t>&lt;tr data-carc="" data-type="" data-rarc="MA59 — Alert: The patient overpaid you for these services. You must issue the patient a refund within 30 days for the difference between his/her payment and the total amount shown as patient responsibility on this notice." data-denial="" data-root=""&gt;&lt;td&gt;&lt;div class="row-num"&gt;#200&lt;/div&gt;&lt;span class="carc-badge "&gt;&lt;/span&gt;&lt;/td&gt;&lt;td&gt;&lt;span class="denial-reason"&gt;&lt;/span&gt;&lt;/td&gt;&lt;td class="rarc-wrap"&gt;&lt;div class="rarc-id"&gt;MA59&lt;/div&gt;&lt;div class="rarc-desc"&gt;Alert: The patient overpaid you for these services. You must issue the patient a refund within 30 days for the difference between his/her payment and the total amount shown as patient responsibility on this notice.&lt;/div&gt;&lt;/td&gt;&lt;td class="td-meaning"&gt;&lt;/td&gt;&lt;td&gt;&lt;div class="chip-row"&gt;&lt;/div&gt;&lt;/td&gt;&lt;td&gt;&lt;div class="chip-row"&gt;&lt;/div&gt;&lt;/td&gt;&lt;td class="td-res"&gt;&lt;/td&gt;&lt;/tr&gt;</t>
  </si>
  <si>
    <t>&lt;tr data-carc="" data-type="" data-rarc="MA61 — Missing/incomplete/invalid social security number." data-denial="" data-root=""&gt;&lt;td&gt;&lt;div class="row-num"&gt;#202&lt;/div&gt;&lt;span class="carc-badge "&gt;&lt;/span&gt;&lt;/td&gt;&lt;td&gt;&lt;span class="denial-reason"&gt;&lt;/span&gt;&lt;/td&gt;&lt;td class="rarc-wrap"&gt;&lt;div class="rarc-id"&gt;MA61&lt;/div&gt;&lt;div class="rarc-desc"&gt;Missing/incomplete/invalid social security number.&lt;/div&gt;&lt;/td&gt;&lt;td class="td-meaning"&gt;&lt;/td&gt;&lt;td&gt;&lt;div class="chip-row"&gt;&lt;/div&gt;&lt;/td&gt;&lt;td&gt;&lt;div class="chip-row"&gt;&lt;/div&gt;&lt;/td&gt;&lt;td class="td-res"&gt;&lt;/td&gt;&lt;/tr&gt;</t>
  </si>
  <si>
    <t>&lt;tr data-carc="" data-type="" data-rarc="MA64 — Our records indicate that we should be the third payer for this claim. We cannot process this claim until we have received payment information from the primary and secondary payers." data-denial="" data-root=""&gt;&lt;td&gt;&lt;div class="row-num"&gt;#204&lt;/div&gt;&lt;span class="carc-badge "&gt;&lt;/span&gt;&lt;/td&gt;&lt;td&gt;&lt;span class="denial-reason"&gt;&lt;/span&gt;&lt;/td&gt;&lt;td class="rarc-wrap"&gt;&lt;div class="rarc-id"&gt;MA64&lt;/div&gt;&lt;div class="rarc-desc"&gt;Our records indicate that we should be the third payer for this claim. We cannot process this claim until we have received payment information from the primary and secondary payers.&lt;/div&gt;&lt;/td&gt;&lt;td class="td-meaning"&gt;&lt;/td&gt;&lt;td&gt;&lt;div class="chip-row"&gt;&lt;/div&gt;&lt;/td&gt;&lt;td&gt;&lt;div class="chip-row"&gt;&lt;/div&gt;&lt;/td&gt;&lt;td class="td-res"&gt;&lt;/td&gt;&lt;/tr&gt;</t>
  </si>
  <si>
    <t>&lt;tr data-carc="" data-type="" data-rarc="MA68 — Alert: We did not crossover this claim because the secondary insurance information on the claim was incomplete. Please supply complete information or use the PLANID of the insurer to assure correct and timely routing of the claim." data-denial="" data-root=""&gt;&lt;td&gt;&lt;div class="row-num"&gt;#207&lt;/div&gt;&lt;span class="carc-badge "&gt;&lt;/span&gt;&lt;/td&gt;&lt;td&gt;&lt;span class="denial-reason"&gt;&lt;/span&gt;&lt;/td&gt;&lt;td class="rarc-wrap"&gt;&lt;div class="rarc-id"&gt;MA68&lt;/div&gt;&lt;div class="rarc-desc"&gt;Alert: We did not crossover this claim because the secondary insurance information on the claim was incomplete. Please supply complete information or use the PLANID of the insurer to assure correct and timely routing of the claim.&lt;/div&gt;&lt;/td&gt;&lt;td class="td-meaning"&gt;&lt;/td&gt;&lt;td&gt;&lt;div class="chip-row"&gt;&lt;/div&gt;&lt;/td&gt;&lt;td&gt;&lt;div class="chip-row"&gt;&lt;/div&gt;&lt;/td&gt;&lt;td class="td-res"&gt;&lt;/td&gt;&lt;/tr&gt;</t>
  </si>
  <si>
    <t>&lt;tr data-carc="" data-type="" data-rarc="MA76 — Missing/incomplete/invalid provider identifier for home health agency or hospice when physician is performing care plan oversight services." data-denial="" data-root=""&gt;&lt;td&gt;&lt;div class="row-num"&gt;#214&lt;/div&gt;&lt;span class="carc-badge "&gt;&lt;/span&gt;&lt;/td&gt;&lt;td&gt;&lt;span class="denial-reason"&gt;&lt;/span&gt;&lt;/td&gt;&lt;td class="rarc-wrap"&gt;&lt;div class="rarc-id"&gt;MA76&lt;/div&gt;&lt;div class="rarc-desc"&gt;Missing/incomplete/invalid provider identifier for home health agency or hospice when physician is performing care plan oversight services.&lt;/div&gt;&lt;/td&gt;&lt;td class="td-meaning"&gt;&lt;/td&gt;&lt;td&gt;&lt;div class="chip-row"&gt;&lt;/div&gt;&lt;/td&gt;&lt;td&gt;&lt;div class="chip-row"&gt;&lt;/div&gt;&lt;/td&gt;&lt;td class="td-res"&gt;&lt;/td&gt;&lt;/tr&gt;</t>
  </si>
  <si>
    <t>&lt;tr data-carc="" data-type="" data-rarc="MA83 — Did not indicate whether we are the primary or secondary payer." data-denial="" data-root=""&gt;&lt;td&gt;&lt;div class="row-num"&gt;#219&lt;/div&gt;&lt;span class="carc-badge "&gt;&lt;/span&gt;&lt;/td&gt;&lt;td&gt;&lt;span class="denial-reason"&gt;&lt;/span&gt;&lt;/td&gt;&lt;td class="rarc-wrap"&gt;&lt;div class="rarc-id"&gt;MA83&lt;/div&gt;&lt;div class="rarc-desc"&gt;Did not indicate whether we are the primary or secondary payer.&lt;/div&gt;&lt;/td&gt;&lt;td class="td-meaning"&gt;&lt;/td&gt;&lt;td&gt;&lt;div class="chip-row"&gt;&lt;/div&gt;&lt;/td&gt;&lt;td&gt;&lt;div class="chip-row"&gt;&lt;/div&gt;&lt;/td&gt;&lt;td class="td-res"&gt;&lt;/td&gt;&lt;/tr&gt;</t>
  </si>
  <si>
    <t>&lt;tr data-carc="" data-type="" data-rarc="MA84 — 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 data-denial="" data-root=""&gt;&lt;td&gt;&lt;div class="row-num"&gt;#220&lt;/div&gt;&lt;span class="carc-badge "&gt;&lt;/span&gt;&lt;/td&gt;&lt;td&gt;&lt;span class="denial-reason"&gt;&lt;/span&gt;&lt;/td&gt;&lt;td class="rarc-wrap"&gt;&lt;div class="rarc-id"&gt;MA84&lt;/div&gt;&lt;div class="rarc-desc"&gt;Patient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discrepancy.&lt;/div&gt;&lt;/td&gt;&lt;td class="td-meaning"&gt;&lt;/td&gt;&lt;td&gt;&lt;div class="chip-row"&gt;&lt;/div&gt;&lt;/td&gt;&lt;td&gt;&lt;div class="chip-row"&gt;&lt;/div&gt;&lt;/td&gt;&lt;td class="td-res"&gt;&lt;/td&gt;&lt;/tr&gt;</t>
  </si>
  <si>
    <t>&lt;tr data-carc="" data-type="" data-rarc="MA88 — Missing/incomplete/invalid insured's address and/or telephone number for the primary payer." data-denial="" data-root=""&gt;&lt;td&gt;&lt;div class="row-num"&gt;#221&lt;/div&gt;&lt;span class="carc-badge "&gt;&lt;/span&gt;&lt;/td&gt;&lt;td&gt;&lt;span class="denial-reason"&gt;&lt;/span&gt;&lt;/td&gt;&lt;td class="rarc-wrap"&gt;&lt;div class="rarc-id"&gt;MA88&lt;/div&gt;&lt;div class="rarc-desc"&gt;Missing/incomplete/invalid insured's address and/or telephone number for the primary payer.&lt;/div&gt;&lt;/td&gt;&lt;td class="td-meaning"&gt;&lt;/td&gt;&lt;td&gt;&lt;div class="chip-row"&gt;&lt;/div&gt;&lt;/td&gt;&lt;td&gt;&lt;div class="chip-row"&gt;&lt;/div&gt;&lt;/td&gt;&lt;td class="td-res"&gt;&lt;/td&gt;&lt;/tr&gt;</t>
  </si>
  <si>
    <t>&lt;tr data-carc="" data-type="" data-rarc="MA91 — Alert: This determination is the result of the appeal you filed." data-denial="" data-root=""&gt;&lt;td&gt;&lt;div class="row-num"&gt;#224&lt;/div&gt;&lt;span class="carc-badge "&gt;&lt;/span&gt;&lt;/td&gt;&lt;td&gt;&lt;span class="denial-reason"&gt;&lt;/span&gt;&lt;/td&gt;&lt;td class="rarc-wrap"&gt;&lt;div class="rarc-id"&gt;MA91&lt;/div&gt;&lt;div class="rarc-desc"&gt;Alert: This determination is the result of the appeal you filed.&lt;/div&gt;&lt;/td&gt;&lt;td class="td-meaning"&gt;&lt;/td&gt;&lt;td&gt;&lt;div class="chip-row"&gt;&lt;/div&gt;&lt;/td&gt;&lt;td&gt;&lt;div class="chip-row"&gt;&lt;/div&gt;&lt;/td&gt;&lt;td class="td-res"&gt;&lt;/td&gt;&lt;/tr&gt;</t>
  </si>
  <si>
    <t>&lt;tr data-carc="" data-type="" data-rarc="MA92 — Missing plan information for other insurance." data-denial="" data-root=""&gt;&lt;td&gt;&lt;div class="row-num"&gt;#225&lt;/div&gt;&lt;span class="carc-badge "&gt;&lt;/span&gt;&lt;/td&gt;&lt;td&gt;&lt;span class="denial-reason"&gt;&lt;/span&gt;&lt;/td&gt;&lt;td class="rarc-wrap"&gt;&lt;div class="rarc-id"&gt;MA92&lt;/div&gt;&lt;div class="rarc-desc"&gt;Missing plan information for other insurance.&lt;/div&gt;&lt;/td&gt;&lt;td class="td-meaning"&gt;&lt;/td&gt;&lt;td&gt;&lt;div class="chip-row"&gt;&lt;/div&gt;&lt;/td&gt;&lt;td&gt;&lt;div class="chip-row"&gt;&lt;/div&gt;&lt;/td&gt;&lt;td class="td-res"&gt;&lt;/td&gt;&lt;/tr&gt;</t>
  </si>
  <si>
    <t>&lt;tr data-carc="" data-type="" data-rarc="MA94 — Did not enter the statement 'Attending physician not hospice employee' on the claim form to certify that the rendering physician is not an employee of the hospice." data-denial="" data-root=""&gt;&lt;td&gt;&lt;div class="row-num"&gt;#227&lt;/div&gt;&lt;span class="carc-badge "&gt;&lt;/span&gt;&lt;/td&gt;&lt;td&gt;&lt;span class="denial-reason"&gt;&lt;/span&gt;&lt;/td&gt;&lt;td class="rarc-wrap"&gt;&lt;div class="rarc-id"&gt;MA94&lt;/div&gt;&lt;div class="rarc-desc"&gt;Did not enter the statement 'Attending physician not hospice employee' on the claim form to certify that the rendering physician is not an employee of the hospice.&lt;/div&gt;&lt;/td&gt;&lt;td class="td-meaning"&gt;&lt;/td&gt;&lt;td&gt;&lt;div class="chip-row"&gt;&lt;/div&gt;&lt;/td&gt;&lt;td&gt;&lt;div class="chip-row"&gt;&lt;/div&gt;&lt;/td&gt;&lt;td class="td-res"&gt;&lt;/td&gt;&lt;/tr&gt;</t>
  </si>
  <si>
    <t>&lt;tr data-carc="" data-type="" data-rarc="MA99 — Missing/incomplete/invalid Medigap information." data-denial="" data-root=""&gt;&lt;td&gt;&lt;div class="row-num"&gt;#230&lt;/div&gt;&lt;span class="carc-badge "&gt;&lt;/span&gt;&lt;/td&gt;&lt;td&gt;&lt;span class="denial-reason"&gt;&lt;/span&gt;&lt;/td&gt;&lt;td class="rarc-wrap"&gt;&lt;div class="rarc-id"&gt;MA99&lt;/div&gt;&lt;div class="rarc-desc"&gt;Missing/incomplete/invalid Medigap information.&lt;/div&gt;&lt;/td&gt;&lt;td class="td-meaning"&gt;&lt;/td&gt;&lt;td&gt;&lt;div class="chip-row"&gt;&lt;/div&gt;&lt;/td&gt;&lt;td&gt;&lt;div class="chip-row"&gt;&lt;/div&gt;&lt;/td&gt;&lt;td class="td-res"&gt;&lt;/td&gt;&lt;/tr&gt;</t>
  </si>
  <si>
    <t>&lt;tr data-carc="" data-type="" data-rarc="N106 — Payment for services furnished to Skilled Nursing Facility (SNF) inpatients (except for excluded services) can only be made to the SNF. You must request payment from the SNF rather than the patient for this service." data-denial="" data-root=""&gt;&lt;td&gt;&lt;div class="row-num"&gt;#235&lt;/div&gt;&lt;span class="carc-badge "&gt;&lt;/span&gt;&lt;/td&gt;&lt;td&gt;&lt;span class="denial-reason"&gt;&lt;/span&gt;&lt;/td&gt;&lt;td class="rarc-wrap"&gt;&lt;div class="rarc-id"&gt;N106&lt;/div&gt;&lt;div class="rarc-desc"&gt;Payment for services furnished to Skilled Nursing Facility (SNF) inpatients (except for excluded services) can only be made to the SNF. You must request payment from the SNF rather than the patient for this service.&lt;/div&gt;&lt;/td&gt;&lt;td class="td-meaning"&gt;&lt;/td&gt;&lt;td&gt;&lt;div class="chip-row"&gt;&lt;/div&gt;&lt;/td&gt;&lt;td&gt;&lt;div class="chip-row"&gt;&lt;/div&gt;&lt;/td&gt;&lt;td class="td-res"&gt;&lt;/td&gt;&lt;/tr&gt;</t>
  </si>
  <si>
    <t>&lt;tr data-carc="" data-type="" data-rarc="N107 — Services furnished to Skilled Nursing Facility (SNF) inpatients must be billed on the inpatient claim. They cannot be billed separately as outpatient services." data-denial="" data-root=""&gt;&lt;td&gt;&lt;div class="row-num"&gt;#236&lt;/div&gt;&lt;span class="carc-badge "&gt;&lt;/span&gt;&lt;/td&gt;&lt;td&gt;&lt;span class="denial-reason"&gt;&lt;/span&gt;&lt;/td&gt;&lt;td class="rarc-wrap"&gt;&lt;div class="rarc-id"&gt;N107&lt;/div&gt;&lt;div class="rarc-desc"&gt;Services furnished to Skilled Nursing Facility (SNF) inpatients must be billed on the inpatient claim. They cannot be billed separately as outpatient services.&lt;/div&gt;&lt;/td&gt;&lt;td class="td-meaning"&gt;&lt;/td&gt;&lt;td&gt;&lt;div class="chip-row"&gt;&lt;/div&gt;&lt;/td&gt;&lt;td&gt;&lt;div class="chip-row"&gt;&lt;/div&gt;&lt;/td&gt;&lt;td class="td-res"&gt;&lt;/td&gt;&lt;/tr&gt;</t>
  </si>
  <si>
    <t>&lt;tr data-carc="" data-type="" data-rarc="N108 — Missing/incomplete/invalid upgrade information." data-denial="" data-root=""&gt;&lt;td&gt;&lt;div class="row-num"&gt;#237&lt;/div&gt;&lt;span class="carc-badge "&gt;&lt;/span&gt;&lt;/td&gt;&lt;td&gt;&lt;span class="denial-reason"&gt;&lt;/span&gt;&lt;/td&gt;&lt;td class="rarc-wrap"&gt;&lt;div class="rarc-id"&gt;N108&lt;/div&gt;&lt;div class="rarc-desc"&gt;Missing/incomplete/invalid upgrade information.&lt;/div&gt;&lt;/td&gt;&lt;td class="td-meaning"&gt;&lt;/td&gt;&lt;td&gt;&lt;div class="chip-row"&gt;&lt;/div&gt;&lt;/td&gt;&lt;td&gt;&lt;div class="chip-row"&gt;&lt;/div&gt;&lt;/td&gt;&lt;td class="td-res"&gt;&lt;/td&gt;&lt;/tr&gt;</t>
  </si>
  <si>
    <t>&lt;tr data-carc="" data-type="" data-rarc="N109 — Alert: This claim/service was chosen for complex review." data-denial="" data-root=""&gt;&lt;td&gt;&lt;div class="row-num"&gt;#238&lt;/div&gt;&lt;span class="carc-badge "&gt;&lt;/span&gt;&lt;/td&gt;&lt;td&gt;&lt;span class="denial-reason"&gt;&lt;/span&gt;&lt;/td&gt;&lt;td class="rarc-wrap"&gt;&lt;div class="rarc-id"&gt;N109&lt;/div&gt;&lt;div class="rarc-desc"&gt;Alert: This claim/service was chosen for complex review.&lt;/div&gt;&lt;/td&gt;&lt;td class="td-meaning"&gt;&lt;/td&gt;&lt;td&gt;&lt;div class="chip-row"&gt;&lt;/div&gt;&lt;/td&gt;&lt;td&gt;&lt;div class="chip-row"&gt;&lt;/div&gt;&lt;/td&gt;&lt;td class="td-res"&gt;&lt;/td&gt;&lt;/tr&gt;</t>
  </si>
  <si>
    <t>&lt;tr data-carc="" data-type="" data-rarc="N111 — No appeal right except duplicate claim/service issue. This service was included in a claim that has been previously billed and adjudicated." data-denial="" data-root=""&gt;&lt;td&gt;&lt;div class="row-num"&gt;#241&lt;/div&gt;&lt;span class="carc-badge "&gt;&lt;/span&gt;&lt;/td&gt;&lt;td&gt;&lt;span class="denial-reason"&gt;&lt;/span&gt;&lt;/td&gt;&lt;td class="rarc-wrap"&gt;&lt;div class="rarc-id"&gt;N111&lt;/div&gt;&lt;div class="rarc-desc"&gt;No appeal right except duplicate claim/service issue. This service was included in a claim that has been previously billed and adjudicated.&lt;/div&gt;&lt;/td&gt;&lt;td class="td-meaning"&gt;&lt;/td&gt;&lt;td&gt;&lt;div class="chip-row"&gt;&lt;/div&gt;&lt;/td&gt;&lt;td&gt;&lt;div class="chip-row"&gt;&lt;/div&gt;&lt;/td&gt;&lt;td class="td-res"&gt;&lt;/td&gt;&lt;/tr&gt;</t>
  </si>
  <si>
    <t>&lt;tr data-carc="" data-type="" data-rarc="N112 — This claim is excluded from your electronic remittance advice." data-denial="" data-root=""&gt;&lt;td&gt;&lt;div class="row-num"&gt;#242&lt;/div&gt;&lt;span class="carc-badge "&gt;&lt;/span&gt;&lt;/td&gt;&lt;td&gt;&lt;span class="denial-reason"&gt;&lt;/span&gt;&lt;/td&gt;&lt;td class="rarc-wrap"&gt;&lt;div class="rarc-id"&gt;N112&lt;/div&gt;&lt;div class="rarc-desc"&gt;This claim is excluded from your electronic remittance advice.&lt;/div&gt;&lt;/td&gt;&lt;td class="td-meaning"&gt;&lt;/td&gt;&lt;td&gt;&lt;div class="chip-row"&gt;&lt;/div&gt;&lt;/td&gt;&lt;td&gt;&lt;div class="chip-row"&gt;&lt;/div&gt;&lt;/td&gt;&lt;td class="td-res"&gt;&lt;/td&gt;&lt;/tr&gt;</t>
  </si>
  <si>
    <t>&lt;tr data-carc="" data-type="" data-rarc="N113 — Only one initial visit is covered per physician, group practice or provider." data-denial="" data-root=""&gt;&lt;td&gt;&lt;div class="row-num"&gt;#243&lt;/div&gt;&lt;span class="carc-badge "&gt;&lt;/span&gt;&lt;/td&gt;&lt;td&gt;&lt;span class="denial-reason"&gt;&lt;/span&gt;&lt;/td&gt;&lt;td class="rarc-wrap"&gt;&lt;div class="rarc-id"&gt;N113&lt;/div&gt;&lt;div class="rarc-desc"&gt;Only one initial visit is covered per physician, group practice or provider.&lt;/div&gt;&lt;/td&gt;&lt;td class="td-meaning"&gt;&lt;/td&gt;&lt;td&gt;&lt;div class="chip-row"&gt;&lt;/div&gt;&lt;/td&gt;&lt;td&gt;&lt;div class="chip-row"&gt;&lt;/div&gt;&lt;/td&gt;&lt;td class="td-res"&gt;&lt;/td&gt;&lt;/tr&gt;</t>
  </si>
  <si>
    <t>&lt;tr data-carc="" data-type="" data-rarc="N114 — 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 data-denial="" data-root=""&gt;&lt;td&gt;&lt;div class="row-num"&gt;#244&lt;/div&gt;&lt;span class="carc-badge "&gt;&lt;/span&gt;&lt;/td&gt;&lt;td&gt;&lt;span class="denial-reason"&gt;&lt;/span&gt;&lt;/td&gt;&lt;td class="rarc-wrap"&gt;&lt;div class="rarc-id"&gt;N114&lt;/div&gt;&lt;div class="rarc-desc"&gt;During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be.&lt;/div&gt;&lt;/td&gt;&lt;td class="td-meaning"&gt;&lt;/td&gt;&lt;td&gt;&lt;div class="chip-row"&gt;&lt;/div&gt;&lt;/td&gt;&lt;td&gt;&lt;div class="chip-row"&gt;&lt;/div&gt;&lt;/td&gt;&lt;td class="td-res"&gt;&lt;/td&gt;&lt;/tr&gt;</t>
  </si>
  <si>
    <t>&lt;tr data-carc="" data-type="" data-rarc="N116 — Alert: 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 data-denial="" data-root=""&gt;&lt;td&gt;&lt;div class="row-num"&gt;#245&lt;/div&gt;&lt;span class="carc-badge "&gt;&lt;/span&gt;&lt;/td&gt;&lt;td&gt;&lt;span class="denial-reason"&gt;&lt;/span&gt;&lt;/td&gt;&lt;td class="rarc-wrap"&gt;&lt;div class="rarc-id"&gt;N116&lt;/div&gt;&lt;div class="rarc-desc"&gt;Alert: 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care.&lt;/div&gt;&lt;/td&gt;&lt;td class="td-meaning"&gt;&lt;/td&gt;&lt;td&gt;&lt;div class="chip-row"&gt;&lt;/div&gt;&lt;/td&gt;&lt;td&gt;&lt;div class="chip-row"&gt;&lt;/div&gt;&lt;/td&gt;&lt;td class="td-res"&gt;&lt;/td&gt;&lt;/tr&gt;</t>
  </si>
  <si>
    <t>&lt;tr data-carc="" data-type="" data-rarc="N119 — This service is not paid if billed once every 28 days, and the patient has spent 5 or more consecutive days in any inpatient or Skilled /nursing Facility (SNF) within those 28 days." data-denial="" data-root=""&gt;&lt;td&gt;&lt;div class="row-num"&gt;#248&lt;/div&gt;&lt;span class="carc-badge "&gt;&lt;/span&gt;&lt;/td&gt;&lt;td&gt;&lt;span class="denial-reason"&gt;&lt;/span&gt;&lt;/td&gt;&lt;td class="rarc-wrap"&gt;&lt;div class="rarc-id"&gt;N119&lt;/div&gt;&lt;div class="rarc-desc"&gt;This service is not paid if billed once every 28 days, and the patient has spent 5 or more consecutive days in any inpatient or Skilled /nursing Facility (SNF) within those 28 days.&lt;/div&gt;&lt;/td&gt;&lt;td class="td-meaning"&gt;&lt;/td&gt;&lt;td&gt;&lt;div class="chip-row"&gt;&lt;/div&gt;&lt;/td&gt;&lt;td&gt;&lt;div class="chip-row"&gt;&lt;/div&gt;&lt;/td&gt;&lt;td class="td-res"&gt;&lt;/td&gt;&lt;/tr&gt;</t>
  </si>
  <si>
    <t>&lt;tr data-carc="" data-type="" data-rarc="N12 — Policy provides coverage supplemental to Medicare. As the member does not appear to be enrolled in the applicable part of Medicare, the member is responsible for payment of the portion of the charge that would have been covered by Medicare." data-denial="" data-root=""&gt;&lt;td&gt;&lt;div class="row-num"&gt;#249&lt;/div&gt;&lt;span class="carc-badge "&gt;&lt;/span&gt;&lt;/td&gt;&lt;td&gt;&lt;span class="denial-reason"&gt;&lt;/span&gt;&lt;/td&gt;&lt;td class="rarc-wrap"&gt;&lt;div class="rarc-id"&gt;N12&lt;/div&gt;&lt;div class="rarc-desc"&gt;Policy provides coverage supplemental to Medicare. As the member does not appear to be enrolled in the applicable part of Medicare, the member is responsible for payment of the portion of the charge that would have been covered by Medicare.&lt;/div&gt;&lt;/td&gt;&lt;td class="td-meaning"&gt;&lt;/td&gt;&lt;td&gt;&lt;div class="chip-row"&gt;&lt;/div&gt;&lt;/td&gt;&lt;td&gt;&lt;div class="chip-row"&gt;&lt;/div&gt;&lt;/td&gt;&lt;td class="td-res"&gt;&lt;/td&gt;&lt;/tr&gt;</t>
  </si>
  <si>
    <t>&lt;tr data-carc="" data-type="" data-rarc="N125 — 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 data-denial="" data-root=""&gt;&lt;td&gt;&lt;div class="row-num"&gt;#254&lt;/div&gt;&lt;span class="carc-badge "&gt;&lt;/span&gt;&lt;/td&gt;&lt;td&gt;&lt;span class="denial-reason"&gt;&lt;/span&gt;&lt;/td&gt;&lt;td class="rarc-wrap"&gt;&lt;div class="rarc-id"&gt;N125&lt;/div&gt;&lt;div class="rarc-desc"&gt;Payment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notice.&lt;/div&gt;&lt;/td&gt;&lt;td class="td-meaning"&gt;&lt;/td&gt;&lt;td&gt;&lt;div class="chip-row"&gt;&lt;/div&gt;&lt;/td&gt;&lt;td&gt;&lt;div class="chip-row"&gt;&lt;/div&gt;&lt;/td&gt;&lt;td class="td-res"&gt;&lt;/td&gt;&lt;/tr&gt;</t>
  </si>
  <si>
    <t>&lt;tr data-carc="" data-type="" data-rarc="N126 — Social Security Records indicate that this individual has been deported. This payer does not cover items and services furnished to individuals who have been deported." data-denial="" data-root=""&gt;&lt;td&gt;&lt;div class="row-num"&gt;#255&lt;/div&gt;&lt;span class="carc-badge "&gt;&lt;/span&gt;&lt;/td&gt;&lt;td&gt;&lt;span class="denial-reason"&gt;&lt;/span&gt;&lt;/td&gt;&lt;td class="rarc-wrap"&gt;&lt;div class="rarc-id"&gt;N126&lt;/div&gt;&lt;div class="rarc-desc"&gt;Social Security Records indicate that this individual has been deported. This payer does not cover items and services furnished to individuals who have been deported.&lt;/div&gt;&lt;/td&gt;&lt;td class="td-meaning"&gt;&lt;/td&gt;&lt;td&gt;&lt;div class="chip-row"&gt;&lt;/div&gt;&lt;/td&gt;&lt;td&gt;&lt;div class="chip-row"&gt;&lt;/div&gt;&lt;/td&gt;&lt;td class="td-res"&gt;&lt;/td&gt;&lt;/tr&gt;</t>
  </si>
  <si>
    <t>&lt;tr data-carc="" data-type="" data-rarc="N127 — This is a misdirected claim/service for a United Mine Workers of America (UMWA) beneficiary. Please submit claims to them." data-denial="" data-root=""&gt;&lt;td&gt;&lt;div class="row-num"&gt;#256&lt;/div&gt;&lt;span class="carc-badge "&gt;&lt;/span&gt;&lt;/td&gt;&lt;td&gt;&lt;span class="denial-reason"&gt;&lt;/span&gt;&lt;/td&gt;&lt;td class="rarc-wrap"&gt;&lt;div class="rarc-id"&gt;N127&lt;/div&gt;&lt;div class="rarc-desc"&gt;This is a misdirected claim/service for a United Mine Workers of America (UMWA) beneficiary. Please submit claims to them.&lt;/div&gt;&lt;/td&gt;&lt;td class="td-meaning"&gt;&lt;/td&gt;&lt;td&gt;&lt;div class="chip-row"&gt;&lt;/div&gt;&lt;/td&gt;&lt;td&gt;&lt;div class="chip-row"&gt;&lt;/div&gt;&lt;/td&gt;&lt;td class="td-res"&gt;&lt;/td&gt;&lt;/tr&gt;</t>
  </si>
  <si>
    <t>&lt;tr data-carc="" data-type="" data-rarc="N128 — This amount represents the prior to coverage portion of the allowance." data-denial="" data-root=""&gt;&lt;td&gt;&lt;div class="row-num"&gt;#257&lt;/div&gt;&lt;span class="carc-badge "&gt;&lt;/span&gt;&lt;/td&gt;&lt;td&gt;&lt;span class="denial-reason"&gt;&lt;/span&gt;&lt;/td&gt;&lt;td class="rarc-wrap"&gt;&lt;div class="rarc-id"&gt;N128&lt;/div&gt;&lt;div class="rarc-desc"&gt;This amount represents the prior to coverage portion of the allowance.&lt;/div&gt;&lt;/td&gt;&lt;td class="td-meaning"&gt;&lt;/td&gt;&lt;td&gt;&lt;div class="chip-row"&gt;&lt;/div&gt;&lt;/td&gt;&lt;td&gt;&lt;div class="chip-row"&gt;&lt;/div&gt;&lt;/td&gt;&lt;td class="td-res"&gt;&lt;/td&gt;&lt;/tr&gt;</t>
  </si>
  <si>
    <t>&lt;tr data-carc="" data-type="" data-rarc="N129 — Not eligible due to the patient's age." data-denial="" data-root=""&gt;&lt;td&gt;&lt;div class="row-num"&gt;#258&lt;/div&gt;&lt;span class="carc-badge "&gt;&lt;/span&gt;&lt;/td&gt;&lt;td&gt;&lt;span class="denial-reason"&gt;&lt;/span&gt;&lt;/td&gt;&lt;td class="rarc-wrap"&gt;&lt;div class="rarc-id"&gt;N129&lt;/div&gt;&lt;div class="rarc-desc"&gt;Not eligible due to the patient's age.&lt;/div&gt;&lt;/td&gt;&lt;td class="td-meaning"&gt;&lt;/td&gt;&lt;td&gt;&lt;div class="chip-row"&gt;&lt;/div&gt;&lt;/td&gt;&lt;td&gt;&lt;div class="chip-row"&gt;&lt;/div&gt;&lt;/td&gt;&lt;td class="td-res"&gt;&lt;/td&gt;&lt;/tr&gt;</t>
  </si>
  <si>
    <t>&lt;tr data-carc="" data-type="" data-rarc="N131 — Total payments under multiple contracts cannot exceed the allowance for this service." data-denial="" data-root=""&gt;&lt;td&gt;&lt;div class="row-num"&gt;#259&lt;/div&gt;&lt;span class="carc-badge "&gt;&lt;/span&gt;&lt;/td&gt;&lt;td&gt;&lt;span class="denial-reason"&gt;&lt;/span&gt;&lt;/td&gt;&lt;td class="rarc-wrap"&gt;&lt;div class="rarc-id"&gt;N131&lt;/div&gt;&lt;div class="rarc-desc"&gt;Total payments under multiple contracts cannot exceed the allowance for this service.&lt;/div&gt;&lt;/td&gt;&lt;td class="td-meaning"&gt;&lt;/td&gt;&lt;td&gt;&lt;div class="chip-row"&gt;&lt;/div&gt;&lt;/td&gt;&lt;td&gt;&lt;div class="chip-row"&gt;&lt;/div&gt;&lt;/td&gt;&lt;td class="td-res"&gt;&lt;/td&gt;&lt;/tr&gt;</t>
  </si>
  <si>
    <t>&lt;tr data-carc="" data-type="" data-rarc="N132 — Alert: Payments will cease for services rendered by this US Government debarred or excluded provider after the 30 day grace period as previously notified." data-denial="" data-root=""&gt;&lt;td&gt;&lt;div class="row-num"&gt;#260&lt;/div&gt;&lt;span class="carc-badge "&gt;&lt;/span&gt;&lt;/td&gt;&lt;td&gt;&lt;span class="denial-reason"&gt;&lt;/span&gt;&lt;/td&gt;&lt;td class="rarc-wrap"&gt;&lt;div class="rarc-id"&gt;N132&lt;/div&gt;&lt;div class="rarc-desc"&gt;Alert: Payments will cease for services rendered by this US Government debarred or excluded provider after the 30 day grace period as previously notified.&lt;/div&gt;&lt;/td&gt;&lt;td class="td-meaning"&gt;&lt;/td&gt;&lt;td&gt;&lt;div class="chip-row"&gt;&lt;/div&gt;&lt;/td&gt;&lt;td&gt;&lt;div class="chip-row"&gt;&lt;/div&gt;&lt;/td&gt;&lt;td class="td-res"&gt;&lt;/td&gt;&lt;/tr&gt;</t>
  </si>
  <si>
    <t>&lt;tr data-carc="" data-type="" data-rarc="N133 — Alert: Services for predetermination and services requesting payment are being processed separately." data-denial="" data-root=""&gt;&lt;td&gt;&lt;div class="row-num"&gt;#261&lt;/div&gt;&lt;span class="carc-badge "&gt;&lt;/span&gt;&lt;/td&gt;&lt;td&gt;&lt;span class="denial-reason"&gt;&lt;/span&gt;&lt;/td&gt;&lt;td class="rarc-wrap"&gt;&lt;div class="rarc-id"&gt;N133&lt;/div&gt;&lt;div class="rarc-desc"&gt;Alert: Services for predetermination and services requesting payment are being processed separately.&lt;/div&gt;&lt;/td&gt;&lt;td class="td-meaning"&gt;&lt;/td&gt;&lt;td&gt;&lt;div class="chip-row"&gt;&lt;/div&gt;&lt;/td&gt;&lt;td&gt;&lt;div class="chip-row"&gt;&lt;/div&gt;&lt;/td&gt;&lt;td class="td-res"&gt;&lt;/td&gt;&lt;/tr&gt;</t>
  </si>
  <si>
    <t>&lt;tr data-carc="" data-type="" data-rarc="N135 — Record fees are the patient's responsibility and limited to the specified co-payment." data-denial="" data-root=""&gt;&lt;td&gt;&lt;div class="row-num"&gt;#263&lt;/div&gt;&lt;span class="carc-badge "&gt;&lt;/span&gt;&lt;/td&gt;&lt;td&gt;&lt;span class="denial-reason"&gt;&lt;/span&gt;&lt;/td&gt;&lt;td class="rarc-wrap"&gt;&lt;div class="rarc-id"&gt;N135&lt;/div&gt;&lt;div class="rarc-desc"&gt;Record fees are the patient's responsibility and limited to the specified co-payment.&lt;/div&gt;&lt;/td&gt;&lt;td class="td-meaning"&gt;&lt;/td&gt;&lt;td&gt;&lt;div class="chip-row"&gt;&lt;/div&gt;&lt;/td&gt;&lt;td&gt;&lt;div class="chip-row"&gt;&lt;/div&gt;&lt;/td&gt;&lt;td class="td-res"&gt;&lt;/td&gt;&lt;/tr&gt;</t>
  </si>
  <si>
    <t>&lt;tr data-carc="" data-type="" data-rarc="N136 — Alert: To obtain information on the process to file an appeal in Arizona, call the Department's Consumer Assistance Office at (602) 912-8444 or (800) 325-2548." data-denial="" data-root=""&gt;&lt;td&gt;&lt;div class="row-num"&gt;#264&lt;/div&gt;&lt;span class="carc-badge "&gt;&lt;/span&gt;&lt;/td&gt;&lt;td&gt;&lt;span class="denial-reason"&gt;&lt;/span&gt;&lt;/td&gt;&lt;td class="rarc-wrap"&gt;&lt;div class="rarc-id"&gt;N136&lt;/div&gt;&lt;div class="rarc-desc"&gt;Alert: To obtain information on the process to file an appeal in Arizona, call the Department's Consumer Assistance Office at (602) 912-8444 or (800) 325-2548.&lt;/div&gt;&lt;/td&gt;&lt;td class="td-meaning"&gt;&lt;/td&gt;&lt;td&gt;&lt;div class="chip-row"&gt;&lt;/div&gt;&lt;/td&gt;&lt;td&gt;&lt;div class="chip-row"&gt;&lt;/div&gt;&lt;/td&gt;&lt;td class="td-res"&gt;&lt;/td&gt;&lt;/tr&gt;</t>
  </si>
  <si>
    <t>&lt;tr data-carc="" data-type="" data-rarc="N142 — The original claim was denied. Resubmit a new claim, not a replacement claim." data-denial="" data-root=""&gt;&lt;td&gt;&lt;div class="row-num"&gt;#268&lt;/div&gt;&lt;span class="carc-badge "&gt;&lt;/span&gt;&lt;/td&gt;&lt;td&gt;&lt;span class="denial-reason"&gt;&lt;/span&gt;&lt;/td&gt;&lt;td class="rarc-wrap"&gt;&lt;div class="rarc-id"&gt;N142&lt;/div&gt;&lt;div class="rarc-desc"&gt;The original claim was denied. Resubmit a new claim, not a replacement claim.&lt;/div&gt;&lt;/td&gt;&lt;td class="td-meaning"&gt;&lt;/td&gt;&lt;td&gt;&lt;div class="chip-row"&gt;&lt;/div&gt;&lt;/td&gt;&lt;td&gt;&lt;div class="chip-row"&gt;&lt;/div&gt;&lt;/td&gt;&lt;td class="td-res"&gt;&lt;/td&gt;&lt;/tr&gt;</t>
  </si>
  <si>
    <t>&lt;tr data-carc="" data-type="" data-rarc="N146 — Missing screening document." data-denial="" data-root=""&gt;&lt;td&gt;&lt;div class="row-num"&gt;#271&lt;/div&gt;&lt;span class="carc-badge "&gt;&lt;/span&gt;&lt;/td&gt;&lt;td&gt;&lt;span class="denial-reason"&gt;&lt;/span&gt;&lt;/td&gt;&lt;td class="rarc-wrap"&gt;&lt;div class="rarc-id"&gt;N146&lt;/div&gt;&lt;div class="rarc-desc"&gt;Missing screening document.&lt;/div&gt;&lt;/td&gt;&lt;td class="td-meaning"&gt;&lt;/td&gt;&lt;td&gt;&lt;div class="chip-row"&gt;&lt;/div&gt;&lt;/td&gt;&lt;td&gt;&lt;div class="chip-row"&gt;&lt;/div&gt;&lt;/td&gt;&lt;td class="td-res"&gt;&lt;/td&gt;&lt;/tr&gt;</t>
  </si>
  <si>
    <t>&lt;tr data-carc="" data-type="" data-rarc="N147 — Long term care case mix or per diem rate cannot be determined because the patient ID number is missing, incomplete, or invalid on the assignment request." data-denial="" data-root=""&gt;&lt;td&gt;&lt;div class="row-num"&gt;#272&lt;/div&gt;&lt;span class="carc-badge "&gt;&lt;/span&gt;&lt;/td&gt;&lt;td&gt;&lt;span class="denial-reason"&gt;&lt;/span&gt;&lt;/td&gt;&lt;td class="rarc-wrap"&gt;&lt;div class="rarc-id"&gt;N147&lt;/div&gt;&lt;div class="rarc-desc"&gt;Long term care case mix or per diem rate cannot be determined because the patient ID number is missing, incomplete, or invalid on the assignment request.&lt;/div&gt;&lt;/td&gt;&lt;td class="td-meaning"&gt;&lt;/td&gt;&lt;td&gt;&lt;div class="chip-row"&gt;&lt;/div&gt;&lt;/td&gt;&lt;td&gt;&lt;div class="chip-row"&gt;&lt;/div&gt;&lt;/td&gt;&lt;td class="td-res"&gt;&lt;/td&gt;&lt;/tr&gt;</t>
  </si>
  <si>
    <t>&lt;tr data-carc="" data-type="" data-rarc="N148 — Missing/incomplete/invalid date of last menstrual period." data-denial="" data-root=""&gt;&lt;td&gt;&lt;div class="row-num"&gt;#273&lt;/div&gt;&lt;span class="carc-badge "&gt;&lt;/span&gt;&lt;/td&gt;&lt;td&gt;&lt;span class="denial-reason"&gt;&lt;/span&gt;&lt;/td&gt;&lt;td class="rarc-wrap"&gt;&lt;div class="rarc-id"&gt;N148&lt;/div&gt;&lt;div class="rarc-desc"&gt;Missing/incomplete/invalid date of last menstrual period.&lt;/div&gt;&lt;/td&gt;&lt;td class="td-meaning"&gt;&lt;/td&gt;&lt;td&gt;&lt;div class="chip-row"&gt;&lt;/div&gt;&lt;/td&gt;&lt;td&gt;&lt;div class="chip-row"&gt;&lt;/div&gt;&lt;/td&gt;&lt;td class="td-res"&gt;&lt;/td&gt;&lt;/tr&gt;</t>
  </si>
  <si>
    <t>&lt;tr data-carc="" data-type="" data-rarc="N149 — Rebill all applicable services on a single claim." data-denial="" data-root=""&gt;&lt;td&gt;&lt;div class="row-num"&gt;#274&lt;/div&gt;&lt;span class="carc-badge "&gt;&lt;/span&gt;&lt;/td&gt;&lt;td&gt;&lt;span class="denial-reason"&gt;&lt;/span&gt;&lt;/td&gt;&lt;td class="rarc-wrap"&gt;&lt;div class="rarc-id"&gt;N149&lt;/div&gt;&lt;div class="rarc-desc"&gt;Rebill all applicable services on a single claim.&lt;/div&gt;&lt;/td&gt;&lt;td class="td-meaning"&gt;&lt;/td&gt;&lt;td&gt;&lt;div class="chip-row"&gt;&lt;/div&gt;&lt;/td&gt;&lt;td&gt;&lt;div class="chip-row"&gt;&lt;/div&gt;&lt;/td&gt;&lt;td class="td-res"&gt;&lt;/td&gt;&lt;/tr&gt;</t>
  </si>
  <si>
    <t>&lt;tr data-carc="" data-type="" data-rarc="N15 — Services for a newborn must be billed separately." data-denial="" data-root=""&gt;&lt;td&gt;&lt;div class="row-num"&gt;#275&lt;/div&gt;&lt;span class="carc-badge "&gt;&lt;/span&gt;&lt;/td&gt;&lt;td&gt;&lt;span class="denial-reason"&gt;&lt;/span&gt;&lt;/td&gt;&lt;td class="rarc-wrap"&gt;&lt;div class="rarc-id"&gt;N15&lt;/div&gt;&lt;div class="rarc-desc"&gt;Services for a newborn must be billed separately.&lt;/div&gt;&lt;/td&gt;&lt;td class="td-meaning"&gt;&lt;/td&gt;&lt;td&gt;&lt;div class="chip-row"&gt;&lt;/div&gt;&lt;/td&gt;&lt;td&gt;&lt;div class="chip-row"&gt;&lt;/div&gt;&lt;/td&gt;&lt;td class="td-res"&gt;&lt;/td&gt;&lt;/tr&gt;</t>
  </si>
  <si>
    <t>&lt;tr data-carc="" data-type="" data-rarc="N150 — Missing/incomplete/invalid model number." data-denial="" data-root=""&gt;&lt;td&gt;&lt;div class="row-num"&gt;#276&lt;/div&gt;&lt;span class="carc-badge "&gt;&lt;/span&gt;&lt;/td&gt;&lt;td&gt;&lt;span class="denial-reason"&gt;&lt;/span&gt;&lt;/td&gt;&lt;td class="rarc-wrap"&gt;&lt;div class="rarc-id"&gt;N150&lt;/div&gt;&lt;div class="rarc-desc"&gt;Missing/incomplete/invalid model number.&lt;/div&gt;&lt;/td&gt;&lt;td class="td-meaning"&gt;&lt;/td&gt;&lt;td&gt;&lt;div class="chip-row"&gt;&lt;/div&gt;&lt;/td&gt;&lt;td&gt;&lt;div class="chip-row"&gt;&lt;/div&gt;&lt;/td&gt;&lt;td class="td-res"&gt;&lt;/td&gt;&lt;/tr&gt;</t>
  </si>
  <si>
    <t>&lt;tr data-carc="" data-type="" data-rarc="N154 — Alert: This payment was delayed for correction of provider's mailing address." data-denial="" data-root=""&gt;&lt;td&gt;&lt;div class="row-num"&gt;#280&lt;/div&gt;&lt;span class="carc-badge "&gt;&lt;/span&gt;&lt;/td&gt;&lt;td&gt;&lt;span class="denial-reason"&gt;&lt;/span&gt;&lt;/td&gt;&lt;td class="rarc-wrap"&gt;&lt;div class="rarc-id"&gt;N154&lt;/div&gt;&lt;div class="rarc-desc"&gt;Alert: This payment was delayed for correction of provider's mailing address.&lt;/div&gt;&lt;/td&gt;&lt;td class="td-meaning"&gt;&lt;/td&gt;&lt;td&gt;&lt;div class="chip-row"&gt;&lt;/div&gt;&lt;/td&gt;&lt;td&gt;&lt;div class="chip-row"&gt;&lt;/div&gt;&lt;/td&gt;&lt;td class="td-res"&gt;&lt;/td&gt;&lt;/tr&gt;</t>
  </si>
  <si>
    <t>&lt;tr data-carc="" data-type="" data-rarc="N155 — Alert: Our records do not indicate that other insurance is on file. Please submit other insurance information for our records." data-denial="" data-root=""&gt;&lt;td&gt;&lt;div class="row-num"&gt;#281&lt;/div&gt;&lt;span class="carc-badge "&gt;&lt;/span&gt;&lt;/td&gt;&lt;td&gt;&lt;span class="denial-reason"&gt;&lt;/span&gt;&lt;/td&gt;&lt;td class="rarc-wrap"&gt;&lt;div class="rarc-id"&gt;N155&lt;/div&gt;&lt;div class="rarc-desc"&gt;Alert: Our records do not indicate that other insurance is on file. Please submit other insurance information for our records.&lt;/div&gt;&lt;/td&gt;&lt;td class="td-meaning"&gt;&lt;/td&gt;&lt;td&gt;&lt;div class="chip-row"&gt;&lt;/div&gt;&lt;/td&gt;&lt;td&gt;&lt;div class="chip-row"&gt;&lt;/div&gt;&lt;/td&gt;&lt;td class="td-res"&gt;&lt;/td&gt;&lt;/tr&gt;</t>
  </si>
  <si>
    <t>&lt;tr data-carc="" data-type="" data-rarc="N156 — Alert: The patient is responsible for the difference between the approved treatment and the elective treatment." data-denial="" data-root=""&gt;&lt;td&gt;&lt;div class="row-num"&gt;#282&lt;/div&gt;&lt;span class="carc-badge "&gt;&lt;/span&gt;&lt;/td&gt;&lt;td&gt;&lt;span class="denial-reason"&gt;&lt;/span&gt;&lt;/td&gt;&lt;td class="rarc-wrap"&gt;&lt;div class="rarc-id"&gt;N156&lt;/div&gt;&lt;div class="rarc-desc"&gt;Alert: The patient is responsible for the difference between the approved treatment and the elective treatment.&lt;/div&gt;&lt;/td&gt;&lt;td class="td-meaning"&gt;&lt;/td&gt;&lt;td&gt;&lt;div class="chip-row"&gt;&lt;/div&gt;&lt;/td&gt;&lt;td&gt;&lt;div class="chip-row"&gt;&lt;/div&gt;&lt;/td&gt;&lt;td class="td-res"&gt;&lt;/td&gt;&lt;/tr&gt;</t>
  </si>
  <si>
    <t>&lt;tr data-carc="" data-type="" data-rarc="N157 — Transportation to/from this destination is not covered." data-denial="" data-root=""&gt;&lt;td&gt;&lt;div class="row-num"&gt;#283&lt;/div&gt;&lt;span class="carc-badge "&gt;&lt;/span&gt;&lt;/td&gt;&lt;td&gt;&lt;span class="denial-reason"&gt;&lt;/span&gt;&lt;/td&gt;&lt;td class="rarc-wrap"&gt;&lt;div class="rarc-id"&gt;N157&lt;/div&gt;&lt;div class="rarc-desc"&gt;Transportation to/from this destination is not covered.&lt;/div&gt;&lt;/td&gt;&lt;td class="td-meaning"&gt;&lt;/td&gt;&lt;td&gt;&lt;div class="chip-row"&gt;&lt;/div&gt;&lt;/td&gt;&lt;td&gt;&lt;div class="chip-row"&gt;&lt;/div&gt;&lt;/td&gt;&lt;td class="td-res"&gt;&lt;/td&gt;&lt;/tr&gt;</t>
  </si>
  <si>
    <t>&lt;tr data-carc="" data-type="" data-rarc="N158 — Transportation in a vehicle other than an ambulance is not covered." data-denial="" data-root=""&gt;&lt;td&gt;&lt;div class="row-num"&gt;#284&lt;/div&gt;&lt;span class="carc-badge "&gt;&lt;/span&gt;&lt;/td&gt;&lt;td&gt;&lt;span class="denial-reason"&gt;&lt;/span&gt;&lt;/td&gt;&lt;td class="rarc-wrap"&gt;&lt;div class="rarc-id"&gt;N158&lt;/div&gt;&lt;div class="rarc-desc"&gt;Transportation in a vehicle other than an ambulance is not covered.&lt;/div&gt;&lt;/td&gt;&lt;td class="td-meaning"&gt;&lt;/td&gt;&lt;td&gt;&lt;div class="chip-row"&gt;&lt;/div&gt;&lt;/td&gt;&lt;td&gt;&lt;div class="chip-row"&gt;&lt;/div&gt;&lt;/td&gt;&lt;td class="td-res"&gt;&lt;/td&gt;&lt;/tr&gt;</t>
  </si>
  <si>
    <t>&lt;tr data-carc="" data-type="" data-rarc="N160 — The patient must choose an option before a payment can be made for this procedure/ equipment/ supply/ service." data-denial="" data-root=""&gt;&lt;td&gt;&lt;div class="row-num"&gt;#287&lt;/div&gt;&lt;span class="carc-badge "&gt;&lt;/span&gt;&lt;/td&gt;&lt;td&gt;&lt;span class="denial-reason"&gt;&lt;/span&gt;&lt;/td&gt;&lt;td class="rarc-wrap"&gt;&lt;div class="rarc-id"&gt;N160&lt;/div&gt;&lt;div class="rarc-desc"&gt;The patient must choose an option before a payment can be made for this procedure/ equipment/ supply/ service.&lt;/div&gt;&lt;/td&gt;&lt;td class="td-meaning"&gt;&lt;/td&gt;&lt;td&gt;&lt;div class="chip-row"&gt;&lt;/div&gt;&lt;/td&gt;&lt;td&gt;&lt;div class="chip-row"&gt;&lt;/div&gt;&lt;/td&gt;&lt;td class="td-res"&gt;&lt;/td&gt;&lt;/tr&gt;</t>
  </si>
  <si>
    <t>&lt;tr data-carc="" data-type="" data-rarc="N161 — This drug/service/supply is covered only when the associated service is covered." data-denial="" data-root=""&gt;&lt;td&gt;&lt;div class="row-num"&gt;#288&lt;/div&gt;&lt;span class="carc-badge "&gt;&lt;/span&gt;&lt;/td&gt;&lt;td&gt;&lt;span class="denial-reason"&gt;&lt;/span&gt;&lt;/td&gt;&lt;td class="rarc-wrap"&gt;&lt;div class="rarc-id"&gt;N161&lt;/div&gt;&lt;div class="rarc-desc"&gt;This drug/service/supply is covered only when the associated service is covered.&lt;/div&gt;&lt;/td&gt;&lt;td class="td-meaning"&gt;&lt;/td&gt;&lt;td&gt;&lt;div class="chip-row"&gt;&lt;/div&gt;&lt;/td&gt;&lt;td&gt;&lt;div class="chip-row"&gt;&lt;/div&gt;&lt;/td&gt;&lt;td class="td-res"&gt;&lt;/td&gt;&lt;/tr&gt;</t>
  </si>
  <si>
    <t>&lt;tr data-carc="" data-type="" data-rarc="N162 — Alert: Although your claim was paid, you have billed for a test/specialty not included in your Laboratory Certification. Your failure to correct the laboratory certification information will result in a denial of payment in the near future." data-denial="" data-root=""&gt;&lt;td&gt;&lt;div class="row-num"&gt;#289&lt;/div&gt;&lt;span class="carc-badge "&gt;&lt;/span&gt;&lt;/td&gt;&lt;td&gt;&lt;span class="denial-reason"&gt;&lt;/span&gt;&lt;/td&gt;&lt;td class="rarc-wrap"&gt;&lt;div class="rarc-id"&gt;N162&lt;/div&gt;&lt;div class="rarc-desc"&gt;Alert: Although your claim was paid, you have billed for a test/specialty not included in your Laboratory Certification. Your failure to correct the laboratory certification information will result in a denial of payment in the near future.&lt;/div&gt;&lt;/td&gt;&lt;td class="td-meaning"&gt;&lt;/td&gt;&lt;td&gt;&lt;div class="chip-row"&gt;&lt;/div&gt;&lt;/td&gt;&lt;td&gt;&lt;div class="chip-row"&gt;&lt;/div&gt;&lt;/td&gt;&lt;td class="td-res"&gt;&lt;/td&gt;&lt;/tr&gt;</t>
  </si>
  <si>
    <t>&lt;tr data-carc="" data-type="" data-rarc="N171 — Payment for repair or replacement is not covered or has exceeded the purchase price." data-denial="" data-root=""&gt;&lt;td&gt;&lt;div class="row-num"&gt;#293&lt;/div&gt;&lt;span class="carc-badge "&gt;&lt;/span&gt;&lt;/td&gt;&lt;td&gt;&lt;span class="denial-reason"&gt;&lt;/span&gt;&lt;/td&gt;&lt;td class="rarc-wrap"&gt;&lt;div class="rarc-id"&gt;N171&lt;/div&gt;&lt;div class="rarc-desc"&gt;Payment for repair or replacement is not covered or has exceeded the purchase price.&lt;/div&gt;&lt;/td&gt;&lt;td class="td-meaning"&gt;&lt;/td&gt;&lt;td&gt;&lt;div class="chip-row"&gt;&lt;/div&gt;&lt;/td&gt;&lt;td&gt;&lt;div class="chip-row"&gt;&lt;/div&gt;&lt;/td&gt;&lt;td class="td-res"&gt;&lt;/td&gt;&lt;/tr&gt;</t>
  </si>
  <si>
    <t>&lt;tr data-carc="" data-type="" data-rarc="N172 — The patient is not liable for the denied/adjusted charge(s) for receiving any updated service/item." data-denial="" data-root=""&gt;&lt;td&gt;&lt;div class="row-num"&gt;#294&lt;/div&gt;&lt;span class="carc-badge "&gt;&lt;/span&gt;&lt;/td&gt;&lt;td&gt;&lt;span class="denial-reason"&gt;&lt;/span&gt;&lt;/td&gt;&lt;td class="rarc-wrap"&gt;&lt;div class="rarc-id"&gt;N172&lt;/div&gt;&lt;div class="rarc-desc"&gt;The patient is not liable for the denied/adjusted charge(s) for receiving any updated service/item.&lt;/div&gt;&lt;/td&gt;&lt;td class="td-meaning"&gt;&lt;/td&gt;&lt;td&gt;&lt;div class="chip-row"&gt;&lt;/div&gt;&lt;/td&gt;&lt;td&gt;&lt;div class="chip-row"&gt;&lt;/div&gt;&lt;/td&gt;&lt;td class="td-res"&gt;&lt;/td&gt;&lt;/tr&gt;</t>
  </si>
  <si>
    <t>&lt;tr data-carc="" data-type="" data-rarc="N173 — No qualifying hospital stay dates were provided for this episode of care." data-denial="" data-root=""&gt;&lt;td&gt;&lt;div class="row-num"&gt;#295&lt;/div&gt;&lt;span class="carc-badge "&gt;&lt;/span&gt;&lt;/td&gt;&lt;td&gt;&lt;span class="denial-reason"&gt;&lt;/span&gt;&lt;/td&gt;&lt;td class="rarc-wrap"&gt;&lt;div class="rarc-id"&gt;N173&lt;/div&gt;&lt;div class="rarc-desc"&gt;No qualifying hospital stay dates were provided for this episode of care.&lt;/div&gt;&lt;/td&gt;&lt;td class="td-meaning"&gt;&lt;/td&gt;&lt;td&gt;&lt;div class="chip-row"&gt;&lt;/div&gt;&lt;/td&gt;&lt;td&gt;&lt;div class="chip-row"&gt;&lt;/div&gt;&lt;/td&gt;&lt;td class="td-res"&gt;&lt;/td&gt;&lt;/tr&gt;</t>
  </si>
  <si>
    <t>&lt;tr data-carc="" data-type="" data-rarc="N176 — Services provided aboard a ship are covered only when the ship is of United States registry and is in United States waters. In addition, a doctor licensed to practice in the United States must provide the service." data-denial="" data-root=""&gt;&lt;td&gt;&lt;div class="row-num"&gt;#298&lt;/div&gt;&lt;span class="carc-badge "&gt;&lt;/span&gt;&lt;/td&gt;&lt;td&gt;&lt;span class="denial-reason"&gt;&lt;/span&gt;&lt;/td&gt;&lt;td class="rarc-wrap"&gt;&lt;div class="rarc-id"&gt;N176&lt;/div&gt;&lt;div class="rarc-desc"&gt;Services provided aboard a ship are covered only when the ship is of United States registry and is in United States waters. In addition, a doctor licensed to practice in the United States must provide the service.&lt;/div&gt;&lt;/td&gt;&lt;td class="td-meaning"&gt;&lt;/td&gt;&lt;td&gt;&lt;div class="chip-row"&gt;&lt;/div&gt;&lt;/td&gt;&lt;td&gt;&lt;div class="chip-row"&gt;&lt;/div&gt;&lt;/td&gt;&lt;td class="td-res"&gt;&lt;/td&gt;&lt;/tr&gt;</t>
  </si>
  <si>
    <t>&lt;tr data-carc="" data-type="" data-rarc="N178 — Missing pre-operative images/visual field results." data-denial="" data-root=""&gt;&lt;td&gt;&lt;div class="row-num"&gt;#300&lt;/div&gt;&lt;span class="carc-badge "&gt;&lt;/span&gt;&lt;/td&gt;&lt;td&gt;&lt;span class="denial-reason"&gt;&lt;/span&gt;&lt;/td&gt;&lt;td class="rarc-wrap"&gt;&lt;div class="rarc-id"&gt;N178&lt;/div&gt;&lt;div class="rarc-desc"&gt;Missing pre-operative images/visual field results.&lt;/div&gt;&lt;/td&gt;&lt;td class="td-meaning"&gt;&lt;/td&gt;&lt;td&gt;&lt;div class="chip-row"&gt;&lt;/div&gt;&lt;/td&gt;&lt;td&gt;&lt;div class="chip-row"&gt;&lt;/div&gt;&lt;/td&gt;&lt;td class="td-res"&gt;&lt;/td&gt;&lt;/tr&gt;</t>
  </si>
  <si>
    <t>&lt;tr data-carc="" data-type="" data-rarc="N179 — Additional information has been requested from the member. The charges will be reconsidered upon receipt of that information." data-denial="" data-root=""&gt;&lt;td&gt;&lt;div class="row-num"&gt;#301&lt;/div&gt;&lt;span class="carc-badge "&gt;&lt;/span&gt;&lt;/td&gt;&lt;td&gt;&lt;span class="denial-reason"&gt;&lt;/span&gt;&lt;/td&gt;&lt;td class="rarc-wrap"&gt;&lt;div class="rarc-id"&gt;N179&lt;/div&gt;&lt;div class="rarc-desc"&gt;Additional information has been requested from the member. The charges will be reconsidered upon receipt of that information.&lt;/div&gt;&lt;/td&gt;&lt;td class="td-meaning"&gt;&lt;/td&gt;&lt;td&gt;&lt;div class="chip-row"&gt;&lt;/div&gt;&lt;/td&gt;&lt;td&gt;&lt;div class="chip-row"&gt;&lt;/div&gt;&lt;/td&gt;&lt;td class="td-res"&gt;&lt;/td&gt;&lt;/tr&gt;</t>
  </si>
  <si>
    <t>&lt;tr data-carc="" data-type="" data-rarc="N180 — This item or service does not meet the criteria for the category under which it was billed." data-denial="" data-root=""&gt;&lt;td&gt;&lt;div class="row-num"&gt;#302&lt;/div&gt;&lt;span class="carc-badge "&gt;&lt;/span&gt;&lt;/td&gt;&lt;td&gt;&lt;span class="denial-reason"&gt;&lt;/span&gt;&lt;/td&gt;&lt;td class="rarc-wrap"&gt;&lt;div class="rarc-id"&gt;N180&lt;/div&gt;&lt;div class="rarc-desc"&gt;This item or service does not meet the criteria for the category under which it was billed.&lt;/div&gt;&lt;/td&gt;&lt;td class="td-meaning"&gt;&lt;/td&gt;&lt;td&gt;&lt;div class="chip-row"&gt;&lt;/div&gt;&lt;/td&gt;&lt;td&gt;&lt;div class="chip-row"&gt;&lt;/div&gt;&lt;/td&gt;&lt;td class="td-res"&gt;&lt;/td&gt;&lt;/tr&gt;</t>
  </si>
  <si>
    <t>&lt;tr data-carc="" data-type="" data-rarc="N181 — Additional information is required from another provider involved in this service." data-denial="" data-root=""&gt;&lt;td&gt;&lt;div class="row-num"&gt;#303&lt;/div&gt;&lt;span class="carc-badge "&gt;&lt;/span&gt;&lt;/td&gt;&lt;td&gt;&lt;span class="denial-reason"&gt;&lt;/span&gt;&lt;/td&gt;&lt;td class="rarc-wrap"&gt;&lt;div class="rarc-id"&gt;N181&lt;/div&gt;&lt;div class="rarc-desc"&gt;Additional information is required from another provider involved in this service.&lt;/div&gt;&lt;/td&gt;&lt;td class="td-meaning"&gt;&lt;/td&gt;&lt;td&gt;&lt;div class="chip-row"&gt;&lt;/div&gt;&lt;/td&gt;&lt;td&gt;&lt;div class="chip-row"&gt;&lt;/div&gt;&lt;/td&gt;&lt;td class="td-res"&gt;&lt;/td&gt;&lt;/tr&gt;</t>
  </si>
  <si>
    <t>&lt;tr data-carc="" data-type="" data-rarc="N188 — The approved level of care does not match the procedure code submitted." data-denial="" data-root=""&gt;&lt;td&gt;&lt;div class="row-num"&gt;#310&lt;/div&gt;&lt;span class="carc-badge "&gt;&lt;/span&gt;&lt;/td&gt;&lt;td&gt;&lt;span class="denial-reason"&gt;&lt;/span&gt;&lt;/td&gt;&lt;td class="rarc-wrap"&gt;&lt;div class="rarc-id"&gt;N188&lt;/div&gt;&lt;div class="rarc-desc"&gt;The approved level of care does not match the procedure code submitted.&lt;/div&gt;&lt;/td&gt;&lt;td class="td-meaning"&gt;&lt;/td&gt;&lt;td&gt;&lt;div class="chip-row"&gt;&lt;/div&gt;&lt;/td&gt;&lt;td&gt;&lt;div class="chip-row"&gt;&lt;/div&gt;&lt;/td&gt;&lt;td class="td-res"&gt;&lt;/td&gt;&lt;/tr&gt;</t>
  </si>
  <si>
    <t>&lt;tr data-carc="" data-type="" data-rarc="N189 — Alert: This service has been paid as a one-time exception to the plan's benefit restrictions." data-denial="" data-root=""&gt;&lt;td&gt;&lt;div class="row-num"&gt;#311&lt;/div&gt;&lt;span class="carc-badge "&gt;&lt;/span&gt;&lt;/td&gt;&lt;td&gt;&lt;span class="denial-reason"&gt;&lt;/span&gt;&lt;/td&gt;&lt;td class="rarc-wrap"&gt;&lt;div class="rarc-id"&gt;N189&lt;/div&gt;&lt;div class="rarc-desc"&gt;Alert: This service has been paid as a one-time exception to the plan's benefit restrictions.&lt;/div&gt;&lt;/td&gt;&lt;td class="td-meaning"&gt;&lt;/td&gt;&lt;td&gt;&lt;div class="chip-row"&gt;&lt;/div&gt;&lt;/td&gt;&lt;td&gt;&lt;div class="chip-row"&gt;&lt;/div&gt;&lt;/td&gt;&lt;td class="td-res"&gt;&lt;/td&gt;&lt;/tr&gt;</t>
  </si>
  <si>
    <t>&lt;tr data-carc="" data-type="" data-rarc="N190 — Missing contract indicator." data-denial="" data-root=""&gt;&lt;td&gt;&lt;div class="row-num"&gt;#312&lt;/div&gt;&lt;span class="carc-badge "&gt;&lt;/span&gt;&lt;/td&gt;&lt;td&gt;&lt;span class="denial-reason"&gt;&lt;/span&gt;&lt;/td&gt;&lt;td class="rarc-wrap"&gt;&lt;div class="rarc-id"&gt;N190&lt;/div&gt;&lt;div class="rarc-desc"&gt;Missing contract indicator.&lt;/div&gt;&lt;/td&gt;&lt;td class="td-meaning"&gt;&lt;/td&gt;&lt;td&gt;&lt;div class="chip-row"&gt;&lt;/div&gt;&lt;/td&gt;&lt;td&gt;&lt;div class="chip-row"&gt;&lt;/div&gt;&lt;/td&gt;&lt;td class="td-res"&gt;&lt;/td&gt;&lt;/tr&gt;</t>
  </si>
  <si>
    <t>&lt;tr data-carc="" data-type="" data-rarc="N191 — The provider must update insurance information directly with payer." data-denial="" data-root=""&gt;&lt;td&gt;&lt;div class="row-num"&gt;#313&lt;/div&gt;&lt;span class="carc-badge "&gt;&lt;/span&gt;&lt;/td&gt;&lt;td&gt;&lt;span class="denial-reason"&gt;&lt;/span&gt;&lt;/td&gt;&lt;td class="rarc-wrap"&gt;&lt;div class="rarc-id"&gt;N191&lt;/div&gt;&lt;div class="rarc-desc"&gt;The provider must update insurance information directly with payer.&lt;/div&gt;&lt;/td&gt;&lt;td class="td-meaning"&gt;&lt;/td&gt;&lt;td&gt;&lt;div class="chip-row"&gt;&lt;/div&gt;&lt;/td&gt;&lt;td&gt;&lt;div class="chip-row"&gt;&lt;/div&gt;&lt;/td&gt;&lt;td class="td-res"&gt;&lt;/td&gt;&lt;/tr&gt;</t>
  </si>
  <si>
    <t>&lt;tr data-carc="" data-type="" data-rarc="N194 — Technical component not paid if provider does not own the equipment used." data-denial="" data-root=""&gt;&lt;td&gt;&lt;div class="row-num"&gt;#315&lt;/div&gt;&lt;span class="carc-badge "&gt;&lt;/span&gt;&lt;/td&gt;&lt;td&gt;&lt;span class="denial-reason"&gt;&lt;/span&gt;&lt;/td&gt;&lt;td class="rarc-wrap"&gt;&lt;div class="rarc-id"&gt;N194&lt;/div&gt;&lt;div class="rarc-desc"&gt;Technical component not paid if provider does not own the equipment used.&lt;/div&gt;&lt;/td&gt;&lt;td class="td-meaning"&gt;&lt;/td&gt;&lt;td&gt;&lt;div class="chip-row"&gt;&lt;/div&gt;&lt;/td&gt;&lt;td&gt;&lt;div class="chip-row"&gt;&lt;/div&gt;&lt;/td&gt;&lt;td class="td-res"&gt;&lt;/td&gt;&lt;/tr&gt;</t>
  </si>
  <si>
    <t>&lt;tr data-carc="" data-type="" data-rarc="N197 — The subscriber must update insurance information directly with payer." data-denial="" data-root=""&gt;&lt;td&gt;&lt;div class="row-num"&gt;#318&lt;/div&gt;&lt;span class="carc-badge "&gt;&lt;/span&gt;&lt;/td&gt;&lt;td&gt;&lt;span class="denial-reason"&gt;&lt;/span&gt;&lt;/td&gt;&lt;td class="rarc-wrap"&gt;&lt;div class="rarc-id"&gt;N197&lt;/div&gt;&lt;div class="rarc-desc"&gt;The subscriber must update insurance information directly with payer.&lt;/div&gt;&lt;/td&gt;&lt;td class="td-meaning"&gt;&lt;/td&gt;&lt;td&gt;&lt;div class="chip-row"&gt;&lt;/div&gt;&lt;/td&gt;&lt;td&gt;&lt;div class="chip-row"&gt;&lt;/div&gt;&lt;/td&gt;&lt;td class="td-res"&gt;&lt;/td&gt;&lt;/tr&gt;</t>
  </si>
  <si>
    <t>&lt;tr data-carc="" data-type="" data-rarc="N199 — Additional payment/recoupment approved based on payer-initiated review/audit." data-denial="" data-root=""&gt;&lt;td&gt;&lt;div class="row-num"&gt;#320&lt;/div&gt;&lt;span class="carc-badge "&gt;&lt;/span&gt;&lt;/td&gt;&lt;td&gt;&lt;span class="denial-reason"&gt;&lt;/span&gt;&lt;/td&gt;&lt;td class="rarc-wrap"&gt;&lt;div class="rarc-id"&gt;N199&lt;/div&gt;&lt;div class="rarc-desc"&gt;Additional payment/recoupment approved based on payer-initiated review/audit.&lt;/div&gt;&lt;/td&gt;&lt;td class="td-meaning"&gt;&lt;/td&gt;&lt;td&gt;&lt;div class="chip-row"&gt;&lt;/div&gt;&lt;/td&gt;&lt;td&gt;&lt;div class="chip-row"&gt;&lt;/div&gt;&lt;/td&gt;&lt;td class="td-res"&gt;&lt;/td&gt;&lt;/tr&gt;</t>
  </si>
  <si>
    <t>&lt;tr data-carc="" data-type="" data-rarc="N20 — Service not payable with other service rendered on the same date." data-denial="" data-root=""&gt;&lt;td&gt;&lt;div class="row-num"&gt;#322&lt;/div&gt;&lt;span class="carc-badge "&gt;&lt;/span&gt;&lt;/td&gt;&lt;td&gt;&lt;span class="denial-reason"&gt;&lt;/span&gt;&lt;/td&gt;&lt;td class="rarc-wrap"&gt;&lt;div class="rarc-id"&gt;N20&lt;/div&gt;&lt;div class="rarc-desc"&gt;Service not payable with other service rendered on the same date.&lt;/div&gt;&lt;/td&gt;&lt;td class="td-meaning"&gt;&lt;/td&gt;&lt;td&gt;&lt;div class="chip-row"&gt;&lt;/div&gt;&lt;/td&gt;&lt;td&gt;&lt;div class="chip-row"&gt;&lt;/div&gt;&lt;/td&gt;&lt;td class="td-res"&gt;&lt;/td&gt;&lt;/tr&gt;</t>
  </si>
  <si>
    <t>&lt;tr data-carc="" data-type="" data-rarc="N200 — The professional component must be billed separately." data-denial="" data-root=""&gt;&lt;td&gt;&lt;div class="row-num"&gt;#323&lt;/div&gt;&lt;span class="carc-badge "&gt;&lt;/span&gt;&lt;/td&gt;&lt;td&gt;&lt;span class="denial-reason"&gt;&lt;/span&gt;&lt;/td&gt;&lt;td class="rarc-wrap"&gt;&lt;div class="rarc-id"&gt;N200&lt;/div&gt;&lt;div class="rarc-desc"&gt;The professional component must be billed separately.&lt;/div&gt;&lt;/td&gt;&lt;td class="td-meaning"&gt;&lt;/td&gt;&lt;td&gt;&lt;div class="chip-row"&gt;&lt;/div&gt;&lt;/td&gt;&lt;td&gt;&lt;div class="chip-row"&gt;&lt;/div&gt;&lt;/td&gt;&lt;td class="td-res"&gt;&lt;/td&gt;&lt;/tr&gt;</t>
  </si>
  <si>
    <t>&lt;tr data-carc="" data-type="" data-rarc="N202 — Alert: Additional information/explanation will be sent separately." data-denial="" data-root=""&gt;&lt;td&gt;&lt;div class="row-num"&gt;#324&lt;/div&gt;&lt;span class="carc-badge "&gt;&lt;/span&gt;&lt;/td&gt;&lt;td&gt;&lt;span class="denial-reason"&gt;&lt;/span&gt;&lt;/td&gt;&lt;td class="rarc-wrap"&gt;&lt;div class="rarc-id"&gt;N202&lt;/div&gt;&lt;div class="rarc-desc"&gt;Alert: Additional information/explanation will be sent separately.&lt;/div&gt;&lt;/td&gt;&lt;td class="td-meaning"&gt;&lt;/td&gt;&lt;td&gt;&lt;div class="chip-row"&gt;&lt;/div&gt;&lt;/td&gt;&lt;td&gt;&lt;div class="chip-row"&gt;&lt;/div&gt;&lt;/td&gt;&lt;td class="td-res"&gt;&lt;/td&gt;&lt;/tr&gt;</t>
  </si>
  <si>
    <t>&lt;tr data-carc="" data-type="" data-rarc="N203 — Missing/incomplete/invalid anesthesia time/units." data-denial="" data-root=""&gt;&lt;td&gt;&lt;div class="row-num"&gt;#325&lt;/div&gt;&lt;span class="carc-badge "&gt;&lt;/span&gt;&lt;/td&gt;&lt;td&gt;&lt;span class="denial-reason"&gt;&lt;/span&gt;&lt;/td&gt;&lt;td class="rarc-wrap"&gt;&lt;div class="rarc-id"&gt;N203&lt;/div&gt;&lt;div class="rarc-desc"&gt;Missing/incomplete/invalid anesthesia time/units.&lt;/div&gt;&lt;/td&gt;&lt;td class="td-meaning"&gt;&lt;/td&gt;&lt;td&gt;&lt;div class="chip-row"&gt;&lt;/div&gt;&lt;/td&gt;&lt;td&gt;&lt;div class="chip-row"&gt;&lt;/div&gt;&lt;/td&gt;&lt;td class="td-res"&gt;&lt;/td&gt;&lt;/tr&gt;</t>
  </si>
  <si>
    <t>&lt;tr data-carc="" data-type="" data-rarc="N204 — Services under review for possible pre-existing condition. Send medical records for prior 12 months" data-denial="" data-root=""&gt;&lt;td&gt;&lt;div class="row-num"&gt;#326&lt;/div&gt;&lt;span class="carc-badge "&gt;&lt;/span&gt;&lt;/td&gt;&lt;td&gt;&lt;span class="denial-reason"&gt;&lt;/span&gt;&lt;/td&gt;&lt;td class="rarc-wrap"&gt;&lt;div class="rarc-id"&gt;N204&lt;/div&gt;&lt;div class="rarc-desc"&gt;Services under review for possible pre-existing condition. Send medical records for prior 12 months&lt;/div&gt;&lt;/td&gt;&lt;td class="td-meaning"&gt;&lt;/td&gt;&lt;td&gt;&lt;div class="chip-row"&gt;&lt;/div&gt;&lt;/td&gt;&lt;td&gt;&lt;div class="chip-row"&gt;&lt;/div&gt;&lt;/td&gt;&lt;td class="td-res"&gt;&lt;/td&gt;&lt;/tr&gt;</t>
  </si>
  <si>
    <t>&lt;tr data-carc="" data-type="" data-rarc="N206 — The supporting documentation does not match the information sent on the claim." data-denial="" data-root=""&gt;&lt;td&gt;&lt;div class="row-num"&gt;#328&lt;/div&gt;&lt;span class="carc-badge "&gt;&lt;/span&gt;&lt;/td&gt;&lt;td&gt;&lt;span class="denial-reason"&gt;&lt;/span&gt;&lt;/td&gt;&lt;td class="rarc-wrap"&gt;&lt;div class="rarc-id"&gt;N206&lt;/div&gt;&lt;div class="rarc-desc"&gt;The supporting documentation does not match the information sent on the claim.&lt;/div&gt;&lt;/td&gt;&lt;td class="td-meaning"&gt;&lt;/td&gt;&lt;td&gt;&lt;div class="chip-row"&gt;&lt;/div&gt;&lt;/td&gt;&lt;td&gt;&lt;div class="chip-row"&gt;&lt;/div&gt;&lt;/td&gt;&lt;td class="td-res"&gt;&lt;/td&gt;&lt;/tr&gt;</t>
  </si>
  <si>
    <t>&lt;tr data-carc="" data-type="" data-rarc="N207 — Missing/incomplete/invalid weight." data-denial="" data-root=""&gt;&lt;td&gt;&lt;div class="row-num"&gt;#329&lt;/div&gt;&lt;span class="carc-badge "&gt;&lt;/span&gt;&lt;/td&gt;&lt;td&gt;&lt;span class="denial-reason"&gt;&lt;/span&gt;&lt;/td&gt;&lt;td class="rarc-wrap"&gt;&lt;div class="rarc-id"&gt;N207&lt;/div&gt;&lt;div class="rarc-desc"&gt;Missing/incomplete/invalid weight.&lt;/div&gt;&lt;/td&gt;&lt;td class="td-meaning"&gt;&lt;/td&gt;&lt;td&gt;&lt;div class="chip-row"&gt;&lt;/div&gt;&lt;/td&gt;&lt;td&gt;&lt;div class="chip-row"&gt;&lt;/div&gt;&lt;/td&gt;&lt;td class="td-res"&gt;&lt;/td&gt;&lt;/tr&gt;</t>
  </si>
  <si>
    <t>&lt;tr data-carc="" data-type="" data-rarc="N215 — Alert: A payer providing supplemental or secondary coverage shall not require a claims determination for this service from a primary payer as a condition of making its own claims determination." data-denial="" data-root=""&gt;&lt;td&gt;&lt;div class="row-num"&gt;#338&lt;/div&gt;&lt;span class="carc-badge "&gt;&lt;/span&gt;&lt;/td&gt;&lt;td&gt;&lt;span class="denial-reason"&gt;&lt;/span&gt;&lt;/td&gt;&lt;td class="rarc-wrap"&gt;&lt;div class="rarc-id"&gt;N215&lt;/div&gt;&lt;div class="rarc-desc"&gt;Alert: A payer providing supplemental or secondary coverage shall not require a claims determination for this service from a primary payer as a condition of making its own claims determination.&lt;/div&gt;&lt;/td&gt;&lt;td class="td-meaning"&gt;&lt;/td&gt;&lt;td&gt;&lt;div class="chip-row"&gt;&lt;/div&gt;&lt;/td&gt;&lt;td&gt;&lt;div class="chip-row"&gt;&lt;/div&gt;&lt;/td&gt;&lt;td class="td-res"&gt;&lt;/td&gt;&lt;/tr&gt;</t>
  </si>
  <si>
    <t>&lt;tr data-carc="" data-type="" data-rarc="N218 — You must furnish and service this item for as long as the patient continues to need it. We can pay for maintenance and/or servicing for the time period specified in the contract or coverage manual." data-denial="" data-root=""&gt;&lt;td&gt;&lt;div class="row-num"&gt;#341&lt;/div&gt;&lt;span class="carc-badge "&gt;&lt;/span&gt;&lt;/td&gt;&lt;td&gt;&lt;span class="denial-reason"&gt;&lt;/span&gt;&lt;/td&gt;&lt;td class="rarc-wrap"&gt;&lt;div class="rarc-id"&gt;N218&lt;/div&gt;&lt;div class="rarc-desc"&gt;You must furnish and service this item for as long as the patient continues to need it. We can pay for maintenance and/or servicing for the time period specified in the contract or coverage manual.&lt;/div&gt;&lt;/td&gt;&lt;td class="td-meaning"&gt;&lt;/td&gt;&lt;td&gt;&lt;div class="chip-row"&gt;&lt;/div&gt;&lt;/td&gt;&lt;td&gt;&lt;div class="chip-row"&gt;&lt;/div&gt;&lt;/td&gt;&lt;td class="td-res"&gt;&lt;/td&gt;&lt;/tr&gt;</t>
  </si>
  <si>
    <t>&lt;tr data-carc="" data-type="" data-rarc="N221 — Missing Admitting History and Physical report." data-denial="" data-root=""&gt;&lt;td&gt;&lt;div class="row-num"&gt;#345&lt;/div&gt;&lt;span class="carc-badge "&gt;&lt;/span&gt;&lt;/td&gt;&lt;td&gt;&lt;span class="denial-reason"&gt;&lt;/span&gt;&lt;/td&gt;&lt;td class="rarc-wrap"&gt;&lt;div class="rarc-id"&gt;N221&lt;/div&gt;&lt;div class="rarc-desc"&gt;Missing Admitting History and Physical report.&lt;/div&gt;&lt;/td&gt;&lt;td class="td-meaning"&gt;&lt;/td&gt;&lt;td&gt;&lt;div class="chip-row"&gt;&lt;/div&gt;&lt;/td&gt;&lt;td&gt;&lt;div class="chip-row"&gt;&lt;/div&gt;&lt;/td&gt;&lt;td class="td-res"&gt;&lt;/td&gt;&lt;/tr&gt;</t>
  </si>
  <si>
    <t>&lt;tr data-carc="" data-type="" data-rarc="N222 — Incomplete/invalid Admitting History and Physical report." data-denial="" data-root=""&gt;&lt;td&gt;&lt;div class="row-num"&gt;#346&lt;/div&gt;&lt;span class="carc-badge "&gt;&lt;/span&gt;&lt;/td&gt;&lt;td&gt;&lt;span class="denial-reason"&gt;&lt;/span&gt;&lt;/td&gt;&lt;td class="rarc-wrap"&gt;&lt;div class="rarc-id"&gt;N222&lt;/div&gt;&lt;div class="rarc-desc"&gt;Incomplete/invalid Admitting History and Physical report.&lt;/div&gt;&lt;/td&gt;&lt;td class="td-meaning"&gt;&lt;/td&gt;&lt;td&gt;&lt;div class="chip-row"&gt;&lt;/div&gt;&lt;/td&gt;&lt;td&gt;&lt;div class="chip-row"&gt;&lt;/div&gt;&lt;/td&gt;&lt;td class="td-res"&gt;&lt;/td&gt;&lt;/tr&gt;</t>
  </si>
  <si>
    <t>&lt;tr data-carc="" data-type="" data-rarc="N223 — Missing documentation of benefit to the patient during initial treatment period." data-denial="" data-root=""&gt;&lt;td&gt;&lt;div class="row-num"&gt;#347&lt;/div&gt;&lt;span class="carc-badge "&gt;&lt;/span&gt;&lt;/td&gt;&lt;td&gt;&lt;span class="denial-reason"&gt;&lt;/span&gt;&lt;/td&gt;&lt;td class="rarc-wrap"&gt;&lt;div class="rarc-id"&gt;N223&lt;/div&gt;&lt;div class="rarc-desc"&gt;Missing documentation of benefit to the patient during initial treatment period.&lt;/div&gt;&lt;/td&gt;&lt;td class="td-meaning"&gt;&lt;/td&gt;&lt;td&gt;&lt;div class="chip-row"&gt;&lt;/div&gt;&lt;/td&gt;&lt;td&gt;&lt;div class="chip-row"&gt;&lt;/div&gt;&lt;/td&gt;&lt;td class="td-res"&gt;&lt;/td&gt;&lt;/tr&gt;</t>
  </si>
  <si>
    <t>&lt;tr data-carc="" data-type="" data-rarc="N232 — Incomplete/invalid itemized bill/statement." data-denial="" data-root=""&gt;&lt;td&gt;&lt;div class="row-num"&gt;#356&lt;/div&gt;&lt;span class="carc-badge "&gt;&lt;/span&gt;&lt;/td&gt;&lt;td&gt;&lt;span class="denial-reason"&gt;&lt;/span&gt;&lt;/td&gt;&lt;td class="rarc-wrap"&gt;&lt;div class="rarc-id"&gt;N232&lt;/div&gt;&lt;div class="rarc-desc"&gt;Incomplete/invalid itemized bill/statement.&lt;/div&gt;&lt;/td&gt;&lt;td class="td-meaning"&gt;&lt;/td&gt;&lt;td&gt;&lt;div class="chip-row"&gt;&lt;/div&gt;&lt;/td&gt;&lt;td&gt;&lt;div class="chip-row"&gt;&lt;/div&gt;&lt;/td&gt;&lt;td class="td-res"&gt;&lt;/td&gt;&lt;/tr&gt;</t>
  </si>
  <si>
    <t>&lt;tr data-carc="" data-type="" data-rarc="N234 — Incomplete/invalid oxygen certification/re-certification." data-denial="" data-root=""&gt;&lt;td&gt;&lt;div class="row-num"&gt;#358&lt;/div&gt;&lt;span class="carc-badge "&gt;&lt;/span&gt;&lt;/td&gt;&lt;td&gt;&lt;span class="denial-reason"&gt;&lt;/span&gt;&lt;/td&gt;&lt;td class="rarc-wrap"&gt;&lt;div class="rarc-id"&gt;N234&lt;/div&gt;&lt;div class="rarc-desc"&gt;Incomplete/invalid oxygen certification/re-certification.&lt;/div&gt;&lt;/td&gt;&lt;td class="td-meaning"&gt;&lt;/td&gt;&lt;td&gt;&lt;div class="chip-row"&gt;&lt;/div&gt;&lt;/td&gt;&lt;td&gt;&lt;div class="chip-row"&gt;&lt;/div&gt;&lt;/td&gt;&lt;td class="td-res"&gt;&lt;/td&gt;&lt;/tr&gt;</t>
  </si>
  <si>
    <t>&lt;tr data-carc="" data-type="" data-rarc="N235 — Incomplete/invalid pacemaker registration form." data-denial="" data-root=""&gt;&lt;td&gt;&lt;div class="row-num"&gt;#359&lt;/div&gt;&lt;span class="carc-badge "&gt;&lt;/span&gt;&lt;/td&gt;&lt;td&gt;&lt;span class="denial-reason"&gt;&lt;/span&gt;&lt;/td&gt;&lt;td class="rarc-wrap"&gt;&lt;div class="rarc-id"&gt;N235&lt;/div&gt;&lt;div class="rarc-desc"&gt;Incomplete/invalid pacemaker registration form.&lt;/div&gt;&lt;/td&gt;&lt;td class="td-meaning"&gt;&lt;/td&gt;&lt;td&gt;&lt;div class="chip-row"&gt;&lt;/div&gt;&lt;/td&gt;&lt;td&gt;&lt;div class="chip-row"&gt;&lt;/div&gt;&lt;/td&gt;&lt;td class="td-res"&gt;&lt;/td&gt;&lt;/tr&gt;</t>
  </si>
  <si>
    <t>&lt;tr data-carc="" data-type="" data-rarc="N236 — Incomplete/invalid pathology report." data-denial="" data-root=""&gt;&lt;td&gt;&lt;div class="row-num"&gt;#360&lt;/div&gt;&lt;span class="carc-badge "&gt;&lt;/span&gt;&lt;/td&gt;&lt;td&gt;&lt;span class="denial-reason"&gt;&lt;/span&gt;&lt;/td&gt;&lt;td class="rarc-wrap"&gt;&lt;div class="rarc-id"&gt;N236&lt;/div&gt;&lt;div class="rarc-desc"&gt;Incomplete/invalid pathology report.&lt;/div&gt;&lt;/td&gt;&lt;td class="td-meaning"&gt;&lt;/td&gt;&lt;td&gt;&lt;div class="chip-row"&gt;&lt;/div&gt;&lt;/td&gt;&lt;td&gt;&lt;div class="chip-row"&gt;&lt;/div&gt;&lt;/td&gt;&lt;td class="td-res"&gt;&lt;/td&gt;&lt;/tr&gt;</t>
  </si>
  <si>
    <t>&lt;tr data-carc="" data-type="" data-rarc="N238 — Incomplete/invalid physician certified plan of care." data-denial="" data-root=""&gt;&lt;td&gt;&lt;div class="row-num"&gt;#362&lt;/div&gt;&lt;span class="carc-badge "&gt;&lt;/span&gt;&lt;/td&gt;&lt;td&gt;&lt;span class="denial-reason"&gt;&lt;/span&gt;&lt;/td&gt;&lt;td class="rarc-wrap"&gt;&lt;div class="rarc-id"&gt;N238&lt;/div&gt;&lt;div class="rarc-desc"&gt;Incomplete/invalid physician certified plan of care.&lt;/div&gt;&lt;/td&gt;&lt;td class="td-meaning"&gt;&lt;/td&gt;&lt;td&gt;&lt;div class="chip-row"&gt;&lt;/div&gt;&lt;/td&gt;&lt;td&gt;&lt;div class="chip-row"&gt;&lt;/div&gt;&lt;/td&gt;&lt;td class="td-res"&gt;&lt;/td&gt;&lt;/tr&gt;</t>
  </si>
  <si>
    <t>&lt;tr data-carc="" data-type="" data-rarc="N243 — Incomplete/invalid/not approved screening document." data-denial="" data-root=""&gt;&lt;td&gt;&lt;div class="row-num"&gt;#368&lt;/div&gt;&lt;span class="carc-badge "&gt;&lt;/span&gt;&lt;/td&gt;&lt;td&gt;&lt;span class="denial-reason"&gt;&lt;/span&gt;&lt;/td&gt;&lt;td class="rarc-wrap"&gt;&lt;div class="rarc-id"&gt;N243&lt;/div&gt;&lt;div class="rarc-desc"&gt;Incomplete/invalid/not approved screening document.&lt;/div&gt;&lt;/td&gt;&lt;td class="td-meaning"&gt;&lt;/td&gt;&lt;td&gt;&lt;div class="chip-row"&gt;&lt;/div&gt;&lt;/td&gt;&lt;td&gt;&lt;div class="chip-row"&gt;&lt;/div&gt;&lt;/td&gt;&lt;td class="td-res"&gt;&lt;/td&gt;&lt;/tr&gt;</t>
  </si>
  <si>
    <t>&lt;tr data-carc="" data-type="" data-rarc="N246 — State regulated patient payment limitations apply to this service." data-denial="" data-root=""&gt;&lt;td&gt;&lt;div class="row-num"&gt;#371&lt;/div&gt;&lt;span class="carc-badge "&gt;&lt;/span&gt;&lt;/td&gt;&lt;td&gt;&lt;span class="denial-reason"&gt;&lt;/span&gt;&lt;/td&gt;&lt;td class="rarc-wrap"&gt;&lt;div class="rarc-id"&gt;N246&lt;/div&gt;&lt;div class="rarc-desc"&gt;State regulated patient payment limitations apply to this service.&lt;/div&gt;&lt;/td&gt;&lt;td class="td-meaning"&gt;&lt;/td&gt;&lt;td&gt;&lt;div class="chip-row"&gt;&lt;/div&gt;&lt;/td&gt;&lt;td&gt;&lt;div class="chip-row"&gt;&lt;/div&gt;&lt;/td&gt;&lt;td class="td-res"&gt;&lt;/td&gt;&lt;/tr&gt;</t>
  </si>
  <si>
    <t>&lt;tr data-carc="" data-type="" data-rarc="N250 — Missing/incomplete/invalid assistant surgeon secondary identifier." data-denial="" data-root=""&gt;&lt;td&gt;&lt;div class="row-num"&gt;#376&lt;/div&gt;&lt;span class="carc-badge "&gt;&lt;/span&gt;&lt;/td&gt;&lt;td&gt;&lt;span class="denial-reason"&gt;&lt;/span&gt;&lt;/td&gt;&lt;td class="rarc-wrap"&gt;&lt;div class="rarc-id"&gt;N250&lt;/div&gt;&lt;div class="rarc-desc"&gt;Missing/incomplete/invalid assistant surgeon secondary identifier.&lt;/div&gt;&lt;/td&gt;&lt;td class="td-meaning"&gt;&lt;/td&gt;&lt;td&gt;&lt;div class="chip-row"&gt;&lt;/div&gt;&lt;/td&gt;&lt;td&gt;&lt;div class="chip-row"&gt;&lt;/div&gt;&lt;/td&gt;&lt;td class="td-res"&gt;&lt;/td&gt;&lt;/tr&gt;</t>
  </si>
  <si>
    <t>&lt;tr data-carc="" data-type="" data-rarc="N252 — Missing/incomplete/invalid attending provider name." data-denial="" data-root=""&gt;&lt;td&gt;&lt;div class="row-num"&gt;#378&lt;/div&gt;&lt;span class="carc-badge "&gt;&lt;/span&gt;&lt;/td&gt;&lt;td&gt;&lt;span class="denial-reason"&gt;&lt;/span&gt;&lt;/td&gt;&lt;td class="rarc-wrap"&gt;&lt;div class="rarc-id"&gt;N252&lt;/div&gt;&lt;div class="rarc-desc"&gt;Missing/incomplete/invalid attending provider name.&lt;/div&gt;&lt;/td&gt;&lt;td class="td-meaning"&gt;&lt;/td&gt;&lt;td&gt;&lt;div class="chip-row"&gt;&lt;/div&gt;&lt;/td&gt;&lt;td&gt;&lt;div class="chip-row"&gt;&lt;/div&gt;&lt;/td&gt;&lt;td class="td-res"&gt;&lt;/td&gt;&lt;/tr&gt;</t>
  </si>
  <si>
    <t>&lt;tr data-carc="" data-type="" data-rarc="N253 — Missing/incomplete/invalid attending provider primary identifier." data-denial="" data-root=""&gt;&lt;td&gt;&lt;div class="row-num"&gt;#379&lt;/div&gt;&lt;span class="carc-badge "&gt;&lt;/span&gt;&lt;/td&gt;&lt;td&gt;&lt;span class="denial-reason"&gt;&lt;/span&gt;&lt;/td&gt;&lt;td class="rarc-wrap"&gt;&lt;div class="rarc-id"&gt;N253&lt;/div&gt;&lt;div class="rarc-desc"&gt;Missing/incomplete/invalid attending provider primary identifier.&lt;/div&gt;&lt;/td&gt;&lt;td class="td-meaning"&gt;&lt;/td&gt;&lt;td&gt;&lt;div class="chip-row"&gt;&lt;/div&gt;&lt;/td&gt;&lt;td&gt;&lt;div class="chip-row"&gt;&lt;/div&gt;&lt;/td&gt;&lt;td class="td-res"&gt;&lt;/td&gt;&lt;/tr&gt;</t>
  </si>
  <si>
    <t>&lt;tr data-carc="" data-type="" data-rarc="N255 — Missing/incomplete/invalid billing provider taxonomy." data-denial="" data-root=""&gt;&lt;td&gt;&lt;div class="row-num"&gt;#381&lt;/div&gt;&lt;span class="carc-badge "&gt;&lt;/span&gt;&lt;/td&gt;&lt;td&gt;&lt;span class="denial-reason"&gt;&lt;/span&gt;&lt;/td&gt;&lt;td class="rarc-wrap"&gt;&lt;div class="rarc-id"&gt;N255&lt;/div&gt;&lt;div class="rarc-desc"&gt;Missing/incomplete/invalid billing provider taxonomy.&lt;/div&gt;&lt;/td&gt;&lt;td class="td-meaning"&gt;&lt;/td&gt;&lt;td&gt;&lt;div class="chip-row"&gt;&lt;/div&gt;&lt;/td&gt;&lt;td&gt;&lt;div class="chip-row"&gt;&lt;/div&gt;&lt;/td&gt;&lt;td class="td-res"&gt;&lt;/td&gt;&lt;/tr&gt;</t>
  </si>
  <si>
    <t>&lt;tr data-carc="" data-type="" data-rarc="N256 — Missing/incomplete/invalid billing provider/supplier name." data-denial="" data-root=""&gt;&lt;td&gt;&lt;div class="row-num"&gt;#382&lt;/div&gt;&lt;span class="carc-badge "&gt;&lt;/span&gt;&lt;/td&gt;&lt;td&gt;&lt;span class="denial-reason"&gt;&lt;/span&gt;&lt;/td&gt;&lt;td class="rarc-wrap"&gt;&lt;div class="rarc-id"&gt;N256&lt;/div&gt;&lt;div class="rarc-desc"&gt;Missing/incomplete/invalid billing provider/supplier name.&lt;/div&gt;&lt;/td&gt;&lt;td class="td-meaning"&gt;&lt;/td&gt;&lt;td&gt;&lt;div class="chip-row"&gt;&lt;/div&gt;&lt;/td&gt;&lt;td&gt;&lt;div class="chip-row"&gt;&lt;/div&gt;&lt;/td&gt;&lt;td class="td-res"&gt;&lt;/td&gt;&lt;/tr&gt;</t>
  </si>
  <si>
    <t>&lt;tr data-carc="" data-type="" data-rarc="N257 — Missing/incomplete/invalid billing provider/supplier primary identifier." data-denial="" data-root=""&gt;&lt;td&gt;&lt;div class="row-num"&gt;#383&lt;/div&gt;&lt;span class="carc-badge "&gt;&lt;/span&gt;&lt;/td&gt;&lt;td&gt;&lt;span class="denial-reason"&gt;&lt;/span&gt;&lt;/td&gt;&lt;td class="rarc-wrap"&gt;&lt;div class="rarc-id"&gt;N257&lt;/div&gt;&lt;div class="rarc-desc"&gt;Missing/incomplete/invalid billing provider/supplier primary identifier.&lt;/div&gt;&lt;/td&gt;&lt;td class="td-meaning"&gt;&lt;/td&gt;&lt;td&gt;&lt;div class="chip-row"&gt;&lt;/div&gt;&lt;/td&gt;&lt;td&gt;&lt;div class="chip-row"&gt;&lt;/div&gt;&lt;/td&gt;&lt;td class="td-res"&gt;&lt;/td&gt;&lt;/tr&gt;</t>
  </si>
  <si>
    <t>&lt;tr data-carc="" data-type="" data-rarc="N259 — Missing/incomplete/invalid billing provider/supplier secondary identifier." data-denial="" data-root=""&gt;&lt;td&gt;&lt;div class="row-num"&gt;#385&lt;/div&gt;&lt;span class="carc-badge "&gt;&lt;/span&gt;&lt;/td&gt;&lt;td&gt;&lt;span class="denial-reason"&gt;&lt;/span&gt;&lt;/td&gt;&lt;td class="rarc-wrap"&gt;&lt;div class="rarc-id"&gt;N259&lt;/div&gt;&lt;div class="rarc-desc"&gt;Missing/incomplete/invalid billing provider/supplier secondary identifier.&lt;/div&gt;&lt;/td&gt;&lt;td class="td-meaning"&gt;&lt;/td&gt;&lt;td&gt;&lt;div class="chip-row"&gt;&lt;/div&gt;&lt;/td&gt;&lt;td&gt;&lt;div class="chip-row"&gt;&lt;/div&gt;&lt;/td&gt;&lt;td class="td-res"&gt;&lt;/td&gt;&lt;/tr&gt;</t>
  </si>
  <si>
    <t>&lt;tr data-carc="" data-type="" data-rarc="N26 — Missing itemized bill/statement." data-denial="" data-root=""&gt;&lt;td&gt;&lt;div class="row-num"&gt;#386&lt;/div&gt;&lt;span class="carc-badge "&gt;&lt;/span&gt;&lt;/td&gt;&lt;td&gt;&lt;span class="denial-reason"&gt;&lt;/span&gt;&lt;/td&gt;&lt;td class="rarc-wrap"&gt;&lt;div class="rarc-id"&gt;N26&lt;/div&gt;&lt;div class="rarc-desc"&gt;Missing itemized bill/statement.&lt;/div&gt;&lt;/td&gt;&lt;td class="td-meaning"&gt;&lt;/td&gt;&lt;td&gt;&lt;div class="chip-row"&gt;&lt;/div&gt;&lt;/td&gt;&lt;td&gt;&lt;div class="chip-row"&gt;&lt;/div&gt;&lt;/td&gt;&lt;td class="td-res"&gt;&lt;/td&gt;&lt;/tr&gt;</t>
  </si>
  <si>
    <t>&lt;tr data-carc="" data-type="" data-rarc="N260 — Missing/incomplete/invalid billing provider/supplier contact information." data-denial="" data-root=""&gt;&lt;td&gt;&lt;div class="row-num"&gt;#387&lt;/div&gt;&lt;span class="carc-badge "&gt;&lt;/span&gt;&lt;/td&gt;&lt;td&gt;&lt;span class="denial-reason"&gt;&lt;/span&gt;&lt;/td&gt;&lt;td class="rarc-wrap"&gt;&lt;div class="rarc-id"&gt;N260&lt;/div&gt;&lt;div class="rarc-desc"&gt;Missing/incomplete/invalid billing provider/supplier contact information.&lt;/div&gt;&lt;/td&gt;&lt;td class="td-meaning"&gt;&lt;/td&gt;&lt;td&gt;&lt;div class="chip-row"&gt;&lt;/div&gt;&lt;/td&gt;&lt;td&gt;&lt;div class="chip-row"&gt;&lt;/div&gt;&lt;/td&gt;&lt;td class="td-res"&gt;&lt;/td&gt;&lt;/tr&gt;</t>
  </si>
  <si>
    <t>&lt;tr data-carc="" data-type="" data-rarc="N264 — Missing/incomplete/invalid ordering provider name." data-denial="" data-root=""&gt;&lt;td&gt;&lt;div class="row-num"&gt;#391&lt;/div&gt;&lt;span class="carc-badge "&gt;&lt;/span&gt;&lt;/td&gt;&lt;td&gt;&lt;span class="denial-reason"&gt;&lt;/span&gt;&lt;/td&gt;&lt;td class="rarc-wrap"&gt;&lt;div class="rarc-id"&gt;N264&lt;/div&gt;&lt;div class="rarc-desc"&gt;Missing/incomplete/invalid ordering provider name.&lt;/div&gt;&lt;/td&gt;&lt;td class="td-meaning"&gt;&lt;/td&gt;&lt;td&gt;&lt;div class="chip-row"&gt;&lt;/div&gt;&lt;/td&gt;&lt;td&gt;&lt;div class="chip-row"&gt;&lt;/div&gt;&lt;/td&gt;&lt;td class="td-res"&gt;&lt;/td&gt;&lt;/tr&gt;</t>
  </si>
  <si>
    <t>&lt;tr data-carc="" data-type="" data-rarc="N265 — Missing/incomplete/invalid ordering provider primary identifier." data-denial="" data-root=""&gt;&lt;td&gt;&lt;div class="row-num"&gt;#392&lt;/div&gt;&lt;span class="carc-badge "&gt;&lt;/span&gt;&lt;/td&gt;&lt;td&gt;&lt;span class="denial-reason"&gt;&lt;/span&gt;&lt;/td&gt;&lt;td class="rarc-wrap"&gt;&lt;div class="rarc-id"&gt;N265&lt;/div&gt;&lt;div class="rarc-desc"&gt;Missing/incomplete/invalid ordering provider primary identifier.&lt;/div&gt;&lt;/td&gt;&lt;td class="td-meaning"&gt;&lt;/td&gt;&lt;td&gt;&lt;div class="chip-row"&gt;&lt;/div&gt;&lt;/td&gt;&lt;td&gt;&lt;div class="chip-row"&gt;&lt;/div&gt;&lt;/td&gt;&lt;td class="td-res"&gt;&lt;/td&gt;&lt;/tr&gt;</t>
  </si>
  <si>
    <t>&lt;tr data-carc="" data-type="" data-rarc="N27 — Missing/incomplete/invalid treatment number." data-denial="" data-root=""&gt;&lt;td&gt;&lt;div class="row-num"&gt;#397&lt;/div&gt;&lt;span class="carc-badge "&gt;&lt;/span&gt;&lt;/td&gt;&lt;td&gt;&lt;span class="denial-reason"&gt;&lt;/span&gt;&lt;/td&gt;&lt;td class="rarc-wrap"&gt;&lt;div class="rarc-id"&gt;N27&lt;/div&gt;&lt;div class="rarc-desc"&gt;Missing/incomplete/invalid treatment number.&lt;/div&gt;&lt;/td&gt;&lt;td class="td-meaning"&gt;&lt;/td&gt;&lt;td&gt;&lt;div class="chip-row"&gt;&lt;/div&gt;&lt;/td&gt;&lt;td&gt;&lt;div class="chip-row"&gt;&lt;/div&gt;&lt;/td&gt;&lt;td class="td-res"&gt;&lt;/td&gt;&lt;/tr&gt;</t>
  </si>
  <si>
    <t>&lt;tr data-carc="" data-type="" data-rarc="N270 — Missing/incomplete/invalid other provider primary identifier." data-denial="" data-root=""&gt;&lt;td&gt;&lt;div class="row-num"&gt;#398&lt;/div&gt;&lt;span class="carc-badge "&gt;&lt;/span&gt;&lt;/td&gt;&lt;td&gt;&lt;span class="denial-reason"&gt;&lt;/span&gt;&lt;/td&gt;&lt;td class="rarc-wrap"&gt;&lt;div class="rarc-id"&gt;N270&lt;/div&gt;&lt;div class="rarc-desc"&gt;Missing/incomplete/invalid other provider primary identifier.&lt;/div&gt;&lt;/td&gt;&lt;td class="td-meaning"&gt;&lt;/td&gt;&lt;td&gt;&lt;div class="chip-row"&gt;&lt;/div&gt;&lt;/td&gt;&lt;td&gt;&lt;div class="chip-row"&gt;&lt;/div&gt;&lt;/td&gt;&lt;td class="td-res"&gt;&lt;/td&gt;&lt;/tr&gt;</t>
  </si>
  <si>
    <t>&lt;tr data-carc="" data-type="" data-rarc="N271 — Missing/incomplete/invalid other provider secondary identifier." data-denial="" data-root=""&gt;&lt;td&gt;&lt;div class="row-num"&gt;#399&lt;/div&gt;&lt;span class="carc-badge "&gt;&lt;/span&gt;&lt;/td&gt;&lt;td&gt;&lt;span class="denial-reason"&gt;&lt;/span&gt;&lt;/td&gt;&lt;td class="rarc-wrap"&gt;&lt;div class="rarc-id"&gt;N271&lt;/div&gt;&lt;div class="rarc-desc"&gt;Missing/incomplete/invalid other provider secondary identifier.&lt;/div&gt;&lt;/td&gt;&lt;td class="td-meaning"&gt;&lt;/td&gt;&lt;td&gt;&lt;div class="chip-row"&gt;&lt;/div&gt;&lt;/td&gt;&lt;td&gt;&lt;div class="chip-row"&gt;&lt;/div&gt;&lt;/td&gt;&lt;td class="td-res"&gt;&lt;/td&gt;&lt;/tr&gt;</t>
  </si>
  <si>
    <t>&lt;tr data-carc="" data-type="" data-rarc="N273 — Missing/incomplete/invalid other payer operating provider identifier." data-denial="" data-root=""&gt;&lt;td&gt;&lt;div class="row-num"&gt;#401&lt;/div&gt;&lt;span class="carc-badge "&gt;&lt;/span&gt;&lt;/td&gt;&lt;td&gt;&lt;span class="denial-reason"&gt;&lt;/span&gt;&lt;/td&gt;&lt;td class="rarc-wrap"&gt;&lt;div class="rarc-id"&gt;N273&lt;/div&gt;&lt;div class="rarc-desc"&gt;Missing/incomplete/invalid other payer operating provider identifier.&lt;/div&gt;&lt;/td&gt;&lt;td class="td-meaning"&gt;&lt;/td&gt;&lt;td&gt;&lt;div class="chip-row"&gt;&lt;/div&gt;&lt;/td&gt;&lt;td&gt;&lt;div class="chip-row"&gt;&lt;/div&gt;&lt;/td&gt;&lt;td class="td-res"&gt;&lt;/td&gt;&lt;/tr&gt;</t>
  </si>
  <si>
    <t>&lt;tr data-carc="" data-type="" data-rarc="N274 — Missing/incomplete/invalid other payer other provider identifier." data-denial="" data-root=""&gt;&lt;td&gt;&lt;div class="row-num"&gt;#402&lt;/div&gt;&lt;span class="carc-badge "&gt;&lt;/span&gt;&lt;/td&gt;&lt;td&gt;&lt;span class="denial-reason"&gt;&lt;/span&gt;&lt;/td&gt;&lt;td class="rarc-wrap"&gt;&lt;div class="rarc-id"&gt;N274&lt;/div&gt;&lt;div class="rarc-desc"&gt;Missing/incomplete/invalid other payer other provider identifier.&lt;/div&gt;&lt;/td&gt;&lt;td class="td-meaning"&gt;&lt;/td&gt;&lt;td&gt;&lt;div class="chip-row"&gt;&lt;/div&gt;&lt;/td&gt;&lt;td&gt;&lt;div class="chip-row"&gt;&lt;/div&gt;&lt;/td&gt;&lt;td class="td-res"&gt;&lt;/td&gt;&lt;/tr&gt;</t>
  </si>
  <si>
    <t>&lt;tr data-carc="" data-type="" data-rarc="N276 — Missing/incomplete/invalid other payer referring provider identifier." data-denial="" data-root=""&gt;&lt;td&gt;&lt;div class="row-num"&gt;#404&lt;/div&gt;&lt;span class="carc-badge "&gt;&lt;/span&gt;&lt;/td&gt;&lt;td&gt;&lt;span class="denial-reason"&gt;&lt;/span&gt;&lt;/td&gt;&lt;td class="rarc-wrap"&gt;&lt;div class="rarc-id"&gt;N276&lt;/div&gt;&lt;div class="rarc-desc"&gt;Missing/incomplete/invalid other payer referring provider identifier.&lt;/div&gt;&lt;/td&gt;&lt;td class="td-meaning"&gt;&lt;/td&gt;&lt;td&gt;&lt;div class="chip-row"&gt;&lt;/div&gt;&lt;/td&gt;&lt;td&gt;&lt;div class="chip-row"&gt;&lt;/div&gt;&lt;/td&gt;&lt;td class="td-res"&gt;&lt;/td&gt;&lt;/tr&gt;</t>
  </si>
  <si>
    <t>&lt;tr data-carc="" data-type="" data-rarc="N278 — Missing/incomplete/invalid other payer service facility provider identifier." data-denial="" data-root=""&gt;&lt;td&gt;&lt;div class="row-num"&gt;#406&lt;/div&gt;&lt;span class="carc-badge "&gt;&lt;/span&gt;&lt;/td&gt;&lt;td&gt;&lt;span class="denial-reason"&gt;&lt;/span&gt;&lt;/td&gt;&lt;td class="rarc-wrap"&gt;&lt;div class="rarc-id"&gt;N278&lt;/div&gt;&lt;div class="rarc-desc"&gt;Missing/incomplete/invalid other payer service facility provider identifier.&lt;/div&gt;&lt;/td&gt;&lt;td class="td-meaning"&gt;&lt;/td&gt;&lt;td&gt;&lt;div class="chip-row"&gt;&lt;/div&gt;&lt;/td&gt;&lt;td&gt;&lt;div class="chip-row"&gt;&lt;/div&gt;&lt;/td&gt;&lt;td class="td-res"&gt;&lt;/td&gt;&lt;/tr&gt;</t>
  </si>
  <si>
    <t>&lt;tr data-carc="" data-type="" data-rarc="N279 — Missing/incomplete/invalid pay-to provider name." data-denial="" data-root=""&gt;&lt;td&gt;&lt;div class="row-num"&gt;#407&lt;/div&gt;&lt;span class="carc-badge "&gt;&lt;/span&gt;&lt;/td&gt;&lt;td&gt;&lt;span class="denial-reason"&gt;&lt;/span&gt;&lt;/td&gt;&lt;td class="rarc-wrap"&gt;&lt;div class="rarc-id"&gt;N279&lt;/div&gt;&lt;div class="rarc-desc"&gt;Missing/incomplete/invalid pay-to provider name.&lt;/div&gt;&lt;/td&gt;&lt;td class="td-meaning"&gt;&lt;/td&gt;&lt;td&gt;&lt;div class="chip-row"&gt;&lt;/div&gt;&lt;/td&gt;&lt;td&gt;&lt;div class="chip-row"&gt;&lt;/div&gt;&lt;/td&gt;&lt;td class="td-res"&gt;&lt;/td&gt;&lt;/tr&gt;</t>
  </si>
  <si>
    <t>&lt;tr data-carc="" data-type="" data-rarc="N28 — Consent form requirements not fulfilled." data-denial="" data-root=""&gt;&lt;td&gt;&lt;div class="row-num"&gt;#408&lt;/div&gt;&lt;span class="carc-badge "&gt;&lt;/span&gt;&lt;/td&gt;&lt;td&gt;&lt;span class="denial-reason"&gt;&lt;/span&gt;&lt;/td&gt;&lt;td class="rarc-wrap"&gt;&lt;div class="rarc-id"&gt;N28&lt;/div&gt;&lt;div class="rarc-desc"&gt;Consent form requirements not fulfilled.&lt;/div&gt;&lt;/td&gt;&lt;td class="td-meaning"&gt;&lt;/td&gt;&lt;td&gt;&lt;div class="chip-row"&gt;&lt;/div&gt;&lt;/td&gt;&lt;td&gt;&lt;div class="chip-row"&gt;&lt;/div&gt;&lt;/td&gt;&lt;td class="td-res"&gt;&lt;/td&gt;&lt;/tr&gt;</t>
  </si>
  <si>
    <t>&lt;tr data-carc="" data-type="" data-rarc="N280 — Missing/incomplete/invalid pay-to provider primary identifier." data-denial="" data-root=""&gt;&lt;td&gt;&lt;div class="row-num"&gt;#409&lt;/div&gt;&lt;span class="carc-badge "&gt;&lt;/span&gt;&lt;/td&gt;&lt;td&gt;&lt;span class="denial-reason"&gt;&lt;/span&gt;&lt;/td&gt;&lt;td class="rarc-wrap"&gt;&lt;div class="rarc-id"&gt;N280&lt;/div&gt;&lt;div class="rarc-desc"&gt;Missing/incomplete/invalid pay-to provider primary identifier.&lt;/div&gt;&lt;/td&gt;&lt;td class="td-meaning"&gt;&lt;/td&gt;&lt;td&gt;&lt;div class="chip-row"&gt;&lt;/div&gt;&lt;/td&gt;&lt;td&gt;&lt;div class="chip-row"&gt;&lt;/div&gt;&lt;/td&gt;&lt;td class="td-res"&gt;&lt;/td&gt;&lt;/tr&gt;</t>
  </si>
  <si>
    <t>&lt;tr data-carc="" data-type="" data-rarc="N282 — Missing/incomplete/invalid pay-to provider secondary identifier." data-denial="" data-root=""&gt;&lt;td&gt;&lt;div class="row-num"&gt;#411&lt;/div&gt;&lt;span class="carc-badge "&gt;&lt;/span&gt;&lt;/td&gt;&lt;td&gt;&lt;span class="denial-reason"&gt;&lt;/span&gt;&lt;/td&gt;&lt;td class="rarc-wrap"&gt;&lt;div class="rarc-id"&gt;N282&lt;/div&gt;&lt;div class="rarc-desc"&gt;Missing/incomplete/invalid pay-to provider secondary identifier.&lt;/div&gt;&lt;/td&gt;&lt;td class="td-meaning"&gt;&lt;/td&gt;&lt;td&gt;&lt;div class="chip-row"&gt;&lt;/div&gt;&lt;/td&gt;&lt;td&gt;&lt;div class="chip-row"&gt;&lt;/div&gt;&lt;/td&gt;&lt;td class="td-res"&gt;&lt;/td&gt;&lt;/tr&gt;</t>
  </si>
  <si>
    <t>&lt;tr data-carc="" data-type="" data-rarc="N289 — Missing/incomplete/invalid rendering provider name." data-denial="" data-root=""&gt;&lt;td&gt;&lt;div class="row-num"&gt;#418&lt;/div&gt;&lt;span class="carc-badge "&gt;&lt;/span&gt;&lt;/td&gt;&lt;td&gt;&lt;span class="denial-reason"&gt;&lt;/span&gt;&lt;/td&gt;&lt;td class="rarc-wrap"&gt;&lt;div class="rarc-id"&gt;N289&lt;/div&gt;&lt;div class="rarc-desc"&gt;Missing/incomplete/invalid rendering provider name.&lt;/div&gt;&lt;/td&gt;&lt;td class="td-meaning"&gt;&lt;/td&gt;&lt;td&gt;&lt;div class="chip-row"&gt;&lt;/div&gt;&lt;/td&gt;&lt;td&gt;&lt;div class="chip-row"&gt;&lt;/div&gt;&lt;/td&gt;&lt;td class="td-res"&gt;&lt;/td&gt;&lt;/tr&gt;</t>
  </si>
  <si>
    <t>&lt;tr data-carc="" data-type="" data-rarc="N290 — Missing/incomplete/invalid rendering provider primary identifier." data-denial="" data-root=""&gt;&lt;td&gt;&lt;div class="row-num"&gt;#419&lt;/div&gt;&lt;span class="carc-badge "&gt;&lt;/span&gt;&lt;/td&gt;&lt;td&gt;&lt;span class="denial-reason"&gt;&lt;/span&gt;&lt;/td&gt;&lt;td class="rarc-wrap"&gt;&lt;div class="rarc-id"&gt;N290&lt;/div&gt;&lt;div class="rarc-desc"&gt;Missing/incomplete/invalid rendering provider primary identifier.&lt;/div&gt;&lt;/td&gt;&lt;td class="td-meaning"&gt;&lt;/td&gt;&lt;td&gt;&lt;div class="chip-row"&gt;&lt;/div&gt;&lt;/td&gt;&lt;td&gt;&lt;div class="chip-row"&gt;&lt;/div&gt;&lt;/td&gt;&lt;td class="td-res"&gt;&lt;/td&gt;&lt;/tr&gt;</t>
  </si>
  <si>
    <t>&lt;tr data-carc="" data-type="" data-rarc="N291 — Missing/incomplete/invalid rendering provider secondary identifier." data-denial="" data-root=""&gt;&lt;td&gt;&lt;div class="row-num"&gt;#420&lt;/div&gt;&lt;span class="carc-badge "&gt;&lt;/span&gt;&lt;/td&gt;&lt;td&gt;&lt;span class="denial-reason"&gt;&lt;/span&gt;&lt;/td&gt;&lt;td class="rarc-wrap"&gt;&lt;div class="rarc-id"&gt;N291&lt;/div&gt;&lt;div class="rarc-desc"&gt;Missing/incomplete/invalid rendering provider secondary identifier.&lt;/div&gt;&lt;/td&gt;&lt;td class="td-meaning"&gt;&lt;/td&gt;&lt;td&gt;&lt;div class="chip-row"&gt;&lt;/div&gt;&lt;/td&gt;&lt;td&gt;&lt;div class="chip-row"&gt;&lt;/div&gt;&lt;/td&gt;&lt;td class="td-res"&gt;&lt;/td&gt;&lt;/tr&gt;</t>
  </si>
  <si>
    <t>&lt;tr data-carc="" data-type="" data-rarc="N292 — Missing/incomplete/invalid service facility name." data-denial="" data-root=""&gt;&lt;td&gt;&lt;div class="row-num"&gt;#421&lt;/div&gt;&lt;span class="carc-badge "&gt;&lt;/span&gt;&lt;/td&gt;&lt;td&gt;&lt;span class="denial-reason"&gt;&lt;/span&gt;&lt;/td&gt;&lt;td class="rarc-wrap"&gt;&lt;div class="rarc-id"&gt;N292&lt;/div&gt;&lt;div class="rarc-desc"&gt;Missing/incomplete/invalid service facility name.&lt;/div&gt;&lt;/td&gt;&lt;td class="td-meaning"&gt;&lt;/td&gt;&lt;td&gt;&lt;div class="chip-row"&gt;&lt;/div&gt;&lt;/td&gt;&lt;td&gt;&lt;div class="chip-row"&gt;&lt;/div&gt;&lt;/td&gt;&lt;td class="td-res"&gt;&lt;/td&gt;&lt;/tr&gt;</t>
  </si>
  <si>
    <t>&lt;tr data-carc="" data-type="" data-rarc="N293 — Missing/incomplete/invalid service facility primary identifier." data-denial="" data-root=""&gt;&lt;td&gt;&lt;div class="row-num"&gt;#422&lt;/div&gt;&lt;span class="carc-badge "&gt;&lt;/span&gt;&lt;/td&gt;&lt;td&gt;&lt;span class="denial-reason"&gt;&lt;/span&gt;&lt;/td&gt;&lt;td class="rarc-wrap"&gt;&lt;div class="rarc-id"&gt;N293&lt;/div&gt;&lt;div class="rarc-desc"&gt;Missing/incomplete/invalid service facility primary identifier.&lt;/div&gt;&lt;/td&gt;&lt;td class="td-meaning"&gt;&lt;/td&gt;&lt;td&gt;&lt;div class="chip-row"&gt;&lt;/div&gt;&lt;/td&gt;&lt;td&gt;&lt;div class="chip-row"&gt;&lt;/div&gt;&lt;/td&gt;&lt;td class="td-res"&gt;&lt;/td&gt;&lt;/tr&gt;</t>
  </si>
  <si>
    <t>&lt;tr data-carc="" data-type="" data-rarc="N295 — Missing/incomplete/invalid service facility secondary identifier." data-denial="" data-root=""&gt;&lt;td&gt;&lt;div class="row-num"&gt;#424&lt;/div&gt;&lt;span class="carc-badge "&gt;&lt;/span&gt;&lt;/td&gt;&lt;td&gt;&lt;span class="denial-reason"&gt;&lt;/span&gt;&lt;/td&gt;&lt;td class="rarc-wrap"&gt;&lt;div class="rarc-id"&gt;N295&lt;/div&gt;&lt;div class="rarc-desc"&gt;Missing/incomplete/invalid service facility secondary identifier.&lt;/div&gt;&lt;/td&gt;&lt;td class="td-meaning"&gt;&lt;/td&gt;&lt;td&gt;&lt;div class="chip-row"&gt;&lt;/div&gt;&lt;/td&gt;&lt;td&gt;&lt;div class="chip-row"&gt;&lt;/div&gt;&lt;/td&gt;&lt;td class="td-res"&gt;&lt;/td&gt;&lt;/tr&gt;</t>
  </si>
  <si>
    <t>&lt;tr data-carc="" data-type="" data-rarc="N298 — Missing/incomplete/invalid supervising provider secondary identifier." data-denial="" data-root=""&gt;&lt;td&gt;&lt;div class="row-num"&gt;#427&lt;/div&gt;&lt;span class="carc-badge "&gt;&lt;/span&gt;&lt;/td&gt;&lt;td&gt;&lt;span class="denial-reason"&gt;&lt;/span&gt;&lt;/td&gt;&lt;td class="rarc-wrap"&gt;&lt;div class="rarc-id"&gt;N298&lt;/div&gt;&lt;div class="rarc-desc"&gt;Missing/incomplete/invalid supervising provider secondary identifier.&lt;/div&gt;&lt;/td&gt;&lt;td class="td-meaning"&gt;&lt;/td&gt;&lt;td&gt;&lt;div class="chip-row"&gt;&lt;/div&gt;&lt;/td&gt;&lt;td&gt;&lt;div class="chip-row"&gt;&lt;/div&gt;&lt;/td&gt;&lt;td class="td-res"&gt;&lt;/td&gt;&lt;/tr&gt;</t>
  </si>
  <si>
    <t>&lt;tr data-carc="" data-type="" data-rarc="N299 — Missing/incomplete/invalid occurrence date(s)." data-denial="" data-root=""&gt;&lt;td&gt;&lt;div class="row-num"&gt;#428&lt;/div&gt;&lt;span class="carc-badge "&gt;&lt;/span&gt;&lt;/td&gt;&lt;td&gt;&lt;span class="denial-reason"&gt;&lt;/span&gt;&lt;/td&gt;&lt;td class="rarc-wrap"&gt;&lt;div class="rarc-id"&gt;N299&lt;/div&gt;&lt;div class="rarc-desc"&gt;Missing/incomplete/invalid occurrence date(s).&lt;/div&gt;&lt;/td&gt;&lt;td class="td-meaning"&gt;&lt;/td&gt;&lt;td&gt;&lt;div class="chip-row"&gt;&lt;/div&gt;&lt;/td&gt;&lt;td&gt;&lt;div class="chip-row"&gt;&lt;/div&gt;&lt;/td&gt;&lt;td class="td-res"&gt;&lt;/td&gt;&lt;/tr&gt;</t>
  </si>
  <si>
    <t>&lt;tr data-carc="" data-type="" data-rarc="N30 — Patient ineligible for this service." data-denial="" data-root=""&gt;&lt;td&gt;&lt;div class="row-num"&gt;#430&lt;/div&gt;&lt;span class="carc-badge "&gt;&lt;/span&gt;&lt;/td&gt;&lt;td&gt;&lt;span class="denial-reason"&gt;&lt;/span&gt;&lt;/td&gt;&lt;td class="rarc-wrap"&gt;&lt;div class="rarc-id"&gt;N30&lt;/div&gt;&lt;div class="rarc-desc"&gt;Patient ineligible for this service.&lt;/div&gt;&lt;/td&gt;&lt;td class="td-meaning"&gt;&lt;/td&gt;&lt;td&gt;&lt;div class="chip-row"&gt;&lt;/div&gt;&lt;/td&gt;&lt;td&gt;&lt;div class="chip-row"&gt;&lt;/div&gt;&lt;/td&gt;&lt;td class="td-res"&gt;&lt;/td&gt;&lt;/tr&gt;</t>
  </si>
  <si>
    <t>&lt;tr data-carc="" data-type="" data-rarc="N308 — Missing/incomplete/invalid appliance placement date." data-denial="" data-root=""&gt;&lt;td&gt;&lt;div class="row-num"&gt;#439&lt;/div&gt;&lt;span class="carc-badge "&gt;&lt;/span&gt;&lt;/td&gt;&lt;td&gt;&lt;span class="denial-reason"&gt;&lt;/span&gt;&lt;/td&gt;&lt;td class="rarc-wrap"&gt;&lt;div class="rarc-id"&gt;N308&lt;/div&gt;&lt;div class="rarc-desc"&gt;Missing/incomplete/invalid appliance placement date.&lt;/div&gt;&lt;/td&gt;&lt;td class="td-meaning"&gt;&lt;/td&gt;&lt;td&gt;&lt;div class="chip-row"&gt;&lt;/div&gt;&lt;/td&gt;&lt;td&gt;&lt;div class="chip-row"&gt;&lt;/div&gt;&lt;/td&gt;&lt;td class="td-res"&gt;&lt;/td&gt;&lt;/tr&gt;</t>
  </si>
  <si>
    <t>&lt;tr data-carc="" data-type="" data-rarc="N31 — Missing/incomplete/invalid prescribing provider identifier." data-denial="" data-root=""&gt;&lt;td&gt;&lt;div class="row-num"&gt;#441&lt;/div&gt;&lt;span class="carc-badge "&gt;&lt;/span&gt;&lt;/td&gt;&lt;td&gt;&lt;span class="denial-reason"&gt;&lt;/span&gt;&lt;/td&gt;&lt;td class="rarc-wrap"&gt;&lt;div class="rarc-id"&gt;N31&lt;/div&gt;&lt;div class="rarc-desc"&gt;Missing/incomplete/invalid prescribing provider identifier.&lt;/div&gt;&lt;/td&gt;&lt;td class="td-meaning"&gt;&lt;/td&gt;&lt;td&gt;&lt;div class="chip-row"&gt;&lt;/div&gt;&lt;/td&gt;&lt;td&gt;&lt;div class="chip-row"&gt;&lt;/div&gt;&lt;/td&gt;&lt;td class="td-res"&gt;&lt;/td&gt;&lt;/tr&gt;</t>
  </si>
  <si>
    <t>&lt;tr data-carc="" data-type="" data-rarc="N317 — Missing/incomplete/invalid discharge hour." data-denial="" data-root=""&gt;&lt;td&gt;&lt;div class="row-num"&gt;#447&lt;/div&gt;&lt;span class="carc-badge "&gt;&lt;/span&gt;&lt;/td&gt;&lt;td&gt;&lt;span class="denial-reason"&gt;&lt;/span&gt;&lt;/td&gt;&lt;td class="rarc-wrap"&gt;&lt;div class="rarc-id"&gt;N317&lt;/div&gt;&lt;div class="rarc-desc"&gt;Missing/incomplete/invalid discharge hour.&lt;/div&gt;&lt;/td&gt;&lt;td class="td-meaning"&gt;&lt;/td&gt;&lt;td&gt;&lt;div class="chip-row"&gt;&lt;/div&gt;&lt;/td&gt;&lt;td&gt;&lt;div class="chip-row"&gt;&lt;/div&gt;&lt;/td&gt;&lt;td class="td-res"&gt;&lt;/td&gt;&lt;/tr&gt;</t>
  </si>
  <si>
    <t>&lt;tr data-carc="" data-type="" data-rarc="N319 — Missing/incomplete/invalid hearing or vision prescription date." data-denial="" data-root=""&gt;&lt;td&gt;&lt;div class="row-num"&gt;#449&lt;/div&gt;&lt;span class="carc-badge "&gt;&lt;/span&gt;&lt;/td&gt;&lt;td&gt;&lt;span class="denial-reason"&gt;&lt;/span&gt;&lt;/td&gt;&lt;td class="rarc-wrap"&gt;&lt;div class="rarc-id"&gt;N319&lt;/div&gt;&lt;div class="rarc-desc"&gt;Missing/incomplete/invalid hearing or vision prescription date.&lt;/div&gt;&lt;/td&gt;&lt;td class="td-meaning"&gt;&lt;/td&gt;&lt;td&gt;&lt;div class="chip-row"&gt;&lt;/div&gt;&lt;/td&gt;&lt;td&gt;&lt;div class="chip-row"&gt;&lt;/div&gt;&lt;/td&gt;&lt;td class="td-res"&gt;&lt;/td&gt;&lt;/tr&gt;</t>
  </si>
  <si>
    <t>&lt;tr data-carc="" data-type="" data-rarc="N32 — Claim must be submitted by the provider who rendered the service." data-denial="" data-root=""&gt;&lt;td&gt;&lt;div class="row-num"&gt;#450&lt;/div&gt;&lt;span class="carc-badge "&gt;&lt;/span&gt;&lt;/td&gt;&lt;td&gt;&lt;span class="denial-reason"&gt;&lt;/span&gt;&lt;/td&gt;&lt;td class="rarc-wrap"&gt;&lt;div class="rarc-id"&gt;N32&lt;/div&gt;&lt;div class="rarc-desc"&gt;Claim must be submitted by the provider who rendered the service.&lt;/div&gt;&lt;/td&gt;&lt;td class="td-meaning"&gt;&lt;/td&gt;&lt;td&gt;&lt;div class="chip-row"&gt;&lt;/div&gt;&lt;/td&gt;&lt;td&gt;&lt;div class="chip-row"&gt;&lt;/div&gt;&lt;/td&gt;&lt;td class="td-res"&gt;&lt;/td&gt;&lt;/tr&gt;</t>
  </si>
  <si>
    <t>&lt;tr data-carc="" data-type="" data-rarc="N320 — Missing/incomplete/invalid Home Health Certification Period." data-denial="" data-root=""&gt;&lt;td&gt;&lt;div class="row-num"&gt;#451&lt;/div&gt;&lt;span class="carc-badge "&gt;&lt;/span&gt;&lt;/td&gt;&lt;td&gt;&lt;span class="denial-reason"&gt;&lt;/span&gt;&lt;/td&gt;&lt;td class="rarc-wrap"&gt;&lt;div class="rarc-id"&gt;N320&lt;/div&gt;&lt;div class="rarc-desc"&gt;Missing/incomplete/invalid Home Health Certification Period.&lt;/div&gt;&lt;/td&gt;&lt;td class="td-meaning"&gt;&lt;/td&gt;&lt;td&gt;&lt;div class="chip-row"&gt;&lt;/div&gt;&lt;/td&gt;&lt;td&gt;&lt;div class="chip-row"&gt;&lt;/div&gt;&lt;/td&gt;&lt;td class="td-res"&gt;&lt;/td&gt;&lt;/tr&gt;</t>
  </si>
  <si>
    <t>&lt;tr data-carc="" data-type="" data-rarc="N321 — Missing/incomplete/invalid last admission period." data-denial="" data-root=""&gt;&lt;td&gt;&lt;div class="row-num"&gt;#452&lt;/div&gt;&lt;span class="carc-badge "&gt;&lt;/span&gt;&lt;/td&gt;&lt;td&gt;&lt;span class="denial-reason"&gt;&lt;/span&gt;&lt;/td&gt;&lt;td class="rarc-wrap"&gt;&lt;div class="rarc-id"&gt;N321&lt;/div&gt;&lt;div class="rarc-desc"&gt;Missing/incomplete/invalid last admission period.&lt;/div&gt;&lt;/td&gt;&lt;td class="td-meaning"&gt;&lt;/td&gt;&lt;td&gt;&lt;div class="chip-row"&gt;&lt;/div&gt;&lt;/td&gt;&lt;td&gt;&lt;div class="chip-row"&gt;&lt;/div&gt;&lt;/td&gt;&lt;td class="td-res"&gt;&lt;/td&gt;&lt;/tr&gt;</t>
  </si>
  <si>
    <t>&lt;tr data-carc="" data-type="" data-rarc="N322 — Missing/incomplete/invalid last certification date." data-denial="" data-root=""&gt;&lt;td&gt;&lt;div class="row-num"&gt;#453&lt;/div&gt;&lt;span class="carc-badge "&gt;&lt;/span&gt;&lt;/td&gt;&lt;td&gt;&lt;span class="denial-reason"&gt;&lt;/span&gt;&lt;/td&gt;&lt;td class="rarc-wrap"&gt;&lt;div class="rarc-id"&gt;N322&lt;/div&gt;&lt;div class="rarc-desc"&gt;Missing/incomplete/invalid last certification date.&lt;/div&gt;&lt;/td&gt;&lt;td class="td-meaning"&gt;&lt;/td&gt;&lt;td&gt;&lt;div class="chip-row"&gt;&lt;/div&gt;&lt;/td&gt;&lt;td&gt;&lt;div class="chip-row"&gt;&lt;/div&gt;&lt;/td&gt;&lt;td class="td-res"&gt;&lt;/td&gt;&lt;/tr&gt;</t>
  </si>
  <si>
    <t>&lt;tr data-carc="" data-type="" data-rarc="N325 — Missing/incomplete/invalid last worked date." data-denial="" data-root=""&gt;&lt;td&gt;&lt;div class="row-num"&gt;#456&lt;/div&gt;&lt;span class="carc-badge "&gt;&lt;/span&gt;&lt;/td&gt;&lt;td&gt;&lt;span class="denial-reason"&gt;&lt;/span&gt;&lt;/td&gt;&lt;td class="rarc-wrap"&gt;&lt;div class="rarc-id"&gt;N325&lt;/div&gt;&lt;div class="rarc-desc"&gt;Missing/incomplete/invalid last worked date.&lt;/div&gt;&lt;/td&gt;&lt;td class="td-meaning"&gt;&lt;/td&gt;&lt;td&gt;&lt;div class="chip-row"&gt;&lt;/div&gt;&lt;/td&gt;&lt;td&gt;&lt;div class="chip-row"&gt;&lt;/div&gt;&lt;/td&gt;&lt;td class="td-res"&gt;&lt;/td&gt;&lt;/tr&gt;</t>
  </si>
  <si>
    <t>&lt;tr data-carc="" data-type="" data-rarc="N327 — Missing/incomplete/invalid other insured birth date." data-denial="" data-root=""&gt;&lt;td&gt;&lt;div class="row-num"&gt;#458&lt;/div&gt;&lt;span class="carc-badge "&gt;&lt;/span&gt;&lt;/td&gt;&lt;td&gt;&lt;span class="denial-reason"&gt;&lt;/span&gt;&lt;/td&gt;&lt;td class="rarc-wrap"&gt;&lt;div class="rarc-id"&gt;N327&lt;/div&gt;&lt;div class="rarc-desc"&gt;Missing/incomplete/invalid other insured birth date.&lt;/div&gt;&lt;/td&gt;&lt;td class="td-meaning"&gt;&lt;/td&gt;&lt;td&gt;&lt;div class="chip-row"&gt;&lt;/div&gt;&lt;/td&gt;&lt;td&gt;&lt;div class="chip-row"&gt;&lt;/div&gt;&lt;/td&gt;&lt;td class="td-res"&gt;&lt;/td&gt;&lt;/tr&gt;</t>
  </si>
  <si>
    <t>&lt;tr data-carc="" data-type="" data-rarc="N33 — No record of health check prior to initiation of treatment." data-denial="" data-root=""&gt;&lt;td&gt;&lt;div class="row-num"&gt;#461&lt;/div&gt;&lt;span class="carc-badge "&gt;&lt;/span&gt;&lt;/td&gt;&lt;td&gt;&lt;span class="denial-reason"&gt;&lt;/span&gt;&lt;/td&gt;&lt;td class="rarc-wrap"&gt;&lt;div class="rarc-id"&gt;N33&lt;/div&gt;&lt;div class="rarc-desc"&gt;No record of health check prior to initiation of treatment.&lt;/div&gt;&lt;/td&gt;&lt;td class="td-meaning"&gt;&lt;/td&gt;&lt;td&gt;&lt;div class="chip-row"&gt;&lt;/div&gt;&lt;/td&gt;&lt;td&gt;&lt;div class="chip-row"&gt;&lt;/div&gt;&lt;/td&gt;&lt;td class="td-res"&gt;&lt;/td&gt;&lt;/tr&gt;</t>
  </si>
  <si>
    <t>&lt;tr data-carc="" data-type="" data-rarc="N331 — Missing/incomplete/invalid physician order date." data-denial="" data-root=""&gt;&lt;td&gt;&lt;div class="row-num"&gt;#463&lt;/div&gt;&lt;span class="carc-badge "&gt;&lt;/span&gt;&lt;/td&gt;&lt;td&gt;&lt;span class="denial-reason"&gt;&lt;/span&gt;&lt;/td&gt;&lt;td class="rarc-wrap"&gt;&lt;div class="rarc-id"&gt;N331&lt;/div&gt;&lt;div class="rarc-desc"&gt;Missing/incomplete/invalid physician order date.&lt;/div&gt;&lt;/td&gt;&lt;td class="td-meaning"&gt;&lt;/td&gt;&lt;td&gt;&lt;div class="chip-row"&gt;&lt;/div&gt;&lt;/td&gt;&lt;td&gt;&lt;div class="chip-row"&gt;&lt;/div&gt;&lt;/td&gt;&lt;td class="td-res"&gt;&lt;/td&gt;&lt;/tr&gt;</t>
  </si>
  <si>
    <t>&lt;tr data-carc="" data-type="" data-rarc="N334 — Missing/incomplete/invalid re-evaluation date." data-denial="" data-root=""&gt;&lt;td&gt;&lt;div class="row-num"&gt;#466&lt;/div&gt;&lt;span class="carc-badge "&gt;&lt;/span&gt;&lt;/td&gt;&lt;td&gt;&lt;span class="denial-reason"&gt;&lt;/span&gt;&lt;/td&gt;&lt;td class="rarc-wrap"&gt;&lt;div class="rarc-id"&gt;N334&lt;/div&gt;&lt;div class="rarc-desc"&gt;Missing/incomplete/invalid re-evaluation date.&lt;/div&gt;&lt;/td&gt;&lt;td class="td-meaning"&gt;&lt;/td&gt;&lt;td&gt;&lt;div class="chip-row"&gt;&lt;/div&gt;&lt;/td&gt;&lt;td&gt;&lt;div class="chip-row"&gt;&lt;/div&gt;&lt;/td&gt;&lt;td class="td-res"&gt;&lt;/td&gt;&lt;/tr&gt;</t>
  </si>
  <si>
    <t>&lt;tr data-carc="" data-type="" data-rarc="N335 — Missing/incomplete/invalid referral date." data-denial="" data-root=""&gt;&lt;td&gt;&lt;div class="row-num"&gt;#467&lt;/div&gt;&lt;span class="carc-badge "&gt;&lt;/span&gt;&lt;/td&gt;&lt;td&gt;&lt;span class="denial-reason"&gt;&lt;/span&gt;&lt;/td&gt;&lt;td class="rarc-wrap"&gt;&lt;div class="rarc-id"&gt;N335&lt;/div&gt;&lt;div class="rarc-desc"&gt;Missing/incomplete/invalid referral date.&lt;/div&gt;&lt;/td&gt;&lt;td class="td-meaning"&gt;&lt;/td&gt;&lt;td&gt;&lt;div class="chip-row"&gt;&lt;/div&gt;&lt;/td&gt;&lt;td&gt;&lt;div class="chip-row"&gt;&lt;/div&gt;&lt;/td&gt;&lt;td class="td-res"&gt;&lt;/td&gt;&lt;/tr&gt;</t>
  </si>
  <si>
    <t>&lt;tr data-carc="" data-type="" data-rarc="N339 — Missing/incomplete/invalid similar illness or symptom date." data-denial="" data-root=""&gt;&lt;td&gt;&lt;div class="row-num"&gt;#470&lt;/div&gt;&lt;span class="carc-badge "&gt;&lt;/span&gt;&lt;/td&gt;&lt;td&gt;&lt;span class="denial-reason"&gt;&lt;/span&gt;&lt;/td&gt;&lt;td class="rarc-wrap"&gt;&lt;div class="rarc-id"&gt;N339&lt;/div&gt;&lt;div class="rarc-desc"&gt;Missing/incomplete/invalid similar illness or symptom date.&lt;/div&gt;&lt;/td&gt;&lt;td class="td-meaning"&gt;&lt;/td&gt;&lt;td&gt;&lt;div class="chip-row"&gt;&lt;/div&gt;&lt;/td&gt;&lt;td&gt;&lt;div class="chip-row"&gt;&lt;/div&gt;&lt;/td&gt;&lt;td class="td-res"&gt;&lt;/td&gt;&lt;/tr&gt;</t>
  </si>
  <si>
    <t>&lt;tr data-carc="" data-type="" data-rarc="N34 — Incorrect claim form/format for this service." data-denial="" data-root=""&gt;&lt;td&gt;&lt;div class="row-num"&gt;#471&lt;/div&gt;&lt;span class="carc-badge "&gt;&lt;/span&gt;&lt;/td&gt;&lt;td&gt;&lt;span class="denial-reason"&gt;&lt;/span&gt;&lt;/td&gt;&lt;td class="rarc-wrap"&gt;&lt;div class="rarc-id"&gt;N34&lt;/div&gt;&lt;div class="rarc-desc"&gt;Incorrect claim form/format for this service.&lt;/div&gt;&lt;/td&gt;&lt;td class="td-meaning"&gt;&lt;/td&gt;&lt;td&gt;&lt;div class="chip-row"&gt;&lt;/div&gt;&lt;/td&gt;&lt;td&gt;&lt;div class="chip-row"&gt;&lt;/div&gt;&lt;/td&gt;&lt;td class="td-res"&gt;&lt;/td&gt;&lt;/tr&gt;</t>
  </si>
  <si>
    <t>&lt;tr data-carc="" data-type="" data-rarc="N344 — Missing/incomplete/invalid Transcutaneous Electrical Nerve Stimulator (TENS) trial end date." data-denial="" data-root=""&gt;&lt;td&gt;&lt;div class="row-num"&gt;#476&lt;/div&gt;&lt;span class="carc-badge "&gt;&lt;/span&gt;&lt;/td&gt;&lt;td&gt;&lt;span class="denial-reason"&gt;&lt;/span&gt;&lt;/td&gt;&lt;td class="rarc-wrap"&gt;&lt;div class="rarc-id"&gt;N344&lt;/div&gt;&lt;div class="rarc-desc"&gt;Missing/incomplete/invalid Transcutaneous Electrical Nerve Stimulator (TENS) trial end date.&lt;/div&gt;&lt;/td&gt;&lt;td class="td-meaning"&gt;&lt;/td&gt;&lt;td&gt;&lt;div class="chip-row"&gt;&lt;/div&gt;&lt;/td&gt;&lt;td&gt;&lt;div class="chip-row"&gt;&lt;/div&gt;&lt;/td&gt;&lt;td class="td-res"&gt;&lt;/td&gt;&lt;/tr&gt;</t>
  </si>
  <si>
    <t>&lt;tr data-carc="" data-type="" data-rarc="N345 — Date range not valid with units submitted." data-denial="" data-root=""&gt;&lt;td&gt;&lt;div class="row-num"&gt;#477&lt;/div&gt;&lt;span class="carc-badge "&gt;&lt;/span&gt;&lt;/td&gt;&lt;td&gt;&lt;span class="denial-reason"&gt;&lt;/span&gt;&lt;/td&gt;&lt;td class="rarc-wrap"&gt;&lt;div class="rarc-id"&gt;N345&lt;/div&gt;&lt;div class="rarc-desc"&gt;Date range not valid with units submitted.&lt;/div&gt;&lt;/td&gt;&lt;td class="td-meaning"&gt;&lt;/td&gt;&lt;td&gt;&lt;div class="chip-row"&gt;&lt;/div&gt;&lt;/td&gt;&lt;td&gt;&lt;div class="chip-row"&gt;&lt;/div&gt;&lt;/td&gt;&lt;td class="td-res"&gt;&lt;/td&gt;&lt;/tr&gt;</t>
  </si>
  <si>
    <t>&lt;tr data-carc="" data-type="" data-rarc="N346 — Missing/incomplete/invalid oral cavity designation code." data-denial="" data-root=""&gt;&lt;td&gt;&lt;div class="row-num"&gt;#478&lt;/div&gt;&lt;span class="carc-badge "&gt;&lt;/span&gt;&lt;/td&gt;&lt;td&gt;&lt;span class="denial-reason"&gt;&lt;/span&gt;&lt;/td&gt;&lt;td class="rarc-wrap"&gt;&lt;div class="rarc-id"&gt;N346&lt;/div&gt;&lt;div class="rarc-desc"&gt;Missing/incomplete/invalid oral cavity designation code.&lt;/div&gt;&lt;/td&gt;&lt;td class="td-meaning"&gt;&lt;/td&gt;&lt;td&gt;&lt;div class="chip-row"&gt;&lt;/div&gt;&lt;/td&gt;&lt;td&gt;&lt;div class="chip-row"&gt;&lt;/div&gt;&lt;/td&gt;&lt;td class="td-res"&gt;&lt;/td&gt;&lt;/tr&gt;</t>
  </si>
  <si>
    <t>&lt;tr data-carc="" data-type="" data-rarc="N35 — Program integrity/utilization review decision." data-denial="" data-root=""&gt;&lt;td&gt;&lt;div class="row-num"&gt;#482&lt;/div&gt;&lt;span class="carc-badge "&gt;&lt;/span&gt;&lt;/td&gt;&lt;td&gt;&lt;span class="denial-reason"&gt;&lt;/span&gt;&lt;/td&gt;&lt;td class="rarc-wrap"&gt;&lt;div class="rarc-id"&gt;N35&lt;/div&gt;&lt;div class="rarc-desc"&gt;Program integrity/utilization review decision.&lt;/div&gt;&lt;/td&gt;&lt;td class="td-meaning"&gt;&lt;/td&gt;&lt;td&gt;&lt;div class="chip-row"&gt;&lt;/div&gt;&lt;/td&gt;&lt;td&gt;&lt;div class="chip-row"&gt;&lt;/div&gt;&lt;/td&gt;&lt;td class="td-res"&gt;&lt;/td&gt;&lt;/tr&gt;</t>
  </si>
  <si>
    <t>&lt;tr data-carc="" data-type="" data-rarc="N351 — Service date outside of the approved treatment plan service dates." data-denial="" data-root=""&gt;&lt;td&gt;&lt;div class="row-num"&gt;#484&lt;/div&gt;&lt;span class="carc-badge "&gt;&lt;/span&gt;&lt;/td&gt;&lt;td&gt;&lt;span class="denial-reason"&gt;&lt;/span&gt;&lt;/td&gt;&lt;td class="rarc-wrap"&gt;&lt;div class="rarc-id"&gt;N351&lt;/div&gt;&lt;div class="rarc-desc"&gt;Service date outside of the approved treatment plan service dates.&lt;/div&gt;&lt;/td&gt;&lt;td class="td-meaning"&gt;&lt;/td&gt;&lt;td&gt;&lt;div class="chip-row"&gt;&lt;/div&gt;&lt;/td&gt;&lt;td&gt;&lt;div class="chip-row"&gt;&lt;/div&gt;&lt;/td&gt;&lt;td class="td-res"&gt;&lt;/td&gt;&lt;/tr&gt;</t>
  </si>
  <si>
    <t>&lt;tr data-carc="" data-type="" data-rarc="N375 — Missing/incomplete/invalid questionnaire/information required to determine dependent eligibility." data-denial="" data-root=""&gt;&lt;td&gt;&lt;div class="row-num"&gt;#507&lt;/div&gt;&lt;span class="carc-badge "&gt;&lt;/span&gt;&lt;/td&gt;&lt;td&gt;&lt;span class="denial-reason"&gt;&lt;/span&gt;&lt;/td&gt;&lt;td class="rarc-wrap"&gt;&lt;div class="rarc-id"&gt;N375&lt;/div&gt;&lt;div class="rarc-desc"&gt;Missing/incomplete/invalid questionnaire/information required to determine dependent eligibility.&lt;/div&gt;&lt;/td&gt;&lt;td class="td-meaning"&gt;&lt;/td&gt;&lt;td&gt;&lt;div class="chip-row"&gt;&lt;/div&gt;&lt;/td&gt;&lt;td&gt;&lt;div class="chip-row"&gt;&lt;/div&gt;&lt;/td&gt;&lt;td class="td-res"&gt;&lt;/td&gt;&lt;/tr&gt;</t>
  </si>
  <si>
    <t>&lt;tr data-carc="" data-type="" data-rarc="N376 — Subscriber/patient is assigned to active military duty, therefore primary coverage may be TRICARE." data-denial="" data-root=""&gt;&lt;td&gt;&lt;div class="row-num"&gt;#508&lt;/div&gt;&lt;span class="carc-badge "&gt;&lt;/span&gt;&lt;/td&gt;&lt;td&gt;&lt;span class="denial-reason"&gt;&lt;/span&gt;&lt;/td&gt;&lt;td class="rarc-wrap"&gt;&lt;div class="rarc-id"&gt;N376&lt;/div&gt;&lt;div class="rarc-desc"&gt;Subscriber/patient is assigned to active military duty, therefore primary coverage may be TRICARE.&lt;/div&gt;&lt;/td&gt;&lt;td class="td-meaning"&gt;&lt;/td&gt;&lt;td&gt;&lt;div class="chip-row"&gt;&lt;/div&gt;&lt;/td&gt;&lt;td&gt;&lt;div class="chip-row"&gt;&lt;/div&gt;&lt;/td&gt;&lt;td class="td-res"&gt;&lt;/td&gt;&lt;/tr&gt;</t>
  </si>
  <si>
    <t>&lt;tr data-carc="" data-type="" data-rarc="N379 — Claim level information does not match line level information." data-denial="" data-root=""&gt;&lt;td&gt;&lt;div class="row-num"&gt;#511&lt;/div&gt;&lt;span class="carc-badge "&gt;&lt;/span&gt;&lt;/td&gt;&lt;td&gt;&lt;span class="denial-reason"&gt;&lt;/span&gt;&lt;/td&gt;&lt;td class="rarc-wrap"&gt;&lt;div class="rarc-id"&gt;N379&lt;/div&gt;&lt;div class="rarc-desc"&gt;Claim level information does not match line level information.&lt;/div&gt;&lt;/td&gt;&lt;td class="td-meaning"&gt;&lt;/td&gt;&lt;td&gt;&lt;div class="chip-row"&gt;&lt;/div&gt;&lt;/td&gt;&lt;td&gt;&lt;div class="chip-row"&gt;&lt;/div&gt;&lt;/td&gt;&lt;td class="td-res"&gt;&lt;/td&gt;&lt;/tr&gt;</t>
  </si>
  <si>
    <t>&lt;tr data-carc="" data-type="" data-rarc="N380 — The original claim has been processed, submit a corrected claim." data-denial="" data-root=""&gt;&lt;td&gt;&lt;div class="row-num"&gt;#512&lt;/div&gt;&lt;span class="carc-badge "&gt;&lt;/span&gt;&lt;/td&gt;&lt;td&gt;&lt;span class="denial-reason"&gt;&lt;/span&gt;&lt;/td&gt;&lt;td class="rarc-wrap"&gt;&lt;div class="rarc-id"&gt;N380&lt;/div&gt;&lt;div class="rarc-desc"&gt;The original claim has been processed, submit a corrected claim.&lt;/div&gt;&lt;/td&gt;&lt;td class="td-meaning"&gt;&lt;/td&gt;&lt;td&gt;&lt;div class="chip-row"&gt;&lt;/div&gt;&lt;/td&gt;&lt;td&gt;&lt;div class="chip-row"&gt;&lt;/div&gt;&lt;/td&gt;&lt;td class="td-res"&gt;&lt;/td&gt;&lt;/tr&gt;</t>
  </si>
  <si>
    <t>&lt;tr data-carc="" data-type="" data-rarc="N381 — Alert: Consult our contractual agreement for restrictions/billing/payment information related to these charges." data-denial="" data-root=""&gt;&lt;td&gt;&lt;div class="row-num"&gt;#513&lt;/div&gt;&lt;span class="carc-badge "&gt;&lt;/span&gt;&lt;/td&gt;&lt;td&gt;&lt;span class="denial-reason"&gt;&lt;/span&gt;&lt;/td&gt;&lt;td class="rarc-wrap"&gt;&lt;div class="rarc-id"&gt;N381&lt;/div&gt;&lt;div class="rarc-desc"&gt;Alert: Consult our contractual agreement for restrictions/billing/payment information related to these charges.&lt;/div&gt;&lt;/td&gt;&lt;td class="td-meaning"&gt;&lt;/td&gt;&lt;td&gt;&lt;div class="chip-row"&gt;&lt;/div&gt;&lt;/td&gt;&lt;td&gt;&lt;div class="chip-row"&gt;&lt;/div&gt;&lt;/td&gt;&lt;td class="td-res"&gt;&lt;/td&gt;&lt;/tr&gt;</t>
  </si>
  <si>
    <t>&lt;tr data-carc="" data-type="" data-rarc="N382 — Missing/incomplete/invalid patient identifier." data-denial="" data-root=""&gt;&lt;td&gt;&lt;div class="row-num"&gt;#514&lt;/div&gt;&lt;span class="carc-badge "&gt;&lt;/span&gt;&lt;/td&gt;&lt;td&gt;&lt;span class="denial-reason"&gt;&lt;/span&gt;&lt;/td&gt;&lt;td class="rarc-wrap"&gt;&lt;div class="rarc-id"&gt;N382&lt;/div&gt;&lt;div class="rarc-desc"&gt;Missing/incomplete/invalid patient identifier.&lt;/div&gt;&lt;/td&gt;&lt;td class="td-meaning"&gt;&lt;/td&gt;&lt;td&gt;&lt;div class="chip-row"&gt;&lt;/div&gt;&lt;/td&gt;&lt;td&gt;&lt;div class="chip-row"&gt;&lt;/div&gt;&lt;/td&gt;&lt;td class="td-res"&gt;&lt;/td&gt;&lt;/tr&gt;</t>
  </si>
  <si>
    <t>&lt;tr data-carc="" data-type="" data-rarc="N383 — Not covered when deemed cosmetic." data-denial="" data-root=""&gt;&lt;td&gt;&lt;div class="row-num"&gt;#515&lt;/div&gt;&lt;span class="carc-badge "&gt;&lt;/span&gt;&lt;/td&gt;&lt;td&gt;&lt;span class="denial-reason"&gt;&lt;/span&gt;&lt;/td&gt;&lt;td class="rarc-wrap"&gt;&lt;div class="rarc-id"&gt;N383&lt;/div&gt;&lt;div class="rarc-desc"&gt;Not covered when deemed cosmetic.&lt;/div&gt;&lt;/td&gt;&lt;td class="td-meaning"&gt;&lt;/td&gt;&lt;td&gt;&lt;div class="chip-row"&gt;&lt;/div&gt;&lt;/td&gt;&lt;td&gt;&lt;div class="chip-row"&gt;&lt;/div&gt;&lt;/td&gt;&lt;td class="td-res"&gt;&lt;/td&gt;&lt;/tr&gt;</t>
  </si>
  <si>
    <t>&lt;tr data-carc="" data-type="" data-rarc="N384 — Records indicate that the referenced body part/tooth has been removed in a previous procedure." data-denial="" data-root=""&gt;&lt;td&gt;&lt;div class="row-num"&gt;#516&lt;/div&gt;&lt;span class="carc-badge "&gt;&lt;/span&gt;&lt;/td&gt;&lt;td&gt;&lt;span class="denial-reason"&gt;&lt;/span&gt;&lt;/td&gt;&lt;td class="rarc-wrap"&gt;&lt;div class="rarc-id"&gt;N384&lt;/div&gt;&lt;div class="rarc-desc"&gt;Records indicate that the referenced body part/tooth has been removed in a previous procedure.&lt;/div&gt;&lt;/td&gt;&lt;td class="td-meaning"&gt;&lt;/td&gt;&lt;td&gt;&lt;div class="chip-row"&gt;&lt;/div&gt;&lt;/td&gt;&lt;td&gt;&lt;div class="chip-row"&gt;&lt;/div&gt;&lt;/td&gt;&lt;td class="td-res"&gt;&lt;/td&gt;&lt;/tr&gt;</t>
  </si>
  <si>
    <t>&lt;tr data-carc="" data-type="" data-rarc="N386 — 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 data-denial="" data-root=""&gt;&lt;td&gt;&lt;div class="row-num"&gt;#518&lt;/div&gt;&lt;span class="carc-badge "&gt;&lt;/span&gt;&lt;/td&gt;&lt;td&gt;&lt;span class="denial-reason"&gt;&lt;/span&gt;&lt;/td&gt;&lt;td class="rarc-wrap"&gt;&lt;div class="rarc-id"&gt;N386&lt;/div&gt;&lt;div class="rarc-desc"&gt;This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NCD.&lt;/div&gt;&lt;/td&gt;&lt;td class="td-meaning"&gt;&lt;/td&gt;&lt;td&gt;&lt;div class="chip-row"&gt;&lt;/div&gt;&lt;/td&gt;&lt;td&gt;&lt;div class="chip-row"&gt;&lt;/div&gt;&lt;/td&gt;&lt;td class="td-res"&gt;&lt;/td&gt;&lt;/tr&gt;</t>
  </si>
  <si>
    <t>&lt;tr data-carc="" data-type="" data-rarc="N388 — Missing/incomplete/invalid prescription number." data-denial="" data-root=""&gt;&lt;td&gt;&lt;div class="row-num"&gt;#520&lt;/div&gt;&lt;span class="carc-badge "&gt;&lt;/span&gt;&lt;/td&gt;&lt;td&gt;&lt;span class="denial-reason"&gt;&lt;/span&gt;&lt;/td&gt;&lt;td class="rarc-wrap"&gt;&lt;div class="rarc-id"&gt;N388&lt;/div&gt;&lt;div class="rarc-desc"&gt;Missing/incomplete/invalid prescription number.&lt;/div&gt;&lt;/td&gt;&lt;td class="td-meaning"&gt;&lt;/td&gt;&lt;td&gt;&lt;div class="chip-row"&gt;&lt;/div&gt;&lt;/td&gt;&lt;td&gt;&lt;div class="chip-row"&gt;&lt;/div&gt;&lt;/td&gt;&lt;td class="td-res"&gt;&lt;/td&gt;&lt;/tr&gt;</t>
  </si>
  <si>
    <t>&lt;tr data-carc="" data-type="" data-rarc="N389 — Duplicate prescription number submitted." data-denial="" data-root=""&gt;&lt;td&gt;&lt;div class="row-num"&gt;#521&lt;/div&gt;&lt;span class="carc-badge "&gt;&lt;/span&gt;&lt;/td&gt;&lt;td&gt;&lt;span class="denial-reason"&gt;&lt;/span&gt;&lt;/td&gt;&lt;td class="rarc-wrap"&gt;&lt;div class="rarc-id"&gt;N389&lt;/div&gt;&lt;div class="rarc-desc"&gt;Duplicate prescription number submitted.&lt;/div&gt;&lt;/td&gt;&lt;td class="td-meaning"&gt;&lt;/td&gt;&lt;td&gt;&lt;div class="chip-row"&gt;&lt;/div&gt;&lt;/td&gt;&lt;td&gt;&lt;div class="chip-row"&gt;&lt;/div&gt;&lt;/td&gt;&lt;td class="td-res"&gt;&lt;/td&gt;&lt;/tr&gt;</t>
  </si>
  <si>
    <t>&lt;tr data-carc="" data-type="" data-rarc="N39 — Procedure code is not compatible with tooth number/letter." data-denial="" data-root=""&gt;&lt;td&gt;&lt;div class="row-num"&gt;#522&lt;/div&gt;&lt;span class="carc-badge "&gt;&lt;/span&gt;&lt;/td&gt;&lt;td&gt;&lt;span class="denial-reason"&gt;&lt;/span&gt;&lt;/td&gt;&lt;td class="rarc-wrap"&gt;&lt;div class="rarc-id"&gt;N39&lt;/div&gt;&lt;div class="rarc-desc"&gt;Procedure code is not compatible with tooth number/letter.&lt;/div&gt;&lt;/td&gt;&lt;td class="td-meaning"&gt;&lt;/td&gt;&lt;td&gt;&lt;div class="chip-row"&gt;&lt;/div&gt;&lt;/td&gt;&lt;td&gt;&lt;div class="chip-row"&gt;&lt;/div&gt;&lt;/td&gt;&lt;td class="td-res"&gt;&lt;/td&gt;&lt;/tr&gt;</t>
  </si>
  <si>
    <t>&lt;tr data-carc="" data-type="" data-rarc="N390 — This service/report cannot be billed separately." data-denial="" data-root=""&gt;&lt;td&gt;&lt;div class="row-num"&gt;#523&lt;/div&gt;&lt;span class="carc-badge "&gt;&lt;/span&gt;&lt;/td&gt;&lt;td&gt;&lt;span class="denial-reason"&gt;&lt;/span&gt;&lt;/td&gt;&lt;td class="rarc-wrap"&gt;&lt;div class="rarc-id"&gt;N390&lt;/div&gt;&lt;div class="rarc-desc"&gt;This service/report cannot be billed separately.&lt;/div&gt;&lt;/td&gt;&lt;td class="td-meaning"&gt;&lt;/td&gt;&lt;td&gt;&lt;div class="chip-row"&gt;&lt;/div&gt;&lt;/td&gt;&lt;td&gt;&lt;div class="chip-row"&gt;&lt;/div&gt;&lt;/td&gt;&lt;td class="td-res"&gt;&lt;/td&gt;&lt;/tr&gt;</t>
  </si>
  <si>
    <t>&lt;tr data-carc="" data-type="" data-rarc="N391 — Missing emergency department records." data-denial="" data-root=""&gt;&lt;td&gt;&lt;div class="row-num"&gt;#524&lt;/div&gt;&lt;span class="carc-badge "&gt;&lt;/span&gt;&lt;/td&gt;&lt;td&gt;&lt;span class="denial-reason"&gt;&lt;/span&gt;&lt;/td&gt;&lt;td class="rarc-wrap"&gt;&lt;div class="rarc-id"&gt;N391&lt;/div&gt;&lt;div class="rarc-desc"&gt;Missing emergency department records.&lt;/div&gt;&lt;/td&gt;&lt;td class="td-meaning"&gt;&lt;/td&gt;&lt;td&gt;&lt;div class="chip-row"&gt;&lt;/div&gt;&lt;/td&gt;&lt;td&gt;&lt;div class="chip-row"&gt;&lt;/div&gt;&lt;/td&gt;&lt;td class="td-res"&gt;&lt;/td&gt;&lt;/tr&gt;</t>
  </si>
  <si>
    <t>&lt;tr data-carc="" data-type="" data-rarc="N392 — Incomplete/invalid emergency department records." data-denial="" data-root=""&gt;&lt;td&gt;&lt;div class="row-num"&gt;#525&lt;/div&gt;&lt;span class="carc-badge "&gt;&lt;/span&gt;&lt;/td&gt;&lt;td&gt;&lt;span class="denial-reason"&gt;&lt;/span&gt;&lt;/td&gt;&lt;td class="rarc-wrap"&gt;&lt;div class="rarc-id"&gt;N392&lt;/div&gt;&lt;div class="rarc-desc"&gt;Incomplete/invalid emergency department records.&lt;/div&gt;&lt;/td&gt;&lt;td class="td-meaning"&gt;&lt;/td&gt;&lt;td&gt;&lt;div class="chip-row"&gt;&lt;/div&gt;&lt;/td&gt;&lt;td&gt;&lt;div class="chip-row"&gt;&lt;/div&gt;&lt;/td&gt;&lt;td class="td-res"&gt;&lt;/td&gt;&lt;/tr&gt;</t>
  </si>
  <si>
    <t>&lt;tr data-carc="" data-type="" data-rarc="N397 — Benefits are not available for incomplete service(s)/undelivered item(s)." data-denial="" data-root=""&gt;&lt;td&gt;&lt;div class="row-num"&gt;#530&lt;/div&gt;&lt;span class="carc-badge "&gt;&lt;/span&gt;&lt;/td&gt;&lt;td&gt;&lt;span class="denial-reason"&gt;&lt;/span&gt;&lt;/td&gt;&lt;td class="rarc-wrap"&gt;&lt;div class="rarc-id"&gt;N397&lt;/div&gt;&lt;div class="rarc-desc"&gt;Benefits are not available for incomplete service(s)/undelivered item(s).&lt;/div&gt;&lt;/td&gt;&lt;td class="td-meaning"&gt;&lt;/td&gt;&lt;td&gt;&lt;div class="chip-row"&gt;&lt;/div&gt;&lt;/td&gt;&lt;td&gt;&lt;div class="chip-row"&gt;&lt;/div&gt;&lt;/td&gt;&lt;td class="td-res"&gt;&lt;/td&gt;&lt;/tr&gt;</t>
  </si>
  <si>
    <t>&lt;tr data-carc="" data-type="" data-rarc="N4 — Missing/Incomplete/Invalid prior Insurance Carrier(s) EOB." data-denial="" data-root=""&gt;&lt;td&gt;&lt;div class="row-num"&gt;#533&lt;/div&gt;&lt;span class="carc-badge "&gt;&lt;/span&gt;&lt;/td&gt;&lt;td&gt;&lt;span class="denial-reason"&gt;&lt;/span&gt;&lt;/td&gt;&lt;td class="rarc-wrap"&gt;&lt;div class="rarc-id"&gt;N4&lt;/div&gt;&lt;div class="rarc-desc"&gt;Missing/Incomplete/Invalid prior Insurance Carrier(s) EOB.&lt;/div&gt;&lt;/td&gt;&lt;td class="td-meaning"&gt;&lt;/td&gt;&lt;td&gt;&lt;div class="chip-row"&gt;&lt;/div&gt;&lt;/td&gt;&lt;td&gt;&lt;div class="chip-row"&gt;&lt;/div&gt;&lt;/td&gt;&lt;td class="td-res"&gt;&lt;/td&gt;&lt;/tr&gt;</t>
  </si>
  <si>
    <t>&lt;tr data-carc="" data-type="" data-rarc="N401 — Missing periodontal charting." data-denial="" data-root=""&gt;&lt;td&gt;&lt;div class="row-num"&gt;#536&lt;/div&gt;&lt;span class="carc-badge "&gt;&lt;/span&gt;&lt;/td&gt;&lt;td&gt;&lt;span class="denial-reason"&gt;&lt;/span&gt;&lt;/td&gt;&lt;td class="rarc-wrap"&gt;&lt;div class="rarc-id"&gt;N401&lt;/div&gt;&lt;div class="rarc-desc"&gt;Missing periodontal charting.&lt;/div&gt;&lt;/td&gt;&lt;td class="td-meaning"&gt;&lt;/td&gt;&lt;td&gt;&lt;div class="chip-row"&gt;&lt;/div&gt;&lt;/td&gt;&lt;td&gt;&lt;div class="chip-row"&gt;&lt;/div&gt;&lt;/td&gt;&lt;td class="td-res"&gt;&lt;/td&gt;&lt;/tr&gt;</t>
  </si>
  <si>
    <t>&lt;tr data-carc="" data-type="" data-rarc="N403 — Missing facility certification." data-denial="" data-root=""&gt;&lt;td&gt;&lt;div class="row-num"&gt;#538&lt;/div&gt;&lt;span class="carc-badge "&gt;&lt;/span&gt;&lt;/td&gt;&lt;td&gt;&lt;span class="denial-reason"&gt;&lt;/span&gt;&lt;/td&gt;&lt;td class="rarc-wrap"&gt;&lt;div class="rarc-id"&gt;N403&lt;/div&gt;&lt;div class="rarc-desc"&gt;Missing facility certification.&lt;/div&gt;&lt;/td&gt;&lt;td class="td-meaning"&gt;&lt;/td&gt;&lt;td&gt;&lt;div class="chip-row"&gt;&lt;/div&gt;&lt;/td&gt;&lt;td&gt;&lt;div class="chip-row"&gt;&lt;/div&gt;&lt;/td&gt;&lt;td class="td-res"&gt;&lt;/td&gt;&lt;/tr&gt;</t>
  </si>
  <si>
    <t>&lt;tr data-carc="" data-type="" data-rarc="N404 — Incomplete/invalid facility certification." data-denial="" data-root=""&gt;&lt;td&gt;&lt;div class="row-num"&gt;#539&lt;/div&gt;&lt;span class="carc-badge "&gt;&lt;/span&gt;&lt;/td&gt;&lt;td&gt;&lt;span class="denial-reason"&gt;&lt;/span&gt;&lt;/td&gt;&lt;td class="rarc-wrap"&gt;&lt;div class="rarc-id"&gt;N404&lt;/div&gt;&lt;div class="rarc-desc"&gt;Incomplete/invalid facility certification.&lt;/div&gt;&lt;/td&gt;&lt;td class="td-meaning"&gt;&lt;/td&gt;&lt;td&gt;&lt;div class="chip-row"&gt;&lt;/div&gt;&lt;/td&gt;&lt;td&gt;&lt;div class="chip-row"&gt;&lt;/div&gt;&lt;/td&gt;&lt;td class="td-res"&gt;&lt;/td&gt;&lt;/tr&gt;</t>
  </si>
  <si>
    <t>&lt;tr data-carc="" data-type="" data-rarc="N410 — Not covered unless the prescription changes." data-denial="" data-root=""&gt;&lt;td&gt;&lt;div class="row-num"&gt;#545&lt;/div&gt;&lt;span class="carc-badge "&gt;&lt;/span&gt;&lt;/td&gt;&lt;td&gt;&lt;span class="denial-reason"&gt;&lt;/span&gt;&lt;/td&gt;&lt;td class="rarc-wrap"&gt;&lt;div class="rarc-id"&gt;N410&lt;/div&gt;&lt;div class="rarc-desc"&gt;Not covered unless the prescription changes.&lt;/div&gt;&lt;/td&gt;&lt;td class="td-meaning"&gt;&lt;/td&gt;&lt;td&gt;&lt;div class="chip-row"&gt;&lt;/div&gt;&lt;/td&gt;&lt;td&gt;&lt;div class="chip-row"&gt;&lt;/div&gt;&lt;/td&gt;&lt;td class="td-res"&gt;&lt;/td&gt;&lt;/tr&gt;</t>
  </si>
  <si>
    <t>&lt;tr data-carc="" data-type="" data-rarc="N412 — This service is allowed 2 times in a 12-month period." data-denial="" data-root=""&gt;&lt;td&gt;&lt;div class="row-num"&gt;#547&lt;/div&gt;&lt;span class="carc-badge "&gt;&lt;/span&gt;&lt;/td&gt;&lt;td&gt;&lt;span class="denial-reason"&gt;&lt;/span&gt;&lt;/td&gt;&lt;td class="rarc-wrap"&gt;&lt;div class="rarc-id"&gt;N412&lt;/div&gt;&lt;div class="rarc-desc"&gt;This service is allowed 2 times in a 12-month period.&lt;/div&gt;&lt;/td&gt;&lt;td class="td-meaning"&gt;&lt;/td&gt;&lt;td&gt;&lt;div class="chip-row"&gt;&lt;/div&gt;&lt;/td&gt;&lt;td&gt;&lt;div class="chip-row"&gt;&lt;/div&gt;&lt;/td&gt;&lt;td class="td-res"&gt;&lt;/td&gt;&lt;/tr&gt;</t>
  </si>
  <si>
    <t>&lt;tr data-carc="" data-type="" data-rarc="N417 — This service is allowed 1 time in a 5-year period." data-denial="" data-root=""&gt;&lt;td&gt;&lt;div class="row-num"&gt;#552&lt;/div&gt;&lt;span class="carc-badge "&gt;&lt;/span&gt;&lt;/td&gt;&lt;td&gt;&lt;span class="denial-reason"&gt;&lt;/span&gt;&lt;/td&gt;&lt;td class="rarc-wrap"&gt;&lt;div class="rarc-id"&gt;N417&lt;/div&gt;&lt;div class="rarc-desc"&gt;This service is allowed 1 time in a 5-year period.&lt;/div&gt;&lt;/td&gt;&lt;td class="td-meaning"&gt;&lt;/td&gt;&lt;td&gt;&lt;div class="chip-row"&gt;&lt;/div&gt;&lt;/td&gt;&lt;td&gt;&lt;div class="chip-row"&gt;&lt;/div&gt;&lt;/td&gt;&lt;td class="td-res"&gt;&lt;/td&gt;&lt;/tr&gt;</t>
  </si>
  <si>
    <t>&lt;tr data-carc="" data-type="" data-rarc="N418 — Misrouted claim. See the payer's claim submission instructions." data-denial="" data-root=""&gt;&lt;td&gt;&lt;div class="row-num"&gt;#553&lt;/div&gt;&lt;span class="carc-badge "&gt;&lt;/span&gt;&lt;/td&gt;&lt;td&gt;&lt;span class="denial-reason"&gt;&lt;/span&gt;&lt;/td&gt;&lt;td class="rarc-wrap"&gt;&lt;div class="rarc-id"&gt;N418&lt;/div&gt;&lt;div class="rarc-desc"&gt;Misrouted claim. See the payer's claim submission instructions.&lt;/div&gt;&lt;/td&gt;&lt;td class="td-meaning"&gt;&lt;/td&gt;&lt;td&gt;&lt;div class="chip-row"&gt;&lt;/div&gt;&lt;/td&gt;&lt;td&gt;&lt;div class="chip-row"&gt;&lt;/div&gt;&lt;/td&gt;&lt;td class="td-res"&gt;&lt;/td&gt;&lt;/tr&gt;</t>
  </si>
  <si>
    <t>&lt;tr data-carc="" data-type="" data-rarc="N419 — Claim payment was the result of a payer's retroactive adjustment due to a retroactive rate change." data-denial="" data-root=""&gt;&lt;td&gt;&lt;div class="row-num"&gt;#554&lt;/div&gt;&lt;span class="carc-badge "&gt;&lt;/span&gt;&lt;/td&gt;&lt;td&gt;&lt;span class="denial-reason"&gt;&lt;/span&gt;&lt;/td&gt;&lt;td class="rarc-wrap"&gt;&lt;div class="rarc-id"&gt;N419&lt;/div&gt;&lt;div class="rarc-desc"&gt;Claim payment was the result of a payer's retroactive adjustment due to a retroactive rate change.&lt;/div&gt;&lt;/td&gt;&lt;td class="td-meaning"&gt;&lt;/td&gt;&lt;td&gt;&lt;div class="chip-row"&gt;&lt;/div&gt;&lt;/td&gt;&lt;td&gt;&lt;div class="chip-row"&gt;&lt;/div&gt;&lt;/td&gt;&lt;td class="td-res"&gt;&lt;/td&gt;&lt;/tr&gt;</t>
  </si>
  <si>
    <t>&lt;tr data-carc="" data-type="" data-rarc="N421 — Claim payment was the result of a payer's retroactive adjustment due to a review organization decision." data-denial="" data-root=""&gt;&lt;td&gt;&lt;div class="row-num"&gt;#557&lt;/div&gt;&lt;span class="carc-badge "&gt;&lt;/span&gt;&lt;/td&gt;&lt;td&gt;&lt;span class="denial-reason"&gt;&lt;/span&gt;&lt;/td&gt;&lt;td class="rarc-wrap"&gt;&lt;div class="rarc-id"&gt;N421&lt;/div&gt;&lt;div class="rarc-desc"&gt;Claim payment was the result of a payer's retroactive adjustment due to a review organization decision.&lt;/div&gt;&lt;/td&gt;&lt;td class="td-meaning"&gt;&lt;/td&gt;&lt;td&gt;&lt;div class="chip-row"&gt;&lt;/div&gt;&lt;/td&gt;&lt;td&gt;&lt;div class="chip-row"&gt;&lt;/div&gt;&lt;/td&gt;&lt;td class="td-res"&gt;&lt;/td&gt;&lt;/tr&gt;</t>
  </si>
  <si>
    <t>&lt;tr data-carc="" data-type="" data-rarc="N423 — Claim payment was the result of a payer's retroactive adjustment due to a non standard program." data-denial="" data-root=""&gt;&lt;td&gt;&lt;div class="row-num"&gt;#559&lt;/div&gt;&lt;span class="carc-badge "&gt;&lt;/span&gt;&lt;/td&gt;&lt;td&gt;&lt;span class="denial-reason"&gt;&lt;/span&gt;&lt;/td&gt;&lt;td class="rarc-wrap"&gt;&lt;div class="rarc-id"&gt;N423&lt;/div&gt;&lt;div class="rarc-desc"&gt;Claim payment was the result of a payer's retroactive adjustment due to a non standard program.&lt;/div&gt;&lt;/td&gt;&lt;td class="td-meaning"&gt;&lt;/td&gt;&lt;td&gt;&lt;div class="chip-row"&gt;&lt;/div&gt;&lt;/td&gt;&lt;td&gt;&lt;div class="chip-row"&gt;&lt;/div&gt;&lt;/td&gt;&lt;td class="td-res"&gt;&lt;/td&gt;&lt;/tr&gt;</t>
  </si>
  <si>
    <t>&lt;tr data-carc="" data-type="" data-rarc="N425 — Statutorily excluded service(s)." data-denial="" data-root=""&gt;&lt;td&gt;&lt;div class="row-num"&gt;#561&lt;/div&gt;&lt;span class="carc-badge "&gt;&lt;/span&gt;&lt;/td&gt;&lt;td&gt;&lt;span class="denial-reason"&gt;&lt;/span&gt;&lt;/td&gt;&lt;td class="rarc-wrap"&gt;&lt;div class="rarc-id"&gt;N425&lt;/div&gt;&lt;div class="rarc-desc"&gt;Statutorily excluded service(s).&lt;/div&gt;&lt;/td&gt;&lt;td class="td-meaning"&gt;&lt;/td&gt;&lt;td&gt;&lt;div class="chip-row"&gt;&lt;/div&gt;&lt;/td&gt;&lt;td&gt;&lt;div class="chip-row"&gt;&lt;/div&gt;&lt;/td&gt;&lt;td class="td-res"&gt;&lt;/td&gt;&lt;/tr&gt;</t>
  </si>
  <si>
    <t>&lt;tr data-carc="" data-type="" data-rarc="N43 — Bed hold or leave days exceeded." data-denial="" data-root=""&gt;&lt;td&gt;&lt;div class="row-num"&gt;#565&lt;/div&gt;&lt;span class="carc-badge "&gt;&lt;/span&gt;&lt;/td&gt;&lt;td&gt;&lt;span class="denial-reason"&gt;&lt;/span&gt;&lt;/td&gt;&lt;td class="rarc-wrap"&gt;&lt;div class="rarc-id"&gt;N43&lt;/div&gt;&lt;div class="rarc-desc"&gt;Bed hold or leave days exceeded.&lt;/div&gt;&lt;/td&gt;&lt;td class="td-meaning"&gt;&lt;/td&gt;&lt;td&gt;&lt;div class="chip-row"&gt;&lt;/div&gt;&lt;/td&gt;&lt;td&gt;&lt;div class="chip-row"&gt;&lt;/div&gt;&lt;/td&gt;&lt;td class="td-res"&gt;&lt;/td&gt;&lt;/tr&gt;</t>
  </si>
  <si>
    <t>&lt;tr data-carc="" data-type="" data-rarc="N434 — Missing/Incomplete/Invalid Present on Admission indicator." data-denial="" data-root=""&gt;&lt;td&gt;&lt;div class="row-num"&gt;#569&lt;/div&gt;&lt;span class="carc-badge "&gt;&lt;/span&gt;&lt;/td&gt;&lt;td&gt;&lt;span class="denial-reason"&gt;&lt;/span&gt;&lt;/td&gt;&lt;td class="rarc-wrap"&gt;&lt;div class="rarc-id"&gt;N434&lt;/div&gt;&lt;div class="rarc-desc"&gt;Missing/Incomplete/Invalid Present on Admission indicator.&lt;/div&gt;&lt;/td&gt;&lt;td class="td-meaning"&gt;&lt;/td&gt;&lt;td&gt;&lt;div class="chip-row"&gt;&lt;/div&gt;&lt;/td&gt;&lt;td&gt;&lt;div class="chip-row"&gt;&lt;/div&gt;&lt;/td&gt;&lt;td class="td-res"&gt;&lt;/td&gt;&lt;/tr&gt;</t>
  </si>
  <si>
    <t>&lt;tr data-carc="" data-type="" data-rarc="N438 — This jurisdiction only accepts paper claims." data-denial="" data-root=""&gt;&lt;td&gt;&lt;div class="row-num"&gt;#573&lt;/div&gt;&lt;span class="carc-badge "&gt;&lt;/span&gt;&lt;/td&gt;&lt;td&gt;&lt;span class="denial-reason"&gt;&lt;/span&gt;&lt;/td&gt;&lt;td class="rarc-wrap"&gt;&lt;div class="rarc-id"&gt;N438&lt;/div&gt;&lt;div class="rarc-desc"&gt;This jurisdiction only accepts paper claims.&lt;/div&gt;&lt;/td&gt;&lt;td class="td-meaning"&gt;&lt;/td&gt;&lt;td&gt;&lt;div class="chip-row"&gt;&lt;/div&gt;&lt;/td&gt;&lt;td&gt;&lt;div class="chip-row"&gt;&lt;/div&gt;&lt;/td&gt;&lt;td class="td-res"&gt;&lt;/td&gt;&lt;/tr&gt;</t>
  </si>
  <si>
    <t>&lt;tr data-carc="" data-type="" data-rarc="N439 — Missing anesthesia physical status report/indicators." data-denial="" data-root=""&gt;&lt;td&gt;&lt;div class="row-num"&gt;#574&lt;/div&gt;&lt;span class="carc-badge "&gt;&lt;/span&gt;&lt;/td&gt;&lt;td&gt;&lt;span class="denial-reason"&gt;&lt;/span&gt;&lt;/td&gt;&lt;td class="rarc-wrap"&gt;&lt;div class="rarc-id"&gt;N439&lt;/div&gt;&lt;div class="rarc-desc"&gt;Missing anesthesia physical status report/indicators.&lt;/div&gt;&lt;/td&gt;&lt;td class="td-meaning"&gt;&lt;/td&gt;&lt;td&gt;&lt;div class="chip-row"&gt;&lt;/div&gt;&lt;/td&gt;&lt;td&gt;&lt;div class="chip-row"&gt;&lt;/div&gt;&lt;/td&gt;&lt;td class="td-res"&gt;&lt;/td&gt;&lt;/tr&gt;</t>
  </si>
  <si>
    <t>&lt;tr data-carc="" data-type="" data-rarc="N443 — Missing/incomplete/invalid total time or begin/end time." data-denial="" data-root=""&gt;&lt;td&gt;&lt;div class="row-num"&gt;#578&lt;/div&gt;&lt;span class="carc-badge "&gt;&lt;/span&gt;&lt;/td&gt;&lt;td&gt;&lt;span class="denial-reason"&gt;&lt;/span&gt;&lt;/td&gt;&lt;td class="rarc-wrap"&gt;&lt;div class="rarc-id"&gt;N443&lt;/div&gt;&lt;div class="rarc-desc"&gt;Missing/incomplete/invalid total time or begin/end time.&lt;/div&gt;&lt;/td&gt;&lt;td class="td-meaning"&gt;&lt;/td&gt;&lt;td&gt;&lt;div class="chip-row"&gt;&lt;/div&gt;&lt;/td&gt;&lt;td&gt;&lt;div class="chip-row"&gt;&lt;/div&gt;&lt;/td&gt;&lt;td class="td-res"&gt;&lt;/td&gt;&lt;/tr&gt;</t>
  </si>
  <si>
    <t>&lt;tr data-carc="" data-type="" data-rarc="N445 — Missing document for actual cost or paid amount." data-denial="" data-root=""&gt;&lt;td&gt;&lt;div class="row-num"&gt;#580&lt;/div&gt;&lt;span class="carc-badge "&gt;&lt;/span&gt;&lt;/td&gt;&lt;td&gt;&lt;span class="denial-reason"&gt;&lt;/span&gt;&lt;/td&gt;&lt;td class="rarc-wrap"&gt;&lt;div class="rarc-id"&gt;N445&lt;/div&gt;&lt;div class="rarc-desc"&gt;Missing document for actual cost or paid amount.&lt;/div&gt;&lt;/td&gt;&lt;td class="td-meaning"&gt;&lt;/td&gt;&lt;td&gt;&lt;div class="chip-row"&gt;&lt;/div&gt;&lt;/td&gt;&lt;td&gt;&lt;div class="chip-row"&gt;&lt;/div&gt;&lt;/td&gt;&lt;td class="td-res"&gt;&lt;/td&gt;&lt;/tr&gt;</t>
  </si>
  <si>
    <t>&lt;tr data-carc="" data-type="" data-rarc="N448 — This drug/service/supply is not included in the fee schedule or contracted/legislated fee arrangement." data-denial="" data-root=""&gt;&lt;td&gt;&lt;div class="row-num"&gt;#583&lt;/div&gt;&lt;span class="carc-badge "&gt;&lt;/span&gt;&lt;/td&gt;&lt;td&gt;&lt;span class="denial-reason"&gt;&lt;/span&gt;&lt;/td&gt;&lt;td class="rarc-wrap"&gt;&lt;div class="rarc-id"&gt;N448&lt;/div&gt;&lt;div class="rarc-desc"&gt;This drug/service/supply is not included in the fee schedule or contracted/legislated fee arrangement.&lt;/div&gt;&lt;/td&gt;&lt;td class="td-meaning"&gt;&lt;/td&gt;&lt;td&gt;&lt;div class="chip-row"&gt;&lt;/div&gt;&lt;/td&gt;&lt;td&gt;&lt;div class="chip-row"&gt;&lt;/div&gt;&lt;/td&gt;&lt;td class="td-res"&gt;&lt;/td&gt;&lt;/tr&gt;</t>
  </si>
  <si>
    <t>&lt;tr data-carc="" data-type="" data-rarc="N461 — Missing Nursing Notes." data-denial="" data-root=""&gt;&lt;td&gt;&lt;div class="row-num"&gt;#597&lt;/div&gt;&lt;span class="carc-badge "&gt;&lt;/span&gt;&lt;/td&gt;&lt;td&gt;&lt;span class="denial-reason"&gt;&lt;/span&gt;&lt;/td&gt;&lt;td class="rarc-wrap"&gt;&lt;div class="rarc-id"&gt;N461&lt;/div&gt;&lt;div class="rarc-desc"&gt;Missing Nursing Notes.&lt;/div&gt;&lt;/td&gt;&lt;td class="td-meaning"&gt;&lt;/td&gt;&lt;td&gt;&lt;div class="chip-row"&gt;&lt;/div&gt;&lt;/td&gt;&lt;td&gt;&lt;div class="chip-row"&gt;&lt;/div&gt;&lt;/td&gt;&lt;td class="td-res"&gt;&lt;/td&gt;&lt;/tr&gt;</t>
  </si>
  <si>
    <t>&lt;tr data-carc="" data-type="" data-rarc="N462 — Incomplete/invalid Nursing Notes." data-denial="" data-root=""&gt;&lt;td&gt;&lt;div class="row-num"&gt;#598&lt;/div&gt;&lt;span class="carc-badge "&gt;&lt;/span&gt;&lt;/td&gt;&lt;td&gt;&lt;span class="denial-reason"&gt;&lt;/span&gt;&lt;/td&gt;&lt;td class="rarc-wrap"&gt;&lt;div class="rarc-id"&gt;N462&lt;/div&gt;&lt;div class="rarc-desc"&gt;Incomplete/invalid Nursing Notes.&lt;/div&gt;&lt;/td&gt;&lt;td class="td-meaning"&gt;&lt;/td&gt;&lt;td&gt;&lt;div class="chip-row"&gt;&lt;/div&gt;&lt;/td&gt;&lt;td&gt;&lt;div class="chip-row"&gt;&lt;/div&gt;&lt;/td&gt;&lt;td class="td-res"&gt;&lt;/td&gt;&lt;/tr&gt;</t>
  </si>
  <si>
    <t>&lt;tr data-carc="" data-type="" data-rarc="N473 — Missing certification." data-denial="" data-root=""&gt;&lt;td&gt;&lt;div class="row-num"&gt;#610&lt;/div&gt;&lt;span class="carc-badge "&gt;&lt;/span&gt;&lt;/td&gt;&lt;td&gt;&lt;span class="denial-reason"&gt;&lt;/span&gt;&lt;/td&gt;&lt;td class="rarc-wrap"&gt;&lt;div class="rarc-id"&gt;N473&lt;/div&gt;&lt;div class="rarc-desc"&gt;Missing certification.&lt;/div&gt;&lt;/td&gt;&lt;td class="td-meaning"&gt;&lt;/td&gt;&lt;td&gt;&lt;div class="chip-row"&gt;&lt;/div&gt;&lt;/td&gt;&lt;td&gt;&lt;div class="chip-row"&gt;&lt;/div&gt;&lt;/td&gt;&lt;td class="td-res"&gt;&lt;/td&gt;&lt;/tr&gt;</t>
  </si>
  <si>
    <t>&lt;tr data-carc="" data-type="" data-rarc="N475 — Missing completed referral form." data-denial="" data-root=""&gt;&lt;td&gt;&lt;div class="row-num"&gt;#612&lt;/div&gt;&lt;span class="carc-badge "&gt;&lt;/span&gt;&lt;/td&gt;&lt;td&gt;&lt;span class="denial-reason"&gt;&lt;/span&gt;&lt;/td&gt;&lt;td class="rarc-wrap"&gt;&lt;div class="rarc-id"&gt;N475&lt;/div&gt;&lt;div class="rarc-desc"&gt;Missing completed referral form.&lt;/div&gt;&lt;/td&gt;&lt;td class="td-meaning"&gt;&lt;/td&gt;&lt;td&gt;&lt;div class="chip-row"&gt;&lt;/div&gt;&lt;/td&gt;&lt;td&gt;&lt;div class="chip-row"&gt;&lt;/div&gt;&lt;/td&gt;&lt;td class="td-res"&gt;&lt;/td&gt;&lt;/tr&gt;</t>
  </si>
  <si>
    <t>&lt;tr data-carc="" data-type="" data-rarc="N478 — Incomplete/invalid Dental Models." data-denial="" data-root=""&gt;&lt;td&gt;&lt;div class="row-num"&gt;#615&lt;/div&gt;&lt;span class="carc-badge "&gt;&lt;/span&gt;&lt;/td&gt;&lt;td&gt;&lt;span class="denial-reason"&gt;&lt;/span&gt;&lt;/td&gt;&lt;td class="rarc-wrap"&gt;&lt;div class="rarc-id"&gt;N478&lt;/div&gt;&lt;div class="rarc-desc"&gt;Incomplete/invalid Dental Models.&lt;/div&gt;&lt;/td&gt;&lt;td class="td-meaning"&gt;&lt;/td&gt;&lt;td&gt;&lt;div class="chip-row"&gt;&lt;/div&gt;&lt;/td&gt;&lt;td&gt;&lt;div class="chip-row"&gt;&lt;/div&gt;&lt;/td&gt;&lt;td class="td-res"&gt;&lt;/td&gt;&lt;/tr&gt;</t>
  </si>
  <si>
    <t>&lt;tr data-carc="" data-type="" data-rarc="N479 — Missing Explanation of Benefits (Coordination of Benefits or Medicare Secondary Payer)." data-denial="" data-root=""&gt;&lt;td&gt;&lt;div class="row-num"&gt;#616&lt;/div&gt;&lt;span class="carc-badge "&gt;&lt;/span&gt;&lt;/td&gt;&lt;td&gt;&lt;span class="denial-reason"&gt;&lt;/span&gt;&lt;/td&gt;&lt;td class="rarc-wrap"&gt;&lt;div class="rarc-id"&gt;N479&lt;/div&gt;&lt;div class="rarc-desc"&gt;Missing Explanation of Benefits (Coordination of Benefits or Medicare Secondary Payer).&lt;/div&gt;&lt;/td&gt;&lt;td class="td-meaning"&gt;&lt;/td&gt;&lt;td&gt;&lt;div class="chip-row"&gt;&lt;/div&gt;&lt;/td&gt;&lt;td&gt;&lt;div class="chip-row"&gt;&lt;/div&gt;&lt;/td&gt;&lt;td class="td-res"&gt;&lt;/td&gt;&lt;/tr&gt;</t>
  </si>
  <si>
    <t>&lt;tr data-carc="" data-type="" data-rarc="N48 — Claim information does not agree with information received from other insurance carrier." data-denial="" data-root=""&gt;&lt;td&gt;&lt;div class="row-num"&gt;#617&lt;/div&gt;&lt;span class="carc-badge "&gt;&lt;/span&gt;&lt;/td&gt;&lt;td&gt;&lt;span class="denial-reason"&gt;&lt;/span&gt;&lt;/td&gt;&lt;td class="rarc-wrap"&gt;&lt;div class="rarc-id"&gt;N48&lt;/div&gt;&lt;div class="rarc-desc"&gt;Claim information does not agree with information received from other insurance carrier.&lt;/div&gt;&lt;/td&gt;&lt;td class="td-meaning"&gt;&lt;/td&gt;&lt;td&gt;&lt;div class="chip-row"&gt;&lt;/div&gt;&lt;/td&gt;&lt;td&gt;&lt;div class="chip-row"&gt;&lt;/div&gt;&lt;/td&gt;&lt;td class="td-res"&gt;&lt;/td&gt;&lt;/tr&gt;</t>
  </si>
  <si>
    <t>&lt;tr data-carc="" data-type="" data-rarc="N488 — Incomplete/invalid Prosthetics or Orthotics Certification." data-denial="" data-root=""&gt;&lt;td&gt;&lt;div class="row-num"&gt;#624&lt;/div&gt;&lt;span class="carc-badge "&gt;&lt;/span&gt;&lt;/td&gt;&lt;td&gt;&lt;span class="denial-reason"&gt;&lt;/span&gt;&lt;/td&gt;&lt;td class="rarc-wrap"&gt;&lt;div class="rarc-id"&gt;N488&lt;/div&gt;&lt;div class="rarc-desc"&gt;Incomplete/invalid Prosthetics or Orthotics Certification.&lt;/div&gt;&lt;/td&gt;&lt;td class="td-meaning"&gt;&lt;/td&gt;&lt;td&gt;&lt;div class="chip-row"&gt;&lt;/div&gt;&lt;/td&gt;&lt;td&gt;&lt;div class="chip-row"&gt;&lt;/div&gt;&lt;/td&gt;&lt;td class="td-res"&gt;&lt;/td&gt;&lt;/tr&gt;</t>
  </si>
  <si>
    <t>&lt;tr data-carc="" data-type="" data-rarc="N489 — Missing referral form." data-denial="" data-root=""&gt;&lt;td&gt;&lt;div class="row-num"&gt;#625&lt;/div&gt;&lt;span class="carc-badge "&gt;&lt;/span&gt;&lt;/td&gt;&lt;td&gt;&lt;span class="denial-reason"&gt;&lt;/span&gt;&lt;/td&gt;&lt;td class="rarc-wrap"&gt;&lt;div class="rarc-id"&gt;N489&lt;/div&gt;&lt;div class="rarc-desc"&gt;Missing referral form.&lt;/div&gt;&lt;/td&gt;&lt;td class="td-meaning"&gt;&lt;/td&gt;&lt;td&gt;&lt;div class="chip-row"&gt;&lt;/div&gt;&lt;/td&gt;&lt;td&gt;&lt;div class="chip-row"&gt;&lt;/div&gt;&lt;/td&gt;&lt;td class="td-res"&gt;&lt;/td&gt;&lt;/tr&gt;</t>
  </si>
  <si>
    <t>&lt;tr data-carc="" data-type="" data-rarc="N49 — Court ordered coverage information needs validation." data-denial="" data-root=""&gt;&lt;td&gt;&lt;div class="row-num"&gt;#626&lt;/div&gt;&lt;span class="carc-badge "&gt;&lt;/span&gt;&lt;/td&gt;&lt;td&gt;&lt;span class="denial-reason"&gt;&lt;/span&gt;&lt;/td&gt;&lt;td class="rarc-wrap"&gt;&lt;div class="rarc-id"&gt;N49&lt;/div&gt;&lt;div class="rarc-desc"&gt;Court ordered coverage information needs validation.&lt;/div&gt;&lt;/td&gt;&lt;td class="td-meaning"&gt;&lt;/td&gt;&lt;td&gt;&lt;div class="chip-row"&gt;&lt;/div&gt;&lt;/td&gt;&lt;td&gt;&lt;div class="chip-row"&gt;&lt;/div&gt;&lt;/td&gt;&lt;td class="td-res"&gt;&lt;/td&gt;&lt;/tr&gt;</t>
  </si>
  <si>
    <t>&lt;tr data-carc="" data-type="" data-rarc="N490 — Incomplete/invalid referral form." data-denial="" data-root=""&gt;&lt;td&gt;&lt;div class="row-num"&gt;#627&lt;/div&gt;&lt;span class="carc-badge "&gt;&lt;/span&gt;&lt;/td&gt;&lt;td&gt;&lt;span class="denial-reason"&gt;&lt;/span&gt;&lt;/td&gt;&lt;td class="rarc-wrap"&gt;&lt;div class="rarc-id"&gt;N490&lt;/div&gt;&lt;div class="rarc-desc"&gt;Incomplete/invalid referral form.&lt;/div&gt;&lt;/td&gt;&lt;td class="td-meaning"&gt;&lt;/td&gt;&lt;td&gt;&lt;div class="chip-row"&gt;&lt;/div&gt;&lt;/td&gt;&lt;td&gt;&lt;div class="chip-row"&gt;&lt;/div&gt;&lt;/td&gt;&lt;td class="td-res"&gt;&lt;/td&gt;&lt;/tr&gt;</t>
  </si>
  <si>
    <t>&lt;tr data-carc="" data-type="" data-rarc="N492 — Alert: A network provider may bill the member for this service if the member requested the service and agreed in writing, prior to receiving the service, to be financially responsible for the billed charge." data-denial="" data-root=""&gt;&lt;td&gt;&lt;div class="row-num"&gt;#629&lt;/div&gt;&lt;span class="carc-badge "&gt;&lt;/span&gt;&lt;/td&gt;&lt;td&gt;&lt;span class="denial-reason"&gt;&lt;/span&gt;&lt;/td&gt;&lt;td class="rarc-wrap"&gt;&lt;div class="rarc-id"&gt;N492&lt;/div&gt;&lt;div class="rarc-desc"&gt;Alert: A network provider may bill the member for this service if the member requested the service and agreed in writing, prior to receiving the service, to be financially responsible for the billed charge.&lt;/div&gt;&lt;/td&gt;&lt;td class="td-meaning"&gt;&lt;/td&gt;&lt;td&gt;&lt;div class="chip-row"&gt;&lt;/div&gt;&lt;/td&gt;&lt;td&gt;&lt;div class="chip-row"&gt;&lt;/div&gt;&lt;/td&gt;&lt;td class="td-res"&gt;&lt;/td&gt;&lt;/tr&gt;</t>
  </si>
  <si>
    <t>&lt;tr data-carc="" data-type="" data-rarc="N494 — Incomplete/invalid Doctor First Report of Injury." data-denial="" data-root=""&gt;&lt;td&gt;&lt;div class="row-num"&gt;#631&lt;/div&gt;&lt;span class="carc-badge "&gt;&lt;/span&gt;&lt;/td&gt;&lt;td&gt;&lt;span class="denial-reason"&gt;&lt;/span&gt;&lt;/td&gt;&lt;td class="rarc-wrap"&gt;&lt;div class="rarc-id"&gt;N494&lt;/div&gt;&lt;div class="rarc-desc"&gt;Incomplete/invalid Doctor First Report of Injury.&lt;/div&gt;&lt;/td&gt;&lt;td class="td-meaning"&gt;&lt;/td&gt;&lt;td&gt;&lt;div class="chip-row"&gt;&lt;/div&gt;&lt;/td&gt;&lt;td&gt;&lt;div class="chip-row"&gt;&lt;/div&gt;&lt;/td&gt;&lt;td class="td-res"&gt;&lt;/td&gt;&lt;/tr&gt;</t>
  </si>
  <si>
    <t>&lt;tr data-carc="" data-type="" data-rarc="N495 — Missing Supplemental Medical Report." data-denial="" data-root=""&gt;&lt;td&gt;&lt;div class="row-num"&gt;#632&lt;/div&gt;&lt;span class="carc-badge "&gt;&lt;/span&gt;&lt;/td&gt;&lt;td&gt;&lt;span class="denial-reason"&gt;&lt;/span&gt;&lt;/td&gt;&lt;td class="rarc-wrap"&gt;&lt;div class="rarc-id"&gt;N495&lt;/div&gt;&lt;div class="rarc-desc"&gt;Missing Supplemental Medical Report.&lt;/div&gt;&lt;/td&gt;&lt;td class="td-meaning"&gt;&lt;/td&gt;&lt;td&gt;&lt;div class="chip-row"&gt;&lt;/div&gt;&lt;/td&gt;&lt;td&gt;&lt;div class="chip-row"&gt;&lt;/div&gt;&lt;/td&gt;&lt;td class="td-res"&gt;&lt;/td&gt;&lt;/tr&gt;</t>
  </si>
  <si>
    <t>&lt;tr data-carc="" data-type="" data-rarc="N496 — Incomplete/invalid Supplemental Medical Report." data-denial="" data-root=""&gt;&lt;td&gt;&lt;div class="row-num"&gt;#633&lt;/div&gt;&lt;span class="carc-badge "&gt;&lt;/span&gt;&lt;/td&gt;&lt;td&gt;&lt;span class="denial-reason"&gt;&lt;/span&gt;&lt;/td&gt;&lt;td class="rarc-wrap"&gt;&lt;div class="rarc-id"&gt;N496&lt;/div&gt;&lt;div class="rarc-desc"&gt;Incomplete/invalid Supplemental Medical Report.&lt;/div&gt;&lt;/td&gt;&lt;td class="td-meaning"&gt;&lt;/td&gt;&lt;td&gt;&lt;div class="chip-row"&gt;&lt;/div&gt;&lt;/td&gt;&lt;td&gt;&lt;div class="chip-row"&gt;&lt;/div&gt;&lt;/td&gt;&lt;td class="td-res"&gt;&lt;/td&gt;&lt;/tr&gt;</t>
  </si>
  <si>
    <t>&lt;tr data-carc="" data-type="" data-rarc="N497 — Missing Medical Permanent Impairment or Disability Report." data-denial="" data-root=""&gt;&lt;td&gt;&lt;div class="row-num"&gt;#634&lt;/div&gt;&lt;span class="carc-badge "&gt;&lt;/span&gt;&lt;/td&gt;&lt;td&gt;&lt;span class="denial-reason"&gt;&lt;/span&gt;&lt;/td&gt;&lt;td class="rarc-wrap"&gt;&lt;div class="rarc-id"&gt;N497&lt;/div&gt;&lt;div class="rarc-desc"&gt;Missing Medical Permanent Impairment or Disability Report.&lt;/div&gt;&lt;/td&gt;&lt;td class="td-meaning"&gt;&lt;/td&gt;&lt;td&gt;&lt;div class="chip-row"&gt;&lt;/div&gt;&lt;/td&gt;&lt;td&gt;&lt;div class="chip-row"&gt;&lt;/div&gt;&lt;/td&gt;&lt;td class="td-res"&gt;&lt;/td&gt;&lt;/tr&gt;</t>
  </si>
  <si>
    <t>&lt;tr data-carc="" data-type="" data-rarc="N499 — Missing Medical Legal Report." data-denial="" data-root=""&gt;&lt;td&gt;&lt;div class="row-num"&gt;#636&lt;/div&gt;&lt;span class="carc-badge "&gt;&lt;/span&gt;&lt;/td&gt;&lt;td&gt;&lt;span class="denial-reason"&gt;&lt;/span&gt;&lt;/td&gt;&lt;td class="rarc-wrap"&gt;&lt;div class="rarc-id"&gt;N499&lt;/div&gt;&lt;div class="rarc-desc"&gt;Missing Medical Legal Report.&lt;/div&gt;&lt;/td&gt;&lt;td class="td-meaning"&gt;&lt;/td&gt;&lt;td&gt;&lt;div class="chip-row"&gt;&lt;/div&gt;&lt;/td&gt;&lt;td&gt;&lt;div class="chip-row"&gt;&lt;/div&gt;&lt;/td&gt;&lt;td class="td-res"&gt;&lt;/td&gt;&lt;/tr&gt;</t>
  </si>
  <si>
    <t>&lt;tr data-carc="" data-type="" data-rarc="N5 — EOB received from previous payer. Claim not on file." data-denial="" data-root=""&gt;&lt;td&gt;&lt;div class="row-num"&gt;#637&lt;/div&gt;&lt;span class="carc-badge "&gt;&lt;/span&gt;&lt;/td&gt;&lt;td&gt;&lt;span class="denial-reason"&gt;&lt;/span&gt;&lt;/td&gt;&lt;td class="rarc-wrap"&gt;&lt;div class="rarc-id"&gt;N5&lt;/div&gt;&lt;div class="rarc-desc"&gt;EOB received from previous payer. Claim not on file.&lt;/div&gt;&lt;/td&gt;&lt;td class="td-meaning"&gt;&lt;/td&gt;&lt;td&gt;&lt;div class="chip-row"&gt;&lt;/div&gt;&lt;/td&gt;&lt;td&gt;&lt;div class="chip-row"&gt;&lt;/div&gt;&lt;/td&gt;&lt;td class="td-res"&gt;&lt;/td&gt;&lt;/tr&gt;</t>
  </si>
  <si>
    <t>&lt;tr data-carc="" data-type="" data-rarc="N50 — Missing/incomplete/invalid discharge information." data-denial="" data-root=""&gt;&lt;td&gt;&lt;div class="row-num"&gt;#638&lt;/div&gt;&lt;span class="carc-badge "&gt;&lt;/span&gt;&lt;/td&gt;&lt;td&gt;&lt;span class="denial-reason"&gt;&lt;/span&gt;&lt;/td&gt;&lt;td class="rarc-wrap"&gt;&lt;div class="rarc-id"&gt;N50&lt;/div&gt;&lt;div class="rarc-desc"&gt;Missing/incomplete/invalid discharge information.&lt;/div&gt;&lt;/td&gt;&lt;td class="td-meaning"&gt;&lt;/td&gt;&lt;td&gt;&lt;div class="chip-row"&gt;&lt;/div&gt;&lt;/td&gt;&lt;td&gt;&lt;div class="chip-row"&gt;&lt;/div&gt;&lt;/td&gt;&lt;td class="td-res"&gt;&lt;/td&gt;&lt;/tr&gt;</t>
  </si>
  <si>
    <t>&lt;tr data-carc="" data-type="" data-rarc="N505 — Alert: This response includes only services that could be estimated in real-time. No estimate will be provided for the services that could not be estimated in real-time." data-denial="" data-root=""&gt;&lt;td&gt;&lt;div class="row-num"&gt;#644&lt;/div&gt;&lt;span class="carc-badge "&gt;&lt;/span&gt;&lt;/td&gt;&lt;td&gt;&lt;span class="denial-reason"&gt;&lt;/span&gt;&lt;/td&gt;&lt;td class="rarc-wrap"&gt;&lt;div class="rarc-id"&gt;N505&lt;/div&gt;&lt;div class="rarc-desc"&gt;Alert: This response includes only services that could be estimated in real-time. No estimate will be provided for the services that could not be estimated in real-time.&lt;/div&gt;&lt;/td&gt;&lt;td class="td-meaning"&gt;&lt;/td&gt;&lt;td&gt;&lt;div class="chip-row"&gt;&lt;/div&gt;&lt;/td&gt;&lt;td&gt;&lt;div class="chip-row"&gt;&lt;/div&gt;&lt;/td&gt;&lt;td class="td-res"&gt;&lt;/td&gt;&lt;/tr&gt;</t>
  </si>
  <si>
    <t>&lt;tr data-carc="" data-type="" data-rarc="N507 — Plan distance requirements have not been met." data-denial="" data-root=""&gt;&lt;td&gt;&lt;div class="row-num"&gt;#645&lt;/div&gt;&lt;span class="carc-badge "&gt;&lt;/span&gt;&lt;/td&gt;&lt;td&gt;&lt;span class="denial-reason"&gt;&lt;/span&gt;&lt;/td&gt;&lt;td class="rarc-wrap"&gt;&lt;div class="rarc-id"&gt;N507&lt;/div&gt;&lt;div class="rarc-desc"&gt;Plan distance requirements have not been met.&lt;/div&gt;&lt;/td&gt;&lt;td class="td-meaning"&gt;&lt;/td&gt;&lt;td&gt;&lt;div class="chip-row"&gt;&lt;/div&gt;&lt;/td&gt;&lt;td&gt;&lt;div class="chip-row"&gt;&lt;/div&gt;&lt;/td&gt;&lt;td class="td-res"&gt;&lt;/td&gt;&lt;/tr&gt;</t>
  </si>
  <si>
    <t>&lt;tr data-carc="" data-type="" data-rarc="N51 — Electronic interchange agreement not on file for provider/submitter." data-denial="" data-root=""&gt;&lt;td&gt;&lt;div class="row-num"&gt;#648&lt;/div&gt;&lt;span class="carc-badge "&gt;&lt;/span&gt;&lt;/td&gt;&lt;td&gt;&lt;span class="denial-reason"&gt;&lt;/span&gt;&lt;/td&gt;&lt;td class="rarc-wrap"&gt;&lt;div class="rarc-id"&gt;N51&lt;/div&gt;&lt;div class="rarc-desc"&gt;Electronic interchange agreement not on file for provider/submitter.&lt;/div&gt;&lt;/td&gt;&lt;td class="td-meaning"&gt;&lt;/td&gt;&lt;td&gt;&lt;div class="chip-row"&gt;&lt;/div&gt;&lt;/td&gt;&lt;td&gt;&lt;div class="chip-row"&gt;&lt;/div&gt;&lt;/td&gt;&lt;td class="td-res"&gt;&lt;/td&gt;&lt;/tr&gt;</t>
  </si>
  <si>
    <t>&lt;tr data-carc="" data-type="" data-rarc="N510 — Alert: 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 data-denial="" data-root=""&gt;&lt;td&gt;&lt;div class="row-num"&gt;#649&lt;/div&gt;&lt;span class="carc-badge "&gt;&lt;/span&gt;&lt;/td&gt;&lt;td&gt;&lt;span class="denial-reason"&gt;&lt;/span&gt;&lt;/td&gt;&lt;td class="rarc-wrap"&gt;&lt;div class="rarc-id"&gt;N510&lt;/div&gt;&lt;div class="rarc-desc"&gt;Alert: 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processing.&lt;/div&gt;&lt;/td&gt;&lt;td class="td-meaning"&gt;&lt;/td&gt;&lt;td&gt;&lt;div class="chip-row"&gt;&lt;/div&gt;&lt;/td&gt;&lt;td&gt;&lt;div class="chip-row"&gt;&lt;/div&gt;&lt;/td&gt;&lt;td class="td-res"&gt;&lt;/td&gt;&lt;/tr&gt;</t>
  </si>
  <si>
    <t>&lt;tr data-carc="" data-type="" data-rarc="N511 — Alert: Information on the availability of Consumer Spending Account funds to cover the member liability on this claim/service is not available at this time." data-denial="" data-root=""&gt;&lt;td&gt;&lt;div class="row-num"&gt;#650&lt;/div&gt;&lt;span class="carc-badge "&gt;&lt;/span&gt;&lt;/td&gt;&lt;td&gt;&lt;span class="denial-reason"&gt;&lt;/span&gt;&lt;/td&gt;&lt;td class="rarc-wrap"&gt;&lt;div class="rarc-id"&gt;N511&lt;/div&gt;&lt;div class="rarc-desc"&gt;Alert: Information on the availability of Consumer Spending Account funds to cover the member liability on this claim/service is not available at this time.&lt;/div&gt;&lt;/td&gt;&lt;td class="td-meaning"&gt;&lt;/td&gt;&lt;td&gt;&lt;div class="chip-row"&gt;&lt;/div&gt;&lt;/td&gt;&lt;td&gt;&lt;div class="chip-row"&gt;&lt;/div&gt;&lt;/td&gt;&lt;td class="td-res"&gt;&lt;/td&gt;&lt;/tr&gt;</t>
  </si>
  <si>
    <t>&lt;tr data-carc="" data-type="" data-rarc="N517 — Resubmit a new claim with the requested information." data-denial="" data-root=""&gt;&lt;td&gt;&lt;div class="row-num"&gt;#654&lt;/div&gt;&lt;span class="carc-badge "&gt;&lt;/span&gt;&lt;/td&gt;&lt;td&gt;&lt;span class="denial-reason"&gt;&lt;/span&gt;&lt;/td&gt;&lt;td class="rarc-wrap"&gt;&lt;div class="rarc-id"&gt;N517&lt;/div&gt;&lt;div class="rarc-desc"&gt;Resubmit a new claim with the requested information.&lt;/div&gt;&lt;/td&gt;&lt;td class="td-meaning"&gt;&lt;/td&gt;&lt;td&gt;&lt;div class="chip-row"&gt;&lt;/div&gt;&lt;/td&gt;&lt;td&gt;&lt;div class="chip-row"&gt;&lt;/div&gt;&lt;/td&gt;&lt;td class="td-res"&gt;&lt;/td&gt;&lt;/tr&gt;</t>
  </si>
  <si>
    <t>&lt;tr data-carc="" data-type="" data-rarc="N520 — Alert: Payment made from a Consumer Spending Account." data-denial="" data-root=""&gt;&lt;td&gt;&lt;div class="row-num"&gt;#656&lt;/div&gt;&lt;span class="carc-badge "&gt;&lt;/span&gt;&lt;/td&gt;&lt;td&gt;&lt;span class="denial-reason"&gt;&lt;/span&gt;&lt;/td&gt;&lt;td class="rarc-wrap"&gt;&lt;div class="rarc-id"&gt;N520&lt;/div&gt;&lt;div class="rarc-desc"&gt;Alert: Payment made from a Consumer Spending Account.&lt;/div&gt;&lt;/td&gt;&lt;td class="td-meaning"&gt;&lt;/td&gt;&lt;td&gt;&lt;div class="chip-row"&gt;&lt;/div&gt;&lt;/td&gt;&lt;td&gt;&lt;div class="chip-row"&gt;&lt;/div&gt;&lt;/td&gt;&lt;td class="td-res"&gt;&lt;/td&gt;&lt;/tr&gt;</t>
  </si>
  <si>
    <t>&lt;tr data-carc="" data-type="" data-rarc="N525 — These services are not covered when performed within the global period of another service." data-denial="" data-root=""&gt;&lt;td&gt;&lt;div class="row-num"&gt;#660&lt;/div&gt;&lt;span class="carc-badge "&gt;&lt;/span&gt;&lt;/td&gt;&lt;td&gt;&lt;span class="denial-reason"&gt;&lt;/span&gt;&lt;/td&gt;&lt;td class="rarc-wrap"&gt;&lt;div class="rarc-id"&gt;N525&lt;/div&gt;&lt;div class="rarc-desc"&gt;These services are not covered when performed within the global period of another service.&lt;/div&gt;&lt;/td&gt;&lt;td class="td-meaning"&gt;&lt;/td&gt;&lt;td&gt;&lt;div class="chip-row"&gt;&lt;/div&gt;&lt;/td&gt;&lt;td&gt;&lt;div class="chip-row"&gt;&lt;/div&gt;&lt;/td&gt;&lt;td class="td-res"&gt;&lt;/td&gt;&lt;/tr&gt;</t>
  </si>
  <si>
    <t>&lt;tr data-carc="" data-type="" data-rarc="N527 — We processed this claim as the primary payer prior to receiving the recovery demand." data-denial="" data-root=""&gt;&lt;td&gt;&lt;div class="row-num"&gt;#662&lt;/div&gt;&lt;span class="carc-badge "&gt;&lt;/span&gt;&lt;/td&gt;&lt;td&gt;&lt;span class="denial-reason"&gt;&lt;/span&gt;&lt;/td&gt;&lt;td class="rarc-wrap"&gt;&lt;div class="rarc-id"&gt;N527&lt;/div&gt;&lt;div class="rarc-desc"&gt;We processed this claim as the primary payer prior to receiving the recovery demand.&lt;/div&gt;&lt;/td&gt;&lt;td class="td-meaning"&gt;&lt;/td&gt;&lt;td&gt;&lt;div class="chip-row"&gt;&lt;/div&gt;&lt;/td&gt;&lt;td&gt;&lt;div class="chip-row"&gt;&lt;/div&gt;&lt;/td&gt;&lt;td class="td-res"&gt;&lt;/td&gt;&lt;/tr&gt;</t>
  </si>
  <si>
    <t>&lt;tr data-carc="" data-type="" data-rarc="N530 — Not Qualified for Recovery based on enrollment information." data-denial="" data-root=""&gt;&lt;td&gt;&lt;div class="row-num"&gt;#666&lt;/div&gt;&lt;span class="carc-badge "&gt;&lt;/span&gt;&lt;/td&gt;&lt;td&gt;&lt;span class="denial-reason"&gt;&lt;/span&gt;&lt;/td&gt;&lt;td class="rarc-wrap"&gt;&lt;div class="rarc-id"&gt;N530&lt;/div&gt;&lt;div class="rarc-desc"&gt;Not Qualified for Recovery based on enrollment information.&lt;/div&gt;&lt;/td&gt;&lt;td class="td-meaning"&gt;&lt;/td&gt;&lt;td&gt;&lt;div class="chip-row"&gt;&lt;/div&gt;&lt;/td&gt;&lt;td&gt;&lt;div class="chip-row"&gt;&lt;/div&gt;&lt;/td&gt;&lt;td class="td-res"&gt;&lt;/td&gt;&lt;/tr&gt;</t>
  </si>
  <si>
    <t>&lt;tr data-carc="" data-type="" data-rarc="N534 — This is an individual policy, the employer does not participate in plan sponsorship." data-denial="" data-root=""&gt;&lt;td&gt;&lt;div class="row-num"&gt;#670&lt;/div&gt;&lt;span class="carc-badge "&gt;&lt;/span&gt;&lt;/td&gt;&lt;td&gt;&lt;span class="denial-reason"&gt;&lt;/span&gt;&lt;/td&gt;&lt;td class="rarc-wrap"&gt;&lt;div class="rarc-id"&gt;N534&lt;/div&gt;&lt;div class="rarc-desc"&gt;This is an individual policy, the employer does not participate in plan sponsorship.&lt;/div&gt;&lt;/td&gt;&lt;td class="td-meaning"&gt;&lt;/td&gt;&lt;td&gt;&lt;div class="chip-row"&gt;&lt;/div&gt;&lt;/td&gt;&lt;td&gt;&lt;div class="chip-row"&gt;&lt;/div&gt;&lt;/td&gt;&lt;td class="td-res"&gt;&lt;/td&gt;&lt;/tr&gt;</t>
  </si>
  <si>
    <t>&lt;tr data-carc="" data-type="" data-rarc="N535 — Payment is adjusted when procedure is performed in this place of service based on the submitted procedure code and place of service." data-denial="" data-root=""&gt;&lt;td&gt;&lt;div class="row-num"&gt;#671&lt;/div&gt;&lt;span class="carc-badge "&gt;&lt;/span&gt;&lt;/td&gt;&lt;td&gt;&lt;span class="denial-reason"&gt;&lt;/span&gt;&lt;/td&gt;&lt;td class="rarc-wrap"&gt;&lt;div class="rarc-id"&gt;N535&lt;/div&gt;&lt;div class="rarc-desc"&gt;Payment is adjusted when procedure is performed in this place of service based on the submitted procedure code and place of service.&lt;/div&gt;&lt;/td&gt;&lt;td class="td-meaning"&gt;&lt;/td&gt;&lt;td&gt;&lt;div class="chip-row"&gt;&lt;/div&gt;&lt;/td&gt;&lt;td&gt;&lt;div class="chip-row"&gt;&lt;/div&gt;&lt;/td&gt;&lt;td class="td-res"&gt;&lt;/td&gt;&lt;/tr&gt;</t>
  </si>
  <si>
    <t>&lt;tr data-carc="" data-type="" data-rarc="N542 — Missing income verification." data-denial="" data-root=""&gt;&lt;td&gt;&lt;div class="row-num"&gt;#678&lt;/div&gt;&lt;span class="carc-badge "&gt;&lt;/span&gt;&lt;/td&gt;&lt;td&gt;&lt;span class="denial-reason"&gt;&lt;/span&gt;&lt;/td&gt;&lt;td class="rarc-wrap"&gt;&lt;div class="rarc-id"&gt;N542&lt;/div&gt;&lt;div class="rarc-desc"&gt;Missing income verification.&lt;/div&gt;&lt;/td&gt;&lt;td class="td-meaning"&gt;&lt;/td&gt;&lt;td&gt;&lt;div class="chip-row"&gt;&lt;/div&gt;&lt;/td&gt;&lt;td&gt;&lt;div class="chip-row"&gt;&lt;/div&gt;&lt;/td&gt;&lt;td class="td-res"&gt;&lt;/td&gt;&lt;/tr&gt;</t>
  </si>
  <si>
    <t>&lt;tr data-carc="" data-type="" data-rarc="N545 — Payment reduced based on status as an unsuccessful eprescriber per the Electronic Prescribing (eRx) Incentive Program." data-denial="" data-root=""&gt;&lt;td&gt;&lt;div class="row-num"&gt;#681&lt;/div&gt;&lt;span class="carc-badge "&gt;&lt;/span&gt;&lt;/td&gt;&lt;td&gt;&lt;span class="denial-reason"&gt;&lt;/span&gt;&lt;/td&gt;&lt;td class="rarc-wrap"&gt;&lt;div class="rarc-id"&gt;N545&lt;/div&gt;&lt;div class="rarc-desc"&gt;Payment reduced based on status as an unsuccessful eprescriber per the Electronic Prescribing (eRx) Incentive Program.&lt;/div&gt;&lt;/td&gt;&lt;td class="td-meaning"&gt;&lt;/td&gt;&lt;td&gt;&lt;div class="chip-row"&gt;&lt;/div&gt;&lt;/td&gt;&lt;td&gt;&lt;div class="chip-row"&gt;&lt;/div&gt;&lt;/td&gt;&lt;td class="td-res"&gt;&lt;/td&gt;&lt;/tr&gt;</t>
  </si>
  <si>
    <t>&lt;tr data-carc="" data-type="" data-rarc="N548 — Alert: Patient's calendar year deductible has been met." data-denial="" data-root=""&gt;&lt;td&gt;&lt;div class="row-num"&gt;#684&lt;/div&gt;&lt;span class="carc-badge "&gt;&lt;/span&gt;&lt;/td&gt;&lt;td&gt;&lt;span class="denial-reason"&gt;&lt;/span&gt;&lt;/td&gt;&lt;td class="rarc-wrap"&gt;&lt;div class="rarc-id"&gt;N548&lt;/div&gt;&lt;div class="rarc-desc"&gt;Alert: Patient's calendar year deductible has been met.&lt;/div&gt;&lt;/td&gt;&lt;td class="td-meaning"&gt;&lt;/td&gt;&lt;td&gt;&lt;div class="chip-row"&gt;&lt;/div&gt;&lt;/td&gt;&lt;td&gt;&lt;div class="chip-row"&gt;&lt;/div&gt;&lt;/td&gt;&lt;td class="td-res"&gt;&lt;/td&gt;&lt;/tr&gt;</t>
  </si>
  <si>
    <t>&lt;tr data-carc="" data-type="" data-rarc="N551 — Payment adjusted based on the Ambulatory Surgical Center (ASC) Quality Reporting Program." data-denial="" data-root=""&gt;&lt;td&gt;&lt;div class="row-num"&gt;#688&lt;/div&gt;&lt;span class="carc-badge "&gt;&lt;/span&gt;&lt;/td&gt;&lt;td&gt;&lt;span class="denial-reason"&gt;&lt;/span&gt;&lt;/td&gt;&lt;td class="rarc-wrap"&gt;&lt;div class="rarc-id"&gt;N551&lt;/div&gt;&lt;div class="rarc-desc"&gt;Payment adjusted based on the Ambulatory Surgical Center (ASC) Quality Reporting Program.&lt;/div&gt;&lt;/td&gt;&lt;td class="td-meaning"&gt;&lt;/td&gt;&lt;td&gt;&lt;div class="chip-row"&gt;&lt;/div&gt;&lt;/td&gt;&lt;td&gt;&lt;div class="chip-row"&gt;&lt;/div&gt;&lt;/td&gt;&lt;td class="td-res"&gt;&lt;/td&gt;&lt;/tr&gt;</t>
  </si>
  <si>
    <t>&lt;tr data-carc="" data-type="" data-rarc="N554 — Missing/Incomplete/Invalid Family Planning Indicator." data-denial="" data-root=""&gt;&lt;td&gt;&lt;div class="row-num"&gt;#690&lt;/div&gt;&lt;span class="carc-badge "&gt;&lt;/span&gt;&lt;/td&gt;&lt;td&gt;&lt;span class="denial-reason"&gt;&lt;/span&gt;&lt;/td&gt;&lt;td class="rarc-wrap"&gt;&lt;div class="rarc-id"&gt;N554&lt;/div&gt;&lt;div class="rarc-desc"&gt;Missing/Incomplete/Invalid Family Planning Indicator.&lt;/div&gt;&lt;/td&gt;&lt;td class="td-meaning"&gt;&lt;/td&gt;&lt;td&gt;&lt;div class="chip-row"&gt;&lt;/div&gt;&lt;/td&gt;&lt;td&gt;&lt;div class="chip-row"&gt;&lt;/div&gt;&lt;/td&gt;&lt;td class="td-res"&gt;&lt;/td&gt;&lt;/tr&gt;</t>
  </si>
  <si>
    <t>&lt;tr data-carc="" data-type="" data-rarc="N557 — This claim/service is not payable under our service area. The claim must be filed to the Payer/Plan in whose service area the specimen was collected." data-denial="" data-root=""&gt;&lt;td&gt;&lt;div class="row-num"&gt;#693&lt;/div&gt;&lt;span class="carc-badge "&gt;&lt;/span&gt;&lt;/td&gt;&lt;td&gt;&lt;span class="denial-reason"&gt;&lt;/span&gt;&lt;/td&gt;&lt;td class="rarc-wrap"&gt;&lt;div class="rarc-id"&gt;N557&lt;/div&gt;&lt;div class="rarc-desc"&gt;This claim/service is not payable under our service area. The claim must be filed to the Payer/Plan in whose service area the specimen was collected.&lt;/div&gt;&lt;/td&gt;&lt;td class="td-meaning"&gt;&lt;/td&gt;&lt;td&gt;&lt;div class="chip-row"&gt;&lt;/div&gt;&lt;/td&gt;&lt;td&gt;&lt;div class="chip-row"&gt;&lt;/div&gt;&lt;/td&gt;&lt;td class="td-res"&gt;&lt;/td&gt;&lt;/tr&gt;</t>
  </si>
  <si>
    <t>&lt;tr data-carc="" data-type="" data-rarc="N558 — This claim/service is not payable under our service area. The claim must be filed to the Payer/Plan in whose service area the equipment was received." data-denial="" data-root=""&gt;&lt;td&gt;&lt;div class="row-num"&gt;#694&lt;/div&gt;&lt;span class="carc-badge "&gt;&lt;/span&gt;&lt;/td&gt;&lt;td&gt;&lt;span class="denial-reason"&gt;&lt;/span&gt;&lt;/td&gt;&lt;td class="rarc-wrap"&gt;&lt;div class="rarc-id"&gt;N558&lt;/div&gt;&lt;div class="rarc-desc"&gt;This claim/service is not payable under our service area. The claim must be filed to the Payer/Plan in whose service area the equipment was received.&lt;/div&gt;&lt;/td&gt;&lt;td class="td-meaning"&gt;&lt;/td&gt;&lt;td&gt;&lt;div class="chip-row"&gt;&lt;/div&gt;&lt;/td&gt;&lt;td&gt;&lt;div class="chip-row"&gt;&lt;/div&gt;&lt;/td&gt;&lt;td class="td-res"&gt;&lt;/td&gt;&lt;/tr&gt;</t>
  </si>
  <si>
    <t>&lt;tr data-carc="" data-type="" data-rarc="N56 — Procedure code billed is not correct/valid for the services billed or the date of service billed." data-denial="" data-root=""&gt;&lt;td&gt;&lt;div class="row-num"&gt;#696&lt;/div&gt;&lt;span class="carc-badge "&gt;&lt;/span&gt;&lt;/td&gt;&lt;td&gt;&lt;span class="denial-reason"&gt;&lt;/span&gt;&lt;/td&gt;&lt;td class="rarc-wrap"&gt;&lt;div class="rarc-id"&gt;N56&lt;/div&gt;&lt;div class="rarc-desc"&gt;Procedure code billed is not correct/valid for the services billed or the date of service billed.&lt;/div&gt;&lt;/td&gt;&lt;td class="td-meaning"&gt;&lt;/td&gt;&lt;td&gt;&lt;div class="chip-row"&gt;&lt;/div&gt;&lt;/td&gt;&lt;td&gt;&lt;div class="chip-row"&gt;&lt;/div&gt;&lt;/td&gt;&lt;td class="td-res"&gt;&lt;/td&gt;&lt;/tr&gt;</t>
  </si>
  <si>
    <t>&lt;tr data-carc="" data-type="" data-rarc="N560 — The pilot program requires an interim or final claim within 60 days of the Notice of Admission. A claim was not received." data-denial="" data-root=""&gt;&lt;td&gt;&lt;div class="row-num"&gt;#697&lt;/div&gt;&lt;span class="carc-badge "&gt;&lt;/span&gt;&lt;/td&gt;&lt;td&gt;&lt;span class="denial-reason"&gt;&lt;/span&gt;&lt;/td&gt;&lt;td class="rarc-wrap"&gt;&lt;div class="rarc-id"&gt;N560&lt;/div&gt;&lt;div class="rarc-desc"&gt;The pilot program requires an interim or final claim within 60 days of the Notice of Admission. A claim was not received.&lt;/div&gt;&lt;/td&gt;&lt;td class="td-meaning"&gt;&lt;/td&gt;&lt;td&gt;&lt;div class="chip-row"&gt;&lt;/div&gt;&lt;/td&gt;&lt;td&gt;&lt;div class="chip-row"&gt;&lt;/div&gt;&lt;/td&gt;&lt;td class="td-res"&gt;&lt;/td&gt;&lt;/tr&gt;</t>
  </si>
  <si>
    <t>&lt;tr data-carc="" data-type="" data-rarc="N561 — The bundled claim originally submitted for this episode of care includes related readmissions. You may resubmit the original claim to receive a corrected payment based on this readmission." data-denial="" data-root=""&gt;&lt;td&gt;&lt;div class="row-num"&gt;#698&lt;/div&gt;&lt;span class="carc-badge "&gt;&lt;/span&gt;&lt;/td&gt;&lt;td&gt;&lt;span class="denial-reason"&gt;&lt;/span&gt;&lt;/td&gt;&lt;td class="rarc-wrap"&gt;&lt;div class="rarc-id"&gt;N561&lt;/div&gt;&lt;div class="rarc-desc"&gt;The bundled claim originally submitted for this episode of care includes related readmissions. You may resubmit the original claim to receive a corrected payment based on this readmission.&lt;/div&gt;&lt;/td&gt;&lt;td class="td-meaning"&gt;&lt;/td&gt;&lt;td&gt;&lt;div class="chip-row"&gt;&lt;/div&gt;&lt;/td&gt;&lt;td&gt;&lt;div class="chip-row"&gt;&lt;/div&gt;&lt;/td&gt;&lt;td class="td-res"&gt;&lt;/td&gt;&lt;/tr&gt;</t>
  </si>
  <si>
    <t>&lt;tr data-carc="" data-type="" data-rarc="N563 — Alert: Missing required provider/supplier issuance of advance patient notice of non-coverage. The patient is not liable for payment for this service." data-denial="" data-root=""&gt;&lt;td&gt;&lt;div class="row-num"&gt;#700&lt;/div&gt;&lt;span class="carc-badge "&gt;&lt;/span&gt;&lt;/td&gt;&lt;td&gt;&lt;span class="denial-reason"&gt;&lt;/span&gt;&lt;/td&gt;&lt;td class="rarc-wrap"&gt;&lt;div class="rarc-id"&gt;N563&lt;/div&gt;&lt;div class="rarc-desc"&gt;Alert: Missing required provider/supplier issuance of advance patient notice of non-coverage. The patient is not liable for payment for this service.&lt;/div&gt;&lt;/td&gt;&lt;td class="td-meaning"&gt;&lt;/td&gt;&lt;td&gt;&lt;div class="chip-row"&gt;&lt;/div&gt;&lt;/td&gt;&lt;td&gt;&lt;div class="chip-row"&gt;&lt;/div&gt;&lt;/td&gt;&lt;td class="td-res"&gt;&lt;/td&gt;&lt;/tr&gt;</t>
  </si>
  <si>
    <t>&lt;tr data-carc="" data-type="" data-rarc="N564 — Patient did not meet the inclusion criteria for the demonstration project or pilot program." data-denial="" data-root=""&gt;&lt;td&gt;&lt;div class="row-num"&gt;#701&lt;/div&gt;&lt;span class="carc-badge "&gt;&lt;/span&gt;&lt;/td&gt;&lt;td&gt;&lt;span class="denial-reason"&gt;&lt;/span&gt;&lt;/td&gt;&lt;td class="rarc-wrap"&gt;&lt;div class="rarc-id"&gt;N564&lt;/div&gt;&lt;div class="rarc-desc"&gt;Patient did not meet the inclusion criteria for the demonstration project or pilot program.&lt;/div&gt;&lt;/td&gt;&lt;td class="td-meaning"&gt;&lt;/td&gt;&lt;td&gt;&lt;div class="chip-row"&gt;&lt;/div&gt;&lt;/td&gt;&lt;td&gt;&lt;div class="chip-row"&gt;&lt;/div&gt;&lt;/td&gt;&lt;td class="td-res"&gt;&lt;/td&gt;&lt;/tr&gt;</t>
  </si>
  <si>
    <t>&lt;tr data-carc="" data-type="" data-rarc="N567 — Not covered when considered preventative." data-denial="" data-root=""&gt;&lt;td&gt;&lt;div class="row-num"&gt;#702&lt;/div&gt;&lt;span class="carc-badge "&gt;&lt;/span&gt;&lt;/td&gt;&lt;td&gt;&lt;span class="denial-reason"&gt;&lt;/span&gt;&lt;/td&gt;&lt;td class="rarc-wrap"&gt;&lt;div class="rarc-id"&gt;N567&lt;/div&gt;&lt;div class="rarc-desc"&gt;Not covered when considered preventative.&lt;/div&gt;&lt;/td&gt;&lt;td class="td-meaning"&gt;&lt;/td&gt;&lt;td&gt;&lt;div class="chip-row"&gt;&lt;/div&gt;&lt;/td&gt;&lt;td&gt;&lt;div class="chip-row"&gt;&lt;/div&gt;&lt;/td&gt;&lt;td class="td-res"&gt;&lt;/td&gt;&lt;/tr&gt;</t>
  </si>
  <si>
    <t>&lt;tr data-carc="" data-type="" data-rarc="N57 — Missing/incomplete/invalid prescribing date." data-denial="" data-root=""&gt;&lt;td&gt;&lt;div class="row-num"&gt;#704&lt;/div&gt;&lt;span class="carc-badge "&gt;&lt;/span&gt;&lt;/td&gt;&lt;td&gt;&lt;span class="denial-reason"&gt;&lt;/span&gt;&lt;/td&gt;&lt;td class="rarc-wrap"&gt;&lt;div class="rarc-id"&gt;N57&lt;/div&gt;&lt;div class="rarc-desc"&gt;Missing/incomplete/invalid prescribing date.&lt;/div&gt;&lt;/td&gt;&lt;td class="td-meaning"&gt;&lt;/td&gt;&lt;td&gt;&lt;div class="chip-row"&gt;&lt;/div&gt;&lt;/td&gt;&lt;td&gt;&lt;div class="chip-row"&gt;&lt;/div&gt;&lt;/td&gt;&lt;td class="td-res"&gt;&lt;/td&gt;&lt;/tr&gt;</t>
  </si>
  <si>
    <t>&lt;tr data-carc="" data-type="" data-rarc="N575 — Mismatch between the submitted ordering/referring provider name and the ordering/referring provider name stored in our records." data-denial="" data-root=""&gt;&lt;td&gt;&lt;div class="row-num"&gt;#709&lt;/div&gt;&lt;span class="carc-badge "&gt;&lt;/span&gt;&lt;/td&gt;&lt;td&gt;&lt;span class="denial-reason"&gt;&lt;/span&gt;&lt;/td&gt;&lt;td class="rarc-wrap"&gt;&lt;div class="rarc-id"&gt;N575&lt;/div&gt;&lt;div class="rarc-desc"&gt;Mismatch between the submitted ordering/referring provider name and the ordering/referring provider name stored in our records.&lt;/div&gt;&lt;/td&gt;&lt;td class="td-meaning"&gt;&lt;/td&gt;&lt;td&gt;&lt;div class="chip-row"&gt;&lt;/div&gt;&lt;/td&gt;&lt;td&gt;&lt;div class="chip-row"&gt;&lt;/div&gt;&lt;/td&gt;&lt;td class="td-res"&gt;&lt;/td&gt;&lt;/tr&gt;</t>
  </si>
  <si>
    <t>&lt;tr data-carc="" data-type="" data-rarc="N586 — The injured party does not qualify for benefits." data-denial="" data-root=""&gt;&lt;td&gt;&lt;div class="row-num"&gt;#721&lt;/div&gt;&lt;span class="carc-badge "&gt;&lt;/span&gt;&lt;/td&gt;&lt;td&gt;&lt;span class="denial-reason"&gt;&lt;/span&gt;&lt;/td&gt;&lt;td class="rarc-wrap"&gt;&lt;div class="rarc-id"&gt;N586&lt;/div&gt;&lt;div class="rarc-desc"&gt;The injured party does not qualify for benefits.&lt;/div&gt;&lt;/td&gt;&lt;td class="td-meaning"&gt;&lt;/td&gt;&lt;td&gt;&lt;div class="chip-row"&gt;&lt;/div&gt;&lt;/td&gt;&lt;td&gt;&lt;div class="chip-row"&gt;&lt;/div&gt;&lt;/td&gt;&lt;td class="td-res"&gt;&lt;/td&gt;&lt;/tr&gt;</t>
  </si>
  <si>
    <t>&lt;tr data-carc="" data-type="" data-rarc="N590 — Missing independent medical exam detailing the cause of injuries sustained and medical necessity of services rendered." data-denial="" data-root=""&gt;&lt;td&gt;&lt;div class="row-num"&gt;#726&lt;/div&gt;&lt;span class="carc-badge "&gt;&lt;/span&gt;&lt;/td&gt;&lt;td&gt;&lt;span class="denial-reason"&gt;&lt;/span&gt;&lt;/td&gt;&lt;td class="rarc-wrap"&gt;&lt;div class="rarc-id"&gt;N590&lt;/div&gt;&lt;div class="rarc-desc"&gt;Missing independent medical exam detailing the cause of injuries sustained and medical necessity of services rendered.&lt;/div&gt;&lt;/td&gt;&lt;td class="td-meaning"&gt;&lt;/td&gt;&lt;td&gt;&lt;div class="chip-row"&gt;&lt;/div&gt;&lt;/td&gt;&lt;td&gt;&lt;div class="chip-row"&gt;&lt;/div&gt;&lt;/td&gt;&lt;td class="td-res"&gt;&lt;/td&gt;&lt;/tr&gt;</t>
  </si>
  <si>
    <t>&lt;tr data-carc="" data-type="" data-rarc="N591 — Payment based on an Independent Medical Examination (IME) or Utilization Review (UR)." data-denial="" data-root=""&gt;&lt;td&gt;&lt;div class="row-num"&gt;#727&lt;/div&gt;&lt;span class="carc-badge "&gt;&lt;/span&gt;&lt;/td&gt;&lt;td&gt;&lt;span class="denial-reason"&gt;&lt;/span&gt;&lt;/td&gt;&lt;td class="rarc-wrap"&gt;&lt;div class="rarc-id"&gt;N591&lt;/div&gt;&lt;div class="rarc-desc"&gt;Payment based on an Independent Medical Examination (IME) or Utilization Review (UR).&lt;/div&gt;&lt;/td&gt;&lt;td class="td-meaning"&gt;&lt;/td&gt;&lt;td&gt;&lt;div class="chip-row"&gt;&lt;/div&gt;&lt;/td&gt;&lt;td&gt;&lt;div class="chip-row"&gt;&lt;/div&gt;&lt;/td&gt;&lt;td class="td-res"&gt;&lt;/td&gt;&lt;/tr&gt;</t>
  </si>
  <si>
    <t>&lt;tr data-carc="" data-type="" data-rarc="N61 — Rebill services on separate claims." data-denial="" data-root=""&gt;&lt;td&gt;&lt;div class="row-num"&gt;#745&lt;/div&gt;&lt;span class="carc-badge "&gt;&lt;/span&gt;&lt;/td&gt;&lt;td&gt;&lt;span class="denial-reason"&gt;&lt;/span&gt;&lt;/td&gt;&lt;td class="rarc-wrap"&gt;&lt;div class="rarc-id"&gt;N61&lt;/div&gt;&lt;div class="rarc-desc"&gt;Rebill services on separate claims.&lt;/div&gt;&lt;/td&gt;&lt;td class="td-meaning"&gt;&lt;/td&gt;&lt;td&gt;&lt;div class="chip-row"&gt;&lt;/div&gt;&lt;/td&gt;&lt;td&gt;&lt;div class="chip-row"&gt;&lt;/div&gt;&lt;/td&gt;&lt;td class="td-res"&gt;&lt;/td&gt;&lt;/tr&gt;</t>
  </si>
  <si>
    <t>&lt;tr data-carc="" data-type="" data-rarc="N616 — Alert: This enrollee is in the first month of the advance premium tax credit grace period." data-denial="" data-root=""&gt;&lt;td&gt;&lt;div class="row-num"&gt;#751&lt;/div&gt;&lt;span class="carc-badge "&gt;&lt;/span&gt;&lt;/td&gt;&lt;td&gt;&lt;span class="denial-reason"&gt;&lt;/span&gt;&lt;/td&gt;&lt;td class="rarc-wrap"&gt;&lt;div class="rarc-id"&gt;N616&lt;/div&gt;&lt;div class="rarc-desc"&gt;Alert: This enrollee is in the first month of the advance premium tax credit grace period.&lt;/div&gt;&lt;/td&gt;&lt;td class="td-meaning"&gt;&lt;/td&gt;&lt;td&gt;&lt;div class="chip-row"&gt;&lt;/div&gt;&lt;/td&gt;&lt;td&gt;&lt;div class="chip-row"&gt;&lt;/div&gt;&lt;/td&gt;&lt;td class="td-res"&gt;&lt;/td&gt;&lt;/tr&gt;</t>
  </si>
  <si>
    <t>&lt;tr data-carc="" data-type="" data-rarc="N62 — Dates of service span multiple rate periods. Resubmit separate claims." data-denial="" data-root=""&gt;&lt;td&gt;&lt;div class="row-num"&gt;#755&lt;/div&gt;&lt;span class="carc-badge "&gt;&lt;/span&gt;&lt;/td&gt;&lt;td&gt;&lt;span class="denial-reason"&gt;&lt;/span&gt;&lt;/td&gt;&lt;td class="rarc-wrap"&gt;&lt;div class="rarc-id"&gt;N62&lt;/div&gt;&lt;div class="rarc-desc"&gt;Dates of service span multiple rate periods. Resubmit separate claims.&lt;/div&gt;&lt;/td&gt;&lt;td class="td-meaning"&gt;&lt;/td&gt;&lt;td&gt;&lt;div class="chip-row"&gt;&lt;/div&gt;&lt;/td&gt;&lt;td&gt;&lt;div class="chip-row"&gt;&lt;/div&gt;&lt;/td&gt;&lt;td class="td-res"&gt;&lt;/td&gt;&lt;/tr&gt;</t>
  </si>
  <si>
    <t>&lt;tr data-carc="" data-type="" data-rarc="N620 — Alert: This procedure code is for quality reporting/informational purposes only." data-denial="" data-root=""&gt;&lt;td&gt;&lt;div class="row-num"&gt;#756&lt;/div&gt;&lt;span class="carc-badge "&gt;&lt;/span&gt;&lt;/td&gt;&lt;td&gt;&lt;span class="denial-reason"&gt;&lt;/span&gt;&lt;/td&gt;&lt;td class="rarc-wrap"&gt;&lt;div class="rarc-id"&gt;N620&lt;/div&gt;&lt;div class="rarc-desc"&gt;Alert: This procedure code is for quality reporting/informational purposes only.&lt;/div&gt;&lt;/td&gt;&lt;td class="td-meaning"&gt;&lt;/td&gt;&lt;td&gt;&lt;div class="chip-row"&gt;&lt;/div&gt;&lt;/td&gt;&lt;td&gt;&lt;div class="chip-row"&gt;&lt;/div&gt;&lt;/td&gt;&lt;td class="td-res"&gt;&lt;/td&gt;&lt;/tr&gt;</t>
  </si>
  <si>
    <t>&lt;tr data-carc="" data-type="" data-rarc="N626 — New or established patient E/M codes are not payable with chiropractic care codes." data-denial="" data-root=""&gt;&lt;td&gt;&lt;div class="row-num"&gt;#762&lt;/div&gt;&lt;span class="carc-badge "&gt;&lt;/span&gt;&lt;/td&gt;&lt;td&gt;&lt;span class="denial-reason"&gt;&lt;/span&gt;&lt;/td&gt;&lt;td class="rarc-wrap"&gt;&lt;div class="rarc-id"&gt;N626&lt;/div&gt;&lt;div class="rarc-desc"&gt;New or established patient E/M codes are not payable with chiropractic care codes.&lt;/div&gt;&lt;/td&gt;&lt;td class="td-meaning"&gt;&lt;/td&gt;&lt;td&gt;&lt;div class="chip-row"&gt;&lt;/div&gt;&lt;/td&gt;&lt;td&gt;&lt;div class="chip-row"&gt;&lt;/div&gt;&lt;/td&gt;&lt;td class="td-res"&gt;&lt;/td&gt;&lt;/tr&gt;</t>
  </si>
  <si>
    <t>&lt;tr data-carc="" data-type="" data-rarc="N63 — Rebill services on separate claim lines." data-denial="" data-root=""&gt;&lt;td&gt;&lt;div class="row-num"&gt;#765&lt;/div&gt;&lt;span class="carc-badge "&gt;&lt;/span&gt;&lt;/td&gt;&lt;td&gt;&lt;span class="denial-reason"&gt;&lt;/span&gt;&lt;/td&gt;&lt;td class="rarc-wrap"&gt;&lt;div class="rarc-id"&gt;N63&lt;/div&gt;&lt;div class="rarc-desc"&gt;Rebill services on separate claim lines.&lt;/div&gt;&lt;/td&gt;&lt;td class="td-meaning"&gt;&lt;/td&gt;&lt;td&gt;&lt;div class="chip-row"&gt;&lt;/div&gt;&lt;/td&gt;&lt;td&gt;&lt;div class="chip-row"&gt;&lt;/div&gt;&lt;/td&gt;&lt;td class="td-res"&gt;&lt;/td&gt;&lt;/tr&gt;</t>
  </si>
  <si>
    <t>&lt;tr data-carc="" data-type="" data-rarc="N65 — Procedure code or procedure rate count cannot be determined, or was not on file, for the date of service/provider." data-denial="" data-root=""&gt;&lt;td&gt;&lt;div class="row-num"&gt;#784&lt;/div&gt;&lt;span class="carc-badge "&gt;&lt;/span&gt;&lt;/td&gt;&lt;td&gt;&lt;span class="denial-reason"&gt;&lt;/span&gt;&lt;/td&gt;&lt;td class="rarc-wrap"&gt;&lt;div class="rarc-id"&gt;N65&lt;/div&gt;&lt;div class="rarc-desc"&gt;Procedure code or procedure rate count cannot be determined, or was not on file, for the date of service/provider.&lt;/div&gt;&lt;/td&gt;&lt;td class="td-meaning"&gt;&lt;/td&gt;&lt;td&gt;&lt;div class="chip-row"&gt;&lt;/div&gt;&lt;/td&gt;&lt;td&gt;&lt;div class="chip-row"&gt;&lt;/div&gt;&lt;/td&gt;&lt;td class="td-res"&gt;&lt;/td&gt;&lt;/tr&gt;</t>
  </si>
  <si>
    <t>&lt;tr data-carc="" data-type="" data-rarc="N67 — 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 data-denial="" data-root=""&gt;&lt;td&gt;&lt;div class="row-num"&gt;#805&lt;/div&gt;&lt;span class="carc-badge "&gt;&lt;/span&gt;&lt;/td&gt;&lt;td&gt;&lt;span class="denial-reason"&gt;&lt;/span&gt;&lt;/td&gt;&lt;td class="rarc-wrap"&gt;&lt;div class="rarc-id"&gt;N67&lt;/div&gt;&lt;div class="rarc-desc"&gt;Professional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claim.&lt;/div&gt;&lt;/td&gt;&lt;td class="td-meaning"&gt;&lt;/td&gt;&lt;td&gt;&lt;div class="chip-row"&gt;&lt;/div&gt;&lt;/td&gt;&lt;td&gt;&lt;div class="chip-row"&gt;&lt;/div&gt;&lt;/td&gt;&lt;td class="td-res"&gt;&lt;/td&gt;&lt;/tr&gt;</t>
  </si>
  <si>
    <t>&lt;tr data-carc="" data-type="" data-rarc="N670 — This service code has been identified as the primary procedure code subject to the Medicare Multiple Procedure Payment Reduction (MPPR) rule." data-denial="" data-root=""&gt;&lt;td&gt;&lt;div class="row-num"&gt;#806&lt;/div&gt;&lt;span class="carc-badge "&gt;&lt;/span&gt;&lt;/td&gt;&lt;td&gt;&lt;span class="denial-reason"&gt;&lt;/span&gt;&lt;/td&gt;&lt;td class="rarc-wrap"&gt;&lt;div class="rarc-id"&gt;N670&lt;/div&gt;&lt;div class="rarc-desc"&gt;This service code has been identified as the primary procedure code subject to the Medicare Multiple Procedure Payment Reduction (MPPR) rule.&lt;/div&gt;&lt;/td&gt;&lt;td class="td-meaning"&gt;&lt;/td&gt;&lt;td&gt;&lt;div class="chip-row"&gt;&lt;/div&gt;&lt;/td&gt;&lt;td&gt;&lt;div class="chip-row"&gt;&lt;/div&gt;&lt;/td&gt;&lt;td class="td-res"&gt;&lt;/td&gt;&lt;/tr&gt;</t>
  </si>
  <si>
    <t>&lt;tr data-carc="" data-type="" data-rarc="N674 — Not covered unless a pre-requisite procedure/service has been provided." data-denial="" data-root=""&gt;&lt;td&gt;&lt;div class="row-num"&gt;#810&lt;/div&gt;&lt;span class="carc-badge "&gt;&lt;/span&gt;&lt;/td&gt;&lt;td&gt;&lt;span class="denial-reason"&gt;&lt;/span&gt;&lt;/td&gt;&lt;td class="rarc-wrap"&gt;&lt;div class="rarc-id"&gt;N674&lt;/div&gt;&lt;div class="rarc-desc"&gt;Not covered unless a pre-requisite procedure/service has been provided.&lt;/div&gt;&lt;/td&gt;&lt;td class="td-meaning"&gt;&lt;/td&gt;&lt;td&gt;&lt;div class="chip-row"&gt;&lt;/div&gt;&lt;/td&gt;&lt;td&gt;&lt;div class="chip-row"&gt;&lt;/div&gt;&lt;/td&gt;&lt;td class="td-res"&gt;&lt;/td&gt;&lt;/tr&gt;</t>
  </si>
  <si>
    <t>&lt;tr data-carc="" data-type="" data-rarc="N68 — 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 data-denial="" data-root=""&gt;&lt;td&gt;&lt;div class="row-num"&gt;#816&lt;/div&gt;&lt;span class="carc-badge "&gt;&lt;/span&gt;&lt;/td&gt;&lt;td&gt;&lt;span class="denial-reason"&gt;&lt;/span&gt;&lt;/td&gt;&lt;td class="rarc-wrap"&gt;&lt;div class="rarc-id"&gt;N68&lt;/div&gt;&lt;div class="rarc-desc"&gt;Prior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days.&lt;/div&gt;&lt;/td&gt;&lt;td class="td-meaning"&gt;&lt;/td&gt;&lt;td&gt;&lt;div class="chip-row"&gt;&lt;/div&gt;&lt;/td&gt;&lt;td&gt;&lt;div class="chip-row"&gt;&lt;/div&gt;&lt;/td&gt;&lt;td class="td-res"&gt;&lt;/td&gt;&lt;/tr&gt;</t>
  </si>
  <si>
    <t>&lt;tr data-carc="" data-type="" data-rarc="N699 — Payment adjusted based on the Physician Quality Reporting System (PQRS) Incentive Program." data-denial="" data-root=""&gt;&lt;td&gt;&lt;div class="row-num"&gt;#837&lt;/div&gt;&lt;span class="carc-badge "&gt;&lt;/span&gt;&lt;/td&gt;&lt;td&gt;&lt;span class="denial-reason"&gt;&lt;/span&gt;&lt;/td&gt;&lt;td class="rarc-wrap"&gt;&lt;div class="rarc-id"&gt;N699&lt;/div&gt;&lt;div class="rarc-desc"&gt;Payment adjusted based on the Physician Quality Reporting System (PQRS) Incentive Program.&lt;/div&gt;&lt;/td&gt;&lt;td class="td-meaning"&gt;&lt;/td&gt;&lt;td&gt;&lt;div class="chip-row"&gt;&lt;/div&gt;&lt;/td&gt;&lt;td&gt;&lt;div class="chip-row"&gt;&lt;/div&gt;&lt;/td&gt;&lt;td class="td-res"&gt;&lt;/td&gt;&lt;/tr&gt;</t>
  </si>
  <si>
    <t>&lt;tr data-carc="" data-type="" data-rarc="N74 — Resubmit with multiple claims, each claim covering services provided in only one calendar month." data-denial="" data-root=""&gt;&lt;td&gt;&lt;div class="row-num"&gt;#877&lt;/div&gt;&lt;span class="carc-badge "&gt;&lt;/span&gt;&lt;/td&gt;&lt;td&gt;&lt;span class="denial-reason"&gt;&lt;/span&gt;&lt;/td&gt;&lt;td class="rarc-wrap"&gt;&lt;div class="rarc-id"&gt;N74&lt;/div&gt;&lt;div class="rarc-desc"&gt;Resubmit with multiple claims, each claim covering services provided in only one calendar month.&lt;/div&gt;&lt;/td&gt;&lt;td class="td-meaning"&gt;&lt;/td&gt;&lt;td&gt;&lt;div class="chip-row"&gt;&lt;/div&gt;&lt;/td&gt;&lt;td&gt;&lt;div class="chip-row"&gt;&lt;/div&gt;&lt;/td&gt;&lt;td class="td-res"&gt;&lt;/td&gt;&lt;/tr&gt;</t>
  </si>
  <si>
    <t>&lt;tr data-carc="" data-type="" data-rarc="N75 — Missing/incomplete/invalid tooth surface information." data-denial="" data-root=""&gt;&lt;td&gt;&lt;div class="row-num"&gt;#887&lt;/div&gt;&lt;span class="carc-badge "&gt;&lt;/span&gt;&lt;/td&gt;&lt;td&gt;&lt;span class="denial-reason"&gt;&lt;/span&gt;&lt;/td&gt;&lt;td class="rarc-wrap"&gt;&lt;div class="rarc-id"&gt;N75&lt;/div&gt;&lt;div class="rarc-desc"&gt;Missing/incomplete/invalid tooth surface information.&lt;/div&gt;&lt;/td&gt;&lt;td class="td-meaning"&gt;&lt;/td&gt;&lt;td&gt;&lt;div class="chip-row"&gt;&lt;/div&gt;&lt;/td&gt;&lt;td&gt;&lt;div class="chip-row"&gt;&lt;/div&gt;&lt;/td&gt;&lt;td class="td-res"&gt;&lt;/td&gt;&lt;/tr&gt;</t>
  </si>
  <si>
    <t>&lt;tr data-carc="" data-type="" data-rarc="N781 — Alert: Patient is a Medicaid/ Qualified Medicare Beneficiary. Review your records for any wrongfully collected deductible. This amount may be billed to a subsequent payer." data-denial="" data-root=""&gt;&lt;td&gt;&lt;div class="row-num"&gt;#917&lt;/div&gt;&lt;span class="carc-badge "&gt;&lt;/span&gt;&lt;/td&gt;&lt;td&gt;&lt;span class="denial-reason"&gt;&lt;/span&gt;&lt;/td&gt;&lt;td class="rarc-wrap"&gt;&lt;div class="rarc-id"&gt;N781&lt;/div&gt;&lt;div class="rarc-desc"&gt;Alert: Patient is a Medicaid/ Qualified Medicare Beneficiary. Review your records for any wrongfully collected deductible. This amount may be billed to a subsequent payer.&lt;/div&gt;&lt;/td&gt;&lt;td class="td-meaning"&gt;&lt;/td&gt;&lt;td&gt;&lt;div class="chip-row"&gt;&lt;/div&gt;&lt;/td&gt;&lt;td&gt;&lt;div class="chip-row"&gt;&lt;/div&gt;&lt;/td&gt;&lt;td class="td-res"&gt;&lt;/td&gt;&lt;/tr&gt;</t>
  </si>
  <si>
    <t>&lt;tr data-carc="" data-type="" data-rarc="N782 — Alert: Patient is a Medicaid/ Qualified Medicare Beneficiary. Review your records for any wrongfully collected coinsurance. This amount may be billed to a subsequent payer." data-denial="" data-root=""&gt;&lt;td&gt;&lt;div class="row-num"&gt;#918&lt;/div&gt;&lt;span class="carc-badge "&gt;&lt;/span&gt;&lt;/td&gt;&lt;td&gt;&lt;span class="denial-reason"&gt;&lt;/span&gt;&lt;/td&gt;&lt;td class="rarc-wrap"&gt;&lt;div class="rarc-id"&gt;N782&lt;/div&gt;&lt;div class="rarc-desc"&gt;Alert: Patient is a Medicaid/ Qualified Medicare Beneficiary. Review your records for any wrongfully collected coinsurance. This amount may be billed to a subsequent payer.&lt;/div&gt;&lt;/td&gt;&lt;td class="td-meaning"&gt;&lt;/td&gt;&lt;td&gt;&lt;div class="chip-row"&gt;&lt;/div&gt;&lt;/td&gt;&lt;td&gt;&lt;div class="chip-row"&gt;&lt;/div&gt;&lt;/td&gt;&lt;td class="td-res"&gt;&lt;/td&gt;&lt;/tr&gt;</t>
  </si>
  <si>
    <t>&lt;tr data-carc="" data-type="" data-rarc="N79 — Service billed is not compatible with patient location information." data-denial="" data-root=""&gt;&lt;td&gt;&lt;div class="row-num"&gt;#925&lt;/div&gt;&lt;span class="carc-badge "&gt;&lt;/span&gt;&lt;/td&gt;&lt;td&gt;&lt;span class="denial-reason"&gt;&lt;/span&gt;&lt;/td&gt;&lt;td class="rarc-wrap"&gt;&lt;div class="rarc-id"&gt;N79&lt;/div&gt;&lt;div class="rarc-desc"&gt;Service billed is not compatible with patient location information.&lt;/div&gt;&lt;/td&gt;&lt;td class="td-meaning"&gt;&lt;/td&gt;&lt;td&gt;&lt;div class="chip-row"&gt;&lt;/div&gt;&lt;/td&gt;&lt;td&gt;&lt;div class="chip-row"&gt;&lt;/div&gt;&lt;/td&gt;&lt;td class="td-res"&gt;&lt;/td&gt;&lt;/tr&gt;</t>
  </si>
  <si>
    <t>&lt;tr data-carc="" data-type="" data-rarc="N8 — Crossover claim denied by previous payer and complete claim data not forwarded. Resubmit this claim to this payer to provide adequate data for adjudication." data-denial="" data-root=""&gt;&lt;td&gt;&lt;div class="row-num"&gt;#935&lt;/div&gt;&lt;span class="carc-badge "&gt;&lt;/span&gt;&lt;/td&gt;&lt;td&gt;&lt;span class="denial-reason"&gt;&lt;/span&gt;&lt;/td&gt;&lt;td class="rarc-wrap"&gt;&lt;div class="rarc-id"&gt;N8&lt;/div&gt;&lt;div class="rarc-desc"&gt;Crossover claim denied by previous payer and complete claim data not forwarded. Resubmit this claim to this payer to provide adequate data for adjudication.&lt;/div&gt;&lt;/td&gt;&lt;td class="td-meaning"&gt;&lt;/td&gt;&lt;td&gt;&lt;div class="chip-row"&gt;&lt;/div&gt;&lt;/td&gt;&lt;td&gt;&lt;div class="chip-row"&gt;&lt;/div&gt;&lt;/td&gt;&lt;td class="td-res"&gt;&lt;/td&gt;&lt;/tr&gt;</t>
  </si>
  <si>
    <t>&lt;tr data-carc="" data-type="" data-rarc="N82 — Provider must accept insurance payment as payment in full when a third party payer contract specifies full reimbursement." data-denial="" data-root=""&gt;&lt;td&gt;&lt;div class="row-num"&gt;#956&lt;/div&gt;&lt;span class="carc-badge "&gt;&lt;/span&gt;&lt;/td&gt;&lt;td&gt;&lt;span class="denial-reason"&gt;&lt;/span&gt;&lt;/td&gt;&lt;td class="rarc-wrap"&gt;&lt;div class="rarc-id"&gt;N82&lt;/div&gt;&lt;div class="rarc-desc"&gt;Provider must accept insurance payment as payment in full when a third party payer contract specifies full reimbursement.&lt;/div&gt;&lt;/td&gt;&lt;td class="td-meaning"&gt;&lt;/td&gt;&lt;td&gt;&lt;div class="chip-row"&gt;&lt;/div&gt;&lt;/td&gt;&lt;td&gt;&lt;div class="chip-row"&gt;&lt;/div&gt;&lt;/td&gt;&lt;td class="td-res"&gt;&lt;/td&gt;&lt;/tr&gt;</t>
  </si>
  <si>
    <t>&lt;tr data-carc="" data-type="" data-rarc="N86 — A failed trial of pelvic muscle exercise training is required in order for biofeedback training for the treatment of urinary incontinence to be covered." data-denial="" data-root=""&gt;&lt;td&gt;&lt;div class="row-num"&gt;#997&lt;/div&gt;&lt;span class="carc-badge "&gt;&lt;/span&gt;&lt;/td&gt;&lt;td&gt;&lt;span class="denial-reason"&gt;&lt;/span&gt;&lt;/td&gt;&lt;td class="rarc-wrap"&gt;&lt;div class="rarc-id"&gt;N86&lt;/div&gt;&lt;div class="rarc-desc"&gt;A failed trial of pelvic muscle exercise training is required in order for biofeedback training for the treatment of urinary incontinence to be covered.&lt;/div&gt;&lt;/td&gt;&lt;td class="td-meaning"&gt;&lt;/td&gt;&lt;td&gt;&lt;div class="chip-row"&gt;&lt;/div&gt;&lt;/td&gt;&lt;td&gt;&lt;div class="chip-row"&gt;&lt;/div&gt;&lt;/td&gt;&lt;td class="td-res"&gt;&lt;/td&gt;&lt;/tr&gt;</t>
  </si>
  <si>
    <t>&lt;tr data-carc="" data-type="" data-rarc="N88 — Alert: 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 data-denial="" data-root=""&gt;&lt;td&gt;&lt;div class="row-num"&gt;#1019&lt;/div&gt;&lt;span class="carc-badge "&gt;&lt;/span&gt;&lt;/td&gt;&lt;td&gt;&lt;span class="denial-reason"&gt;&lt;/span&gt;&lt;/td&gt;&lt;td class="rarc-wrap"&gt;&lt;div class="rarc-id"&gt;N88&lt;/div&gt;&lt;div class="rarc-desc"&gt;Alert: 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care.&lt;/div&gt;&lt;/td&gt;&lt;td class="td-meaning"&gt;&lt;/td&gt;&lt;td&gt;&lt;div class="chip-row"&gt;&lt;/div&gt;&lt;/td&gt;&lt;td&gt;&lt;div class="chip-row"&gt;&lt;/div&gt;&lt;/td&gt;&lt;td class="td-res"&gt;&lt;/td&gt;&lt;/tr&gt;</t>
  </si>
  <si>
    <t>&lt;tr data-carc="" data-type="" data-rarc="N89 — Alert: Payment information for this claim has been forwarded to more than one other payer, but format limitations permit only one of the secondary payers to be identified in this remittance advice." data-denial="" data-root=""&gt;&lt;td&gt;&lt;div class="row-num"&gt;#1030&lt;/div&gt;&lt;span class="carc-badge "&gt;&lt;/span&gt;&lt;/td&gt;&lt;td&gt;&lt;span class="denial-reason"&gt;&lt;/span&gt;&lt;/td&gt;&lt;td class="rarc-wrap"&gt;&lt;div class="rarc-id"&gt;N89&lt;/div&gt;&lt;div class="rarc-desc"&gt;Alert: Payment information for this claim has been forwarded to more than one other payer, but format limitations permit only one of the secondary payers to be identified in this remittance advice.&lt;/div&gt;&lt;/td&gt;&lt;td class="td-meaning"&gt;&lt;/td&gt;&lt;td&gt;&lt;div class="chip-row"&gt;&lt;/div&gt;&lt;/td&gt;&lt;td&gt;&lt;div class="chip-row"&gt;&lt;/div&gt;&lt;/td&gt;&lt;td class="td-res"&gt;&lt;/td&gt;&lt;/tr&gt;</t>
  </si>
  <si>
    <t>&lt;tr data-carc="" data-type="" data-rarc="N9 — Adjustment represents the estimated amount a previous payer may pay." data-denial="" data-root=""&gt;&lt;td&gt;&lt;div class="row-num"&gt;#1041&lt;/div&gt;&lt;span class="carc-badge "&gt;&lt;/span&gt;&lt;/td&gt;&lt;td&gt;&lt;span class="denial-reason"&gt;&lt;/span&gt;&lt;/td&gt;&lt;td class="rarc-wrap"&gt;&lt;div class="rarc-id"&gt;N9&lt;/div&gt;&lt;div class="rarc-desc"&gt;Adjustment represents the estimated amount a previous payer may pay.&lt;/div&gt;&lt;/td&gt;&lt;td class="td-meaning"&gt;&lt;/td&gt;&lt;td&gt;&lt;div class="chip-row"&gt;&lt;/div&gt;&lt;/td&gt;&lt;td&gt;&lt;div class="chip-row"&gt;&lt;/div&gt;&lt;/td&gt;&lt;td class="td-res"&gt;&lt;/td&gt;&lt;/tr&gt;</t>
  </si>
  <si>
    <t>&lt;tr data-carc="" data-type="" data-rarc="N90 — Covered only when performed by the attending physician." data-denial="" data-root=""&gt;&lt;td&gt;&lt;div class="row-num"&gt;#1042&lt;/div&gt;&lt;span class="carc-badge "&gt;&lt;/span&gt;&lt;/td&gt;&lt;td&gt;&lt;span class="denial-reason"&gt;&lt;/span&gt;&lt;/td&gt;&lt;td class="rarc-wrap"&gt;&lt;div class="rarc-id"&gt;N90&lt;/div&gt;&lt;div class="rarc-desc"&gt;Covered only when performed by the attending physician.&lt;/div&gt;&lt;/td&gt;&lt;td class="td-meaning"&gt;&lt;/td&gt;&lt;td&gt;&lt;div class="chip-row"&gt;&lt;/div&gt;&lt;/td&gt;&lt;td&gt;&lt;div class="chip-row"&gt;&lt;/div&gt;&lt;/td&gt;&lt;td class="td-res"&gt;&lt;/td&gt;&lt;/tr&gt;</t>
  </si>
  <si>
    <t>&lt;tr data-carc="" data-type="" data-rarc="N91 — Services not included in the appeal review." data-denial="" data-root=""&gt;&lt;td&gt;&lt;div class="row-num"&gt;#1053&lt;/div&gt;&lt;span class="carc-badge "&gt;&lt;/span&gt;&lt;/td&gt;&lt;td&gt;&lt;span class="denial-reason"&gt;&lt;/span&gt;&lt;/td&gt;&lt;td class="rarc-wrap"&gt;&lt;div class="rarc-id"&gt;N91&lt;/div&gt;&lt;div class="rarc-desc"&gt;Services not included in the appeal review.&lt;/div&gt;&lt;/td&gt;&lt;td class="td-meaning"&gt;&lt;/td&gt;&lt;td&gt;&lt;div class="chip-row"&gt;&lt;/div&gt;&lt;/td&gt;&lt;td&gt;&lt;div class="chip-row"&gt;&lt;/div&gt;&lt;/td&gt;&lt;td class="td-res"&gt;&lt;/td&gt;&lt;/tr&gt;</t>
  </si>
  <si>
    <t>&lt;tr data-carc="" data-type="" data-rarc="N92 — This facility is not certified for digital mammography." data-denial="" data-root=""&gt;&lt;td&gt;&lt;div class="row-num"&gt;#1061&lt;/div&gt;&lt;span class="carc-badge "&gt;&lt;/span&gt;&lt;/td&gt;&lt;td&gt;&lt;span class="denial-reason"&gt;&lt;/span&gt;&lt;/td&gt;&lt;td class="rarc-wrap"&gt;&lt;div class="rarc-id"&gt;N92&lt;/div&gt;&lt;div class="rarc-desc"&gt;This facility is not certified for digital mammography.&lt;/div&gt;&lt;/td&gt;&lt;td class="td-meaning"&gt;&lt;/td&gt;&lt;td&gt;&lt;div class="chip-row"&gt;&lt;/div&gt;&lt;/td&gt;&lt;td&gt;&lt;div class="chip-row"&gt;&lt;/div&gt;&lt;/td&gt;&lt;td class="td-res"&gt;&lt;/td&gt;&lt;/tr&gt;</t>
  </si>
  <si>
    <t>&lt;tr data-carc="" data-type="" data-rarc="N93 — A separate claim must be submitted for each place of service. Services furnished at multiple sites may not be billed in the same claim." data-denial="" data-root=""&gt;&lt;td&gt;&lt;div class="row-num"&gt;#1062&lt;/div&gt;&lt;span class="carc-badge "&gt;&lt;/span&gt;&lt;/td&gt;&lt;td&gt;&lt;span class="denial-reason"&gt;&lt;/span&gt;&lt;/td&gt;&lt;td class="rarc-wrap"&gt;&lt;div class="rarc-id"&gt;N93&lt;/div&gt;&lt;div class="rarc-desc"&gt;A separate claim must be submitted for each place of service. Services furnished at multiple sites may not be billed in the same claim.&lt;/div&gt;&lt;/td&gt;&lt;td class="td-meaning"&gt;&lt;/td&gt;&lt;td&gt;&lt;div class="chip-row"&gt;&lt;/div&gt;&lt;/td&gt;&lt;td&gt;&lt;div class="chip-row"&gt;&lt;/div&gt;&lt;/td&gt;&lt;td class="td-res"&gt;&lt;/td&gt;&lt;/tr&gt;</t>
  </si>
  <si>
    <t>&lt;tr data-carc="" data-type="" data-rarc="N94 — Claim/Service denied because a more specific taxonomy code is required for adjudication." data-denial="" data-root=""&gt;&lt;td&gt;&lt;div class="row-num"&gt;#1063&lt;/div&gt;&lt;span class="carc-badge "&gt;&lt;/span&gt;&lt;/td&gt;&lt;td&gt;&lt;span class="denial-reason"&gt;&lt;/span&gt;&lt;/td&gt;&lt;td class="rarc-wrap"&gt;&lt;div class="rarc-id"&gt;N94&lt;/div&gt;&lt;div class="rarc-desc"&gt;Claim/Service denied because a more specific taxonomy code is required for adjudication.&lt;/div&gt;&lt;/td&gt;&lt;td class="td-meaning"&gt;&lt;/td&gt;&lt;td&gt;&lt;div class="chip-row"&gt;&lt;/div&gt;&lt;/td&gt;&lt;td&gt;&lt;div class="chip-row"&gt;&lt;/div&gt;&lt;/td&gt;&lt;td class="td-res"&gt;&lt;/td&gt;&lt;/tr&gt;</t>
  </si>
  <si>
    <t>&lt;tr data-carc="" data-type="" data-rarc="N97 — Patients with stress incontinence, urinary obstruction, and specific neurologic diseases (e.g., diabetes with peripheral nerve involvement) which are associated with secondary manifestations of the above three indications are excluded." data-denial="" data-root=""&gt;&lt;td&gt;&lt;div class="row-num"&gt;#1065&lt;/div&gt;&lt;span class="carc-badge "&gt;&lt;/span&gt;&lt;/td&gt;&lt;td&gt;&lt;span class="denial-reason"&gt;&lt;/span&gt;&lt;/td&gt;&lt;td class="rarc-wrap"&gt;&lt;div class="rarc-id"&gt;N97&lt;/div&gt;&lt;div class="rarc-desc"&gt;Patients with stress incontinence, urinary obstruction, and specific neurologic diseases (e.g., diabetes with peripheral nerve involvement) which are associated with secondary manifestations of the above three indications are excluded.&lt;/div&gt;&lt;/td&gt;&lt;td class="td-meaning"&gt;&lt;/td&gt;&lt;td&gt;&lt;div class="chip-row"&gt;&lt;/div&gt;&lt;/td&gt;&lt;td&gt;&lt;div class="chip-row"&gt;&lt;/div&gt;&lt;/td&gt;&lt;td class="td-res"&gt;&lt;/td&gt;&lt;/tr&gt;</t>
  </si>
  <si>
    <t>&lt;tr data-carc="" data-type="" data-rarc="N99 — Patient must be able to demonstrate adequate ability to record voiding diary data such that clinical results of the implant procedure can be properly evaluated." data-denial="" data-root=""&gt;&lt;td&gt;&lt;div class="row-num"&gt;#1067&lt;/div&gt;&lt;span class="carc-badge "&gt;&lt;/span&gt;&lt;/td&gt;&lt;td&gt;&lt;span class="denial-reason"&gt;&lt;/span&gt;&lt;/td&gt;&lt;td class="rarc-wrap"&gt;&lt;div class="rarc-id"&gt;N99&lt;/div&gt;&lt;div class="rarc-desc"&gt;Patient must be able to demonstrate adequate ability to record voiding diary data such that clinical results of the implant procedure can be properly evaluated.&lt;/div&gt;&lt;/td&gt;&lt;td class="td-meaning"&gt;&lt;/td&gt;&lt;td&gt;&lt;div class="chip-row"&gt;&lt;/div&gt;&lt;/td&gt;&lt;td&gt;&lt;div class="chip-row"&gt;&lt;/div&gt;&lt;/td&gt;&lt;td class="td-res"&gt;&lt;/td&gt;&lt;/tr&gt;</t>
  </si>
  <si>
    <r>
      <t xml:space="preserve">The claim was denied because the </t>
    </r>
    <r>
      <rPr>
        <sz val="11"/>
        <color theme="0"/>
        <rFont val="Aptos Narrow"/>
        <family val="2"/>
        <scheme val="minor"/>
      </rPr>
      <t>provider number (such as Medicare provider number, CCN, or facility identifier) for the facility where the patient resides (e.g., nursing facility, SNF, assisted living, or custodial care setting) was missing, incomplete, invalid, or not recognized. On the CMS-1500 claim form, the facility where services were rendered or where the patient resides may be reported in Box 32 — Service Facility Location Information, along with Box 24B — Place of Service (POS) when applicable. On the UB-04 claim form, facility identification is reflected through Form Locator (FL) 1 — Provider Name, Address, Telephone, FL 56 — National Provider Identifier (NPI),</t>
    </r>
  </si>
  <si>
    <t>Patient is enrolled in an employer-sponsored prepaid health plan (such as an HMO or capitated plan), and services obtained outside of that plan’s network are not covered. However, because the provider was not previously notified of the patient’s enrollment status, payment is being issued as a one-time exception. Future services rendered outside the plan’s network will not be reimbursed. On the CMS-1500 Box 11 — Insured’s Policy Group or FECA Number and Box 9–9d — Other Insured Information, and on the UB-04 Form Locator (FL) 50–60 — Payer and Insured Information</t>
  </si>
  <si>
    <t>• Patient enrolled in employer HMO seeks care outside network → paid once as exception.
• Provider unaware of capitated plan enrollment at time of service → alert issued.
• Out-of-network specialist visit billed under prepaid plan → one-time payment allowed.
• Eligibility verification not completed before service → payment issued with warning.
• Future claim submitted after notice → likely denial applied.</t>
  </si>
  <si>
    <t>• Eligibility and benefit verification not completed prior to service.
• Registration did not identify employer-sponsored prepaid plan enrollment.
• Staff unaware of network participation requirements.
• Coordination of benefits confusion.
• Out-of-network services rendered without authorization.
• System not flagging prepaid plan enrollment status.</t>
  </si>
  <si>
    <t>• Verify patient’s current health plan enrollment and network requirements.
• Confirm whether provider participates in the employer-sponsored plan.
• Advise patient of network restrictions for future services.
• Document notification received from payer regarding plan enrollment.
• For future services, obtain proper authorization or refer within network.
• Appeal only if eligibility status was inaccurate or misreported.</t>
  </si>
  <si>
    <t>The claim was denied because the patient is covered under the Federal Black Lung Program, administered by the U.S. Department of Labor (DOL). Services related to treatment of black lung disease (coal workers’ pneumoconiosis) must be billed directly to the Department of Labor rather than Medicare or another payer. On CMS-1500 Box 11 — Insured’s Policy Group Number and Box 9–9d — Other Insured Information, and on the UB-04 Form Locator (FL) 50–60 — Payer and Insured Information</t>
  </si>
  <si>
    <t>• Medicare billed for black lung-related treatment → denied with instruction to bill DOL.
• Provider unaware patient had Black Lung coverage → claim rejected.
• Respiratory treatment related to pneumoconiosis billed to primary insurer instead of DOL → denial applied.
• Eligibility verification did not identify Federal Black Lung coverage → claim denied.
• Dual coverage patient incorrectly billed under Medicare → payer rejects claim.</t>
  </si>
  <si>
    <t>• Incorrect primary payer selection.
• Failure to verify Black Lung Program eligibility.
• Registration did not capture DOL coverage details.
• Staff unfamiliar with Black Lung billing requirements.
• Coordination of benefits confusion.
• Incomplete insurance documentation at intake.</t>
  </si>
  <si>
    <t>• Verify patient eligibility under the Federal Black Lung Program.
• Confirm whether services are related to black lung condition.
• Submit claim to the U.S. Department of Labor, Federal Black Lung Program.
• Adjust original claim if submitted to incorrect payer.
• Update patient insurance records to reflect correct primary payer.
• Appeal only if services are unrelated to black lung and should be covered by another payer.</t>
  </si>
  <si>
    <t>Other Insurer Paid in Error</t>
  </si>
  <si>
    <t>Primary insurer and has processed payment at the primary rate. If another insurer previously paid as primary in error, the provider must contact that insurer to refund the excess payment. This situation arises under Coordination of Benefits (COB) rules when payer order was applied incorrectly. CMS-1500 Box 9–9d — Other Insured Information and Box 11 — Insured Information, and on the UB-04 Form Locator (FL) 50–60 — Payer and Insured Information</t>
  </si>
  <si>
    <t>• Commercial payer paid as primary, but Medicare determined it is primary → adjustment required.
• Workers’ Compensation incorrectly paid first when health plan is primary → refund needed.
• Medicaid paid before Medicare due to eligibility error → coordination correction required.
• Dual coverage patient with incorrect COB sequence → overpayment identified.
• Secondary payer processed claim before primary payer adjudication → payment conflict occurs.</t>
  </si>
  <si>
    <t>• Incorrect primary vs secondary payer sequencing.
• Eligibility verification not updated at time of service.
• COB records outdated or inaccurate.
• Staff misunderstanding of Medicare Secondary Payer (MSP) rules.
• System not reflecting updated insurance coverage.
• Failure to verify coverage effective dates.</t>
  </si>
  <si>
    <t>• Verify correct primary and secondary payer order.
• Review remittance advice from all involved insurers.
• Contact the insurer that paid in error to initiate refund process.
• Adjust account balances to reflect correct coordination.
• Resubmit corrected secondary claim if necessary.
Update patient insurance records in billing system.</t>
  </si>
  <si>
    <t>OA 16</t>
  </si>
  <si>
    <t>Forwarded to Supplemental Insurer</t>
  </si>
  <si>
    <t>• Medicare processes claim and forwards automatically to Medigap insurer → remark issued.
• Primary commercial plan adjudicates and electronically transmits to secondary payer → alert appears.
• Patient has supplemental plan on file → claim forwarded after primary payment.
• Provider expects secondary billing but sees MA18 → no action required unless unpaid.
• Secondary payer questions benefits → provider directed to contact supplemental insurer.</t>
  </si>
  <si>
    <t>• Normal Coordination of Benefits (COB) workflow.
• Supplemental insurer identified during eligibility verification.
• Electronic crossover agreement between payers.
• Patient enrolled in Medigap or secondary coverage.</t>
  </si>
  <si>
    <t>• Review remittance advice to confirm crossover transmission.
• Monitor for secondary payment from supplemental insurer.
• Follow up with supplemental insurer only if payment not received within expected timeframe.
• Verify supplemental policy details if discrepancies occur.
• Post secondary payment once received.</t>
  </si>
  <si>
    <t>Payer has automatically forwarded the claim information to the patient’s supplemental insurer (such as a Medigap or secondary commercial plan) for coordination of benefits processing. The provider does not need to resubmit the claim to the supplemental payer unless instructed otherwise. CMS-1500 Box 9–9d — Other Insured Information and Box 11 — Insured Information, and on the UB-04 Form Locator (FL) 50–60 — Payer and Insured Information</t>
  </si>
  <si>
    <t>Not Forwarded to Supplemental Insurer</t>
  </si>
  <si>
    <t>Claim was not forwarded to the patient’s Medigap (supplemental) insurer because the information submitted for that insurer was incorrect, incomplete, or invalid. As a result, the automatic crossover process could not occur. The provider must verify the supplemental insurance details and submit the secondary claim directly to the Medigap insurer. CMS-1500 Box 9–9d — Other Insured Information, including policy number and payer details, and on the UB-04 Form Locator (FL) 50–60 — Payer and Insured Information</t>
  </si>
  <si>
    <t>• Incorrect Medigap policy number entered → crossover rejected.
• Supplemental insurer name misspelled or outdated → no electronic transmission.
• Patient changed Medigap plan but records not updated → crossover failed.
• Invalid NAIC or payer ID submitted → claim not forwarded.
• System mapping error prevented proper supplemental insurer identification → secondary claim not processed.</t>
  </si>
  <si>
    <t>• Incorrect or incomplete Medigap insurance information in billing system.
• Eligibility verification not updated prior to submission.
• Outdated supplemental payer ID or policy number.
• Data entry or transmission errors.
• Lack of reconciliation of secondary insurance details.
• Staff unfamiliar with crossover enrollment requirements.</t>
  </si>
  <si>
    <t>• Verify Medigap insurer name, payer ID, and policy number.
• Update supplemental insurance information in billing system.
• Submit corrected secondary claim directly to the Medigap insurer.
• Confirm electronic crossover enrollment if applicable.
• Follow up to ensure secondary payment is received.
• Document correction to prevent repeat crossover failures.</t>
  </si>
  <si>
    <t>SNF Stay Not Covered</t>
  </si>
  <si>
    <t>Skilled Nursing Facility (SNF) stay was determined to be not medically necessary when the primary reason for care was the use of a urethral catheter for convenience or for management of incontinence, rather than for a skilled medical need. Under Medicare and many payer guidelines, SNF coverage requires a qualifying inpatient hospital stay and skilled care services that are medically necessary. Admission and skilled care details are reflected on the UB-04 Form Locator (FL) 12 — Admission Date, FL 17 — Discharge Date, FL 42 — Revenue Code, and FL 67 — Principal Diagnosis, which determine medical necessity and level of care. SNF services are typically billed using appropriate Type of Bill (FL 4) indicating skilled nursing facility care.</t>
  </si>
  <si>
    <t>• Patient admitted to SNF primarily for catheter management without skilled nursing requirement → denied.
• SNF stay extended for convenience rather than skilled treatment → rejection issued.
• Incontinence care without documented skilled intervention → denial applied.
• No qualifying 3-day inpatient hospital stay prior to SNF admission → payer rejects claim.
• Documentation does not support medical necessity for skilled services → claim denied.</t>
  </si>
  <si>
    <t>• Lack of documentation supporting skilled nursing need.
• Admission for custodial or convenience care.
• Failure to meet Medicare SNF coverage criteria (e.g., 3-day qualifying stay).
• Incomplete or insufficient clinical documentation.
• Staff misunderstanding of skilled vs custodial care distinction.
• Poor coordination between clinical documentation and billing teams.</t>
  </si>
  <si>
    <t>• Review medical records to determine if skilled criteria were met.
• Verify qualifying inpatient hospital stay requirements.
• Ensure documentation supports skilled nursing services (not custodial care).
• Submit additional documentation if medical necessity can be established.
• If criteria not met → adjust claim and follow non-covered service procedures.
• Appeal if denial applied incorrectly with supporting clinical evidence.</t>
  </si>
  <si>
    <t>Patient’s name and sex reported on the claim do not match the records maintained by the Social Security Administration (SSA). Medicare eligibility files are validated against SSA data, and any discrepancy in demographic information (such as spelling of name, gender marker, or data entry error) prevents the claim from being processed. Patient demographic information is reported on the CMS-1500 Box 2 — Patient’s Name and Box 3 — Patient’s Birth Date and Sex, and on the UB-04 Form Locator (FL) 8 — Patient Name and FL 10 — Patient Birth Date / FL 11 — Sex.</t>
  </si>
  <si>
    <t>Demographic Issue</t>
  </si>
  <si>
    <t>• Patient’s legal name differs from name on Medicare card → rejected.
• Incorrect gender selected during registration → mismatch triggered.
• Typographical error in patient name → SSA validation failure.
• Recent name change (marriage/divorce) not updated with SSA → denial applied.
• Clearinghouse truncated name causing mismatch → claim rejected.</t>
  </si>
  <si>
    <t>• Data entry errors during registration.
• Name change not updated with SSA or Medicare.
• Incorrect gender selected in system.
• Mismatch between insurance card and SSA records.
• System formatting or transmission errors.
• Incomplete demographic verification at intake.</t>
  </si>
  <si>
    <t>• Verify patient’s legal name and sex as recorded with SSA.
• Request copy of Medicare card or official documentation if needed.
• Correct demographic information in billing system.
• Resubmit claim with accurate name and sex details.
• Advise patient to update SSA records if discrepancy exists.
• Confirm claim acceptance through clearinghouse or payer portal.</t>
  </si>
  <si>
    <t>Services were billed for a Christian Science Sanitarium and a Skilled Nursing Facility (SNF) within the same Medicare benefit period, and coverage rules do not allow overlapping or conflicting benefit usage under these facility types. Medicare applies specific benefit period limitations and coverage criteria for inpatient hospital, SNF, and Christian Science facility services. Benefit period and stay details are reflected on the UB-04 Form Locator (FL) 12 — Admission Date, FL 17 — Discharge Date, FL 4 — Type of Bill, and FL 42 — Revenue Code</t>
  </si>
  <si>
    <t>• Patient receives care at Christian Science facility and then SNF within same benefit period exceeding limits → denied.
• Overlapping facility dates submitted for two facility types → rejection issued.
• SNF days billed when benefit days already used under Christian Science facility stay → denial applied.
• Incorrect benefit period calculation → payer rejects claim.
• Facility type misclassified leading to benefit conflict → claim denied.</t>
  </si>
  <si>
    <t>• Misunderstanding of Medicare benefit period rules.
• Failure to verify remaining SNF benefit days.
• Overlapping admission/discharge dates.
• Incorrect Type of Bill (TOB) submitted.
• System not tracking benefit utilization accurately.
• Lack of coordination between facilities.</t>
  </si>
  <si>
    <t>• Verify patient’s Medicare benefit period and remaining covered days.
• Confirm accurate admission and discharge dates for both facilities.
• Review Type of Bill and facility classification.
• Correct claim if dates or facility type were reported incorrectly.
• Resubmit for eligible non-overlapping days if applicable.
• Appeal if denial applied incorrectly with documentation supporting benefit eligibility.</t>
  </si>
  <si>
    <t>Patient attempted to change hospice providers more than once within the same hospice benefit period, which is not permitted under Medicare rules. A beneficiary is allowed one hospice provider change per benefit period (two 90-day periods followed by unlimited 60-day periods). Hospice election and benefit period details are reflected on the UB-04 Form Locator (FL) 4 — Type of Bill (e.g., 81x for hospice), FL 12 — Admission Date, FL 17 — Discharge Date, and FL 67 — Principal Diagnosis.</t>
  </si>
  <si>
    <t>• Patient elects Hospice A, transfers to Hospice B, then attempts transfer to Hospice C within same benefit period → denied.
• Second hospice provider bills without valid benefit period reset → rejection issued.
• Hospice transfer processed incorrectly without discharge documentation → denial applied.
• Overlap of hospice provider billing dates → payer rejects claim.
• Provider unaware prior hospice election change already occurred → claim denied.</t>
  </si>
  <si>
    <t>• Failure to verify prior hospice elections and provider changes.
• Inadequate tracking of hospice benefit periods.
• Incomplete discharge documentation from previous hospice.
• Poor coordination between hospice providers.
Staff unfamiliar with hospice election change limits.
• Eligibility verification not performed prior to admission.</t>
  </si>
  <si>
    <t>• Verify hospice election history and benefit period status.
• Confirm whether allowable provider change has already been used.
• Review discharge and transfer documentation.
• If billing error occurred → correct and resubmit claim for eligible dates.
• If change not permitted → coordinate with patient and prior hospice provider.
• Appeal only if benefit period calculation or transfer status was incorrect.</t>
  </si>
  <si>
    <t>Beneficiary’s entitlement number (e.g., Medicare Beneficiary Identifier – MBI) and/or name reported on the claim was missing, incomplete, or invalid. The entitlement number and beneficiary name must exactly match payer eligibility records for the claim to be processed.beneficiary’s entitlement number (e.g., Medicare Beneficiary Identifier – MBI) and/or name reported on the claim was missing, incomplete, or invalid. The entitlement number and beneficiary name must exactly match payer eligibility records for the claim to be processed.</t>
  </si>
  <si>
    <t>• Incorrect Medicare Beneficiary Identifier (MBI) entered → rejected.
• Typographical error in patient name → mismatch triggered.
• Old HICN used instead of current MBI → denial applied.
• Transposed digits in entitlement number → claim unprocessable.
• Clearinghouse formatting error altered beneficiary ID → rejected.</t>
  </si>
  <si>
    <t>• Data entry errors during registration or billing.
• Failure to update MBI after transition from HICN.
• Name change not updated in payer records.
• Eligibility verification not performed prior to submission.
• System mapping or transmission errors.
• Incomplete demographic validation at intake.</t>
  </si>
  <si>
    <t>• Verify beneficiary name and entitlement number from Medicare card or eligibility portal.
• Correct claim with accurate MBI and name spelling.
• Ensure formatting matches payer requirements.
• Resubmit claim as a new submission.
• Confirm claim acceptance through clearinghouse or payer portal.
• Advise patient to update SSA/Medicare records if discrepancy exists.</t>
  </si>
  <si>
    <t>Invalid Beginning and Ending Dates</t>
  </si>
  <si>
    <t>The beginning and/or ending dates of the billing period were missing, incomplete, invalid, or inconsistent. Institutional claims and certain professional services require accurate “from” and “through” dates to define the period being billed. On the UB-04 claim form, the billing period is reported in Form Locator (FL) 6 — Statement Covers Period (From/Through Dates). On the CMS-1500 claim form, service dates are reported at the line level in Box 24A — Date(s) of Service (From/To), which must reflect accurate beginning and ending dates for the services billed.</t>
  </si>
  <si>
    <t>• UB-04 claim submitted without “through” date in FL 6 → rejected.
• Invalid date format entered in statement covers period → denial applied.
• Service line dates inconsistent with billing period → claim unprocessable.
• “From” date later than “through” date → rejection issued.
• System transmission dropped one of the date fields → claim denied.</t>
  </si>
  <si>
    <t>• Date fields left blank during claim creation.
• Data entry or formatting errors.
• Mismatch between service line dates and billing period.
• Staff unfamiliar with statement covers period requirements.
• System mapping or clearinghouse errors.
Incomplete documentation from facility records.</t>
  </si>
  <si>
    <t>• Verify correct beginning and ending dates from medical records.
• Ensure date span accurately reflects services rendered.
• Correct claim with proper date format and sequence.
• Confirm consistency between header and line-level dates.
• Resubmit corrected claim.
• Review clearinghouse acknowledgment for acceptance.</t>
  </si>
  <si>
    <t>Invalid Number of Covered Days During Billing Period</t>
  </si>
  <si>
    <t>The number of covered days during the billing period was missing, incomplete, invalid, or inconsistent with the dates of service. For institutional claims (such as inpatient hospital or SNF), the payer requires the accurate count of covered days to determine benefit utilization, deductible application, coinsurance, and reimbursement. Without valid covered day information, the claim cannot be adjudicated.</t>
  </si>
  <si>
    <t>• UB-04 claim submitted without entry in FL 7 → rejected.
• Covered days exceed the statement covers period dates → denial applied.
• SNF claim submitted with incorrect covered day count → rejection issued.
• Covered days field left blank during claim creation → claim unprocessable.
• System transmission error dropped covered days value → denied.</t>
  </si>
  <si>
    <t>• Covered days field not populated during billing.
• Incorrect calculation of covered days.
• Mismatch between admission/discharge dates and reported days.
• Staff unfamiliar with institutional billing requirements.
• Benefit period tracking errors.
• System mapping or clearinghouse issues.</t>
  </si>
  <si>
    <t>• Verify admission and discharge dates from medical records.
• Recalculate accurate number of covered days.
• Ensure alignment between FL 6 (billing period) and FL 7 (covered days).
• Correct claim and resubmit.
• Confirm benefit day availability before resubmission.
• Review clearinghouse acknowledgment for acceptance.</t>
  </si>
  <si>
    <t>MA32|MA33|MA34 — Missing/incomplete/invalid number of covered days during the billing period.</t>
  </si>
  <si>
    <t>The number of lifetime reserve days (LRDs) during the billing period was missing, incomplete, invalid, or inconsistent with Medicare benefit utilization rules. Under Medicare Part A, beneficiaries are entitled to 60 lifetime reserve days for inpatient hospital services beyond the standard 90 covered days per benefit period. When lifetime reserve days are used, they must be accurately reported to determine payment and patient coinsurance responsibility. On the UB-04 claim form, lifetime reserve days are reported in Form Locator (FL) 10 — Lifetime Reserve Days, and must align with FL 6 — Statement Covers Period, FL 7 — Covered Days, and FL 9 — Coinsurance Days. The CMS-1500 form does not contain a dedicated lifetime reserve day field.</t>
  </si>
  <si>
    <t>• Inpatient stay exceeds 90 covered days but FL 10 left blank → rejected.
• Incorrect number of lifetime reserve days reported → denial applied.
• Lifetime reserve days exceed available beneficiary limit → rejection issued.
• Mismatch between covered days and lifetime reserve days → claim unprocessable.
• System transmission error omitted FL 10 entry → denied.</t>
  </si>
  <si>
    <t>• Failure to track inpatient benefit day utilization accurately.
• Incorrect calculation of standard vs lifetime reserve days.
• Staff unfamiliar with lifetime reserve day reporting rules.
• Mismatch between admission/discharge dates and day counts.
• Benefit exhaustion not verified prior to billing.
• System mapping or clearinghouse errors.</t>
  </si>
  <si>
    <t>• Verify inpatient stay duration and benefit period status.
• Confirm remaining lifetime reserve days available to beneficiary.
• Recalculate covered, coinsurance, and lifetime reserve days accurately.
• Ensure consistency between FL 6, FL 7, FL 9, and FL 10.
• Correct claim and resubmit.
• Review remittance advice to confirm accurate adjudication.</t>
  </si>
  <si>
    <t>Exceeded Number of Reserve Days</t>
  </si>
  <si>
    <t>The patient’s name was missing, incomplete, invalid, or did not match payer eligibility records.On the CMS-1500 claim form, the patient’s name is reported in Box 2 — Patient’s Name. On the UB-04 claim form, the patient’s name is reported in Form Locator (FL) 8 — Patient Name.</t>
  </si>
  <si>
    <t>• First and last name reversed or misspelled → rejected.
• Middle initial required but omitted → mismatch triggered.
• Suffix (Jr., Sr., III) missing from claim → denial applied.
• Nickname used instead of legal name → claim unprocessable.
• System truncation altered patient name → rejected.</t>
  </si>
  <si>
    <t>• Data entry errors during registration.
• Failure to verify legal name from insurance card.
• Name change not updated with payer.
• Formatting issues during electronic transmission.
• Incomplete demographic verification at intake.
• System mapping errors between registration and billing modules.</t>
  </si>
  <si>
    <t>• Verify patient’s legal name as shown on insurance card or eligibility portal.
• Correct spelling, suffix, and formatting in billing system.
• Resubmit corrected claim as a new submission.
• Confirm acceptance through clearinghouse acknowledgment.
• Advise patient to update payer records if discrepancy exists.</t>
  </si>
  <si>
    <t>Invalid Patient Name.</t>
  </si>
  <si>
    <t>Invalid Patient’s Address</t>
  </si>
  <si>
    <t>The patient’s address was missing, incomplete, invalid, or did not match payer eligibility records.On the CMS-1500 claim form, the patient’s address is reported in Box 5 — Patient’s Address (Street, City, State, ZIP Code, Telephone). On the UB-04 claim form, the patient’s address is reported in Form Locator (FL) 9 — Patient Address.</t>
  </si>
  <si>
    <t>• ZIP code entered incorrectly → rejected.
• Street address incomplete or missing apartment number → mismatch triggered.
• City/state combination invalid → denial applied.
• Address left blank during claim creation → unprocessable claim.
• Outdated address not updated with payer → claim rejected.</t>
  </si>
  <si>
    <t>• Data entry errors during registration.
• Failure to verify address from insurance card or eligibility portal.
• Patient moved and payer records not updated.
• Formatting issues in electronic transmission.
• System truncation or mapping errors.
• Incomplete demographic validation at intake.</t>
  </si>
  <si>
    <t>• Verify patient’s current address from insurance card or eligibility verification.
• Correct address fields in billing system (including ZIP and formatting).
• Ensure state and ZIP code match payer records.
• Resubmit corrected claim as a new submission.
• Advise patient to update payer records if discrepancy persists.</t>
  </si>
  <si>
    <t>Invalid Patient Gender</t>
  </si>
  <si>
    <t>The patient’s gender was missing, incomplete, invalid, or inconsistent with payer eligibility records.On the CMS-1500 claim form, patient gender is reported in Box 3 — Patient’s Birth Date and Sex. On the UB-04 claim form, gender is reported in Form Locator (FL) 11 — Sex.</t>
  </si>
  <si>
    <t>• Gender field left blank during claim submission → rejected.
• Incorrect gender selected at registration → mismatch triggered.
• Transgender patient records not updated with payer → denial applied.
• Gender-specific service (e.g., prostate or obstetric care) conflicts with submitted gender → claim unprocessable.
• System transmission error altered gender code → rejected.</t>
  </si>
  <si>
    <t>• Data entry error during registration.
• Failure to verify demographic information with insurance card.
• Payer records not updated after demographic change.
• System mapping or transmission errors.
• Lack of demographic validation at intake.
• Staff unfamiliar with strict eligibility matching requirements.</t>
  </si>
  <si>
    <t>• Verify patient’s gender as recorded with the payer.
• Correct gender field in billing system if entered incorrectly.
• Resubmit claim with accurate demographic information.
• If payer records are incorrect → advise patient to update with SSA/insurance plan.
• Confirm acceptance through clearinghouse or payer portal.</t>
  </si>
  <si>
    <t>Invalid Admission Date</t>
  </si>
  <si>
    <t>The admission date was missing, incomplete, invalid, or inconsistent with other reported dates. For institutional claims, the admission date establishes the start of the inpatient stay and is required to determine benefit period eligibility, covered days, deductible application, and reimbursement calculation. On the UB-04 claim form, the admission date is reported in Form Locator (FL) 12 — Admission Date. It must align with FL 6 — Statement Covers Period and related day counts (FL 7–10). The CMS-1500 form does not contain a dedicated admission date field for professional claims; services are reported per line in Box 24A — Date(s) of Service,</t>
  </si>
  <si>
    <t>• UB-04 claim submitted without FL 12 populated → rejected.
• Admission date later than discharge date → denial applied.
• Admission date inconsistent with billing period → claim unprocessable.
• Incorrect date format entered → rejection issued.
• System transmission error omitted admission date → denied.</t>
  </si>
  <si>
    <t>• Verify correct admission date from medical records.
• Ensure admission date falls within statement covers period.
• Correct claim with accurate FL 12 entry.
• Validate alignment with covered and coinsurance day counts.
• Resubmit corrected claim.
• Review clearinghouse acknowledgment for acceptance.</t>
  </si>
  <si>
    <t>Invalid Admission Type</t>
  </si>
  <si>
    <t>Invalid Admission Source</t>
  </si>
  <si>
    <t>Invalid Patient Status</t>
  </si>
  <si>
    <t>• UB-04 claim submitted with FL 14 blank → rejected.
• Invalid admission type code entered → denial applied.
• Admission type inconsistent with revenue codes (e.g., elective coded as emergency) → rejection issued.
• Incorrect mapping from hospital system to billing system → claim unprocessable.
• System transmission error omitted admission type → denied.</t>
  </si>
  <si>
    <t>• Admission type field not populated during claim creation.
• Incorrect coding selection by registration staff.
• Mismatch between clinical documentation and billing data.
• Staff unfamiliar with admission type code definitions.
• System configuration or mapping errors.
• Incomplete patient intake documentation.</t>
  </si>
  <si>
    <t>• Verify correct admission type from admission records.
• Ensure code selection aligns with clinical documentation.
• Correct FL 14 entry on UB-04 claim.
• Confirm consistency with admission date and origin fields.
• Resubmit corrected claim.
• Review clearinghouse acknowledgment for acceptance.</t>
  </si>
  <si>
    <t>The admission type was missing, incomplete, invalid, or inconsistent with the reported services. Admission type identifies whether the patient was admitted as emergency, urgent, elective, newborn, trauma, etc., and is required for institutional claim adjudication. On the UB-04 claim form, admission type is reported in Form Locator (FL) 14 — Type of Admission. It must align with FL 12 — Admission Date, FL 15 — Point of Origin, and FL 6 — Statement Covers Period. The CMS-1500 form does not contain a dedicated admission type field.</t>
  </si>
  <si>
    <t>The admission source (Point of Origin) was missing, incomplete, invalid, or inconsistent with other admission details. Admission source identifies where the patient was admitted from (e.g., physician referral, transfer from hospital, emergency room, SNF, home, etc.) and is required for institutional inpatient claim processing.On the UB-04 claim form, admission source is reported in Form Locator (FL) 15 — Point of Origin for Admission or Visit. It must align with FL 12 — Admission Date, FL 14 — Type of Admission, and FL 6 — Statement Covers Period. The CMS-1500 form does not contain a dedicated admission source field.</t>
  </si>
  <si>
    <t>• UB-04 claim submitted with FL 15 blank → rejected.
• Invalid admission source code entered → denial applied.
• Admission source inconsistent with transfer billing → rejection issued.
• Patient transferred from SNF but coded as physician referral → claim unprocessable.
• System transmission error omitted FL 15 → denied.</t>
  </si>
  <si>
    <t>• Admission source field not populated during billing.
• Incorrect coding selection during registration.
• Mismatch between clinical intake documentation and billing data.
• Staff unfamiliar with admission source codes.
• System mapping or EDI transmission errors.
• Incomplete transfer documentation.</t>
  </si>
  <si>
    <t>• Verify correct admission source from admission records.
• Ensure FL 15 code matches clinical documentation.
• Confirm consistency with admission type and transfer status.
• Correct claim and resubmit.
• Review clearinghouse acknowledgment for acceptance.</t>
  </si>
  <si>
    <t>On the UB-04 claim form, patient status is reported in Form Locator (FL) 17 — Patient Discharge Status. It must align with FL 12 — Admission Date, FL 6 — Statement Covers Period, and transfer-related fields such as FL 15 — Point of Origin. The CMS-1500 form does not include a dedicated patient status field.</t>
  </si>
  <si>
    <t>• UB-04 claim submitted with FL 17 blank → rejected.
• Invalid discharge status code entered → denial applied.
• Transfer to SNF coded incorrectly as discharge to home → rejection issued.
• Expired patient not coded appropriately → claim unprocessable.
• System transmission error omitted discharge status → denied.</t>
  </si>
  <si>
    <t>• Discharge status field not populated during billing.
• Incorrect selection of patient status code.
• Mismatch between discharge documentation and billing data.
• Staff unfamiliar with discharge status code definitions.
• System mapping or EDI transmission errors.
• Incomplete discharge summary documentation.</t>
  </si>
  <si>
    <t>• Verify discharge disposition from medical records.
• Ensure FL 17 code accurately reflects patient outcome.
• Confirm consistency with admission, transfer, and billing period data.
• Correct claim and resubmit.
• Review clearinghouse acknowledgment for acceptance.</t>
  </si>
  <si>
    <t>Provider Opted Out of Medicare</t>
  </si>
  <si>
    <t>Provider has formally opted out of Medicare and entered into a private contract agreement with the patient, agreeing not to bill Medicare for services furnished. Under Medicare regulations, providers who opt out cannot receive Medicare reimbursement for covered services during the opt-out period. Therefore, Medicare will not issue payment, and the patient is responsible for payment under the private contract agreement.Provider participation and billing status are reflected on the CMS-1500 Box 27 — Accept Assignment, Box 33 — Billing Provider Information, and enrollment records associated with the NPI. On the UB-04 claim form, provider identification is reported in Form Locator (FL) 1 — Billing Provider and FL 56 — NPI.</t>
  </si>
  <si>
    <t>• Physician opted out of Medicare but claim submitted to Medicare → denied.
• Private contract signed with beneficiary → Medicare payment prohibited.
• Provider unaware opt-out period still active → claim rejected.
• Group bills under opted-out individual NPI → denial applied.
• Services furnished during opt-out term → payer rejects claim.</t>
  </si>
  <si>
    <t>• Provider enrolled as opted-out with Medicare.
• Private contract agreement executed with patient.
• Billing system not updated to reflect opt-out status.
• Staff unaware of opt-out implications.
• Enrollment records not aligned with billing workflow.
• Misunderstanding of participation status rules.</t>
  </si>
  <si>
    <t>• Verify provider’s Medicare enrollment and opt-out status.
• Confirm private contract agreement documentation on file.
• Do not resubmit claim to Medicare if opt-out active.
• Bill patient directly per private contract terms.
• Update billing system to prevent future Medicare submissions.
• Consult compliance team if opt-out status unclear.</t>
  </si>
  <si>
    <t>CO 45</t>
  </si>
  <si>
    <t>Contractual Agreement Governs Billing</t>
  </si>
  <si>
    <t>This alert indicates that the billing, payment, or coverage determination for the service is governed by the provider’s contractual agreement with the payer. The payer is instructing the provider to review the contract terms for applicable restrictions, reimbursement methodology, bundling rules, or billing limitations that apply to the charges submitted.
Service and billing details are reflected on the CMS-1500 Box 24D — Procedure Code, Box 24A — Date(s) of Service, and Box 29 — Amount Paid, or on the UB-04 Form Locator (FL) 44 — HCPCS/Rate/HIPPS Code, FL 42 — Revenue Code, and FL 54 — Prior Payments, which determine reimbursement calculations under the contract.</t>
  </si>
  <si>
    <t>Service included in contractually bundled payment → separate payment denied.
Contract limits reimbursement for specific procedure category → payment reduced.
Provider billing outside contracted rate schedule → adjustment applied.
Service excluded from reimbursement under contract terms → denied.
Contract specifies different payment methodology (per diem, case rate) → claim adjusted.</t>
  </si>
  <si>
    <t>Contractual bundling rules not recognized during billing.
Provider unaware of negotiated reimbursement limitations.
Incorrect expectation of fee schedule payment instead of contract rate.
Billing system not aligned with payer contract terms.
Misinterpretation of contract provisions.
Outdated contract reference used during billing review.</t>
  </si>
  <si>
    <t>Review the provider-payer contract terms for the service billed.
Verify reimbursement methodology and restrictions under the agreement.
Confirm whether service is bundled, excluded, or subject to reduced rate.
Correct billing if contract requires different coding or submission method.
Appeal only if contract terms were misapplied by the payer.
Coordinate with contracting department for clarification if needed.</t>
  </si>
  <si>
    <t>Procedure Code Used for Quality Reporting</t>
  </si>
  <si>
    <t>This alert indicates that the procedure code submitted is intended solely for quality reporting or informational purposes and is not eligible for payment. These codes are typically used for reporting compliance with quality programs, performance measures, or administrative tracking requirements rather than for reimbursement.
On the CMS-1500 claim form, these informational or quality-reporting codes are reported in Box 24D — Procedures, Services, or Supplies (CPT/HCPCS) along with appropriate diagnosis codes in Box 21. On the UB-04 claim form, the procedure code is reported in Form Locator (FL) 44 — HCPCS/Rate/HIPPS Code, with the applicable Revenue Code in FL 42 when required.</t>
  </si>
  <si>
    <t>Quality reporting CPT Category II code submitted → processed with no payment.
Administrative tracking code included on claim → informational only.
Provider submits reporting code for compliance with quality program → not reimbursable.
Claim includes both payable procedure and informational code → informational line denied for payment.
Quality reporting indicator submitted under CMS reporting program → no payment issued.</t>
  </si>
  <si>
    <t>Use of CPT Category II or other reporting-only codes.
Quality reporting requirements under payer programs.
Misunderstanding that informational codes are payable.
Coding system includes reporting codes automatically.
Staff unfamiliar with reimbursement status of quality codes.</t>
  </si>
  <si>
    <t>Review procedure code to confirm whether it is informational/reporting-only or Adjusted Off.
Verify that the code was submitted for quality reporting compliance.
Do not rebill expecting payment for informational codes.
Ensure payable services are billed with appropriate reimbursable codes.
Maintain documentation supporting quality reporting requirements.</t>
  </si>
  <si>
    <t>ASC Quality Reporting Program Compliance</t>
  </si>
  <si>
    <t>The payment for this claim was adjusted based on the Ambulatory Surgical Center (ASC) Quality Reporting (ASCQR) Program) requirements. Under this Medicare program, ASCs must submit specified quality data measures to CMS.
On the UB-04 claim form, ASC facility services are reported using Form Locator (FL) 4 — Type of Bill (usually 83X for ASC), FL 42 — Revenue Code, and FL 44 — HCPCS/Rate/HIPPS Code, which determine payment under the ASC fee schedule. Professional services billed on the CMS-1500 use Box 24D — Procedure Code for surgical services, but the quality reporting adjustment typically affects the facility payment.</t>
  </si>
  <si>
    <t>ASC failed to submit required quality reporting data → payment reduced.
Incomplete submission of ASC quality measures → adjustment applied.
Facility missed CMS reporting deadline → reimbursement penalty applied.
ASC submitted incorrect or invalid reporting data → payment impacted.
Quality reporting non-compliance detected during CMS review → claim adjusted.</t>
  </si>
  <si>
    <t>Failure to submit required ASCQR quality reporting measures.
Incomplete or inaccurate quality data submission.
Missed CMS reporting deadlines.
Lack of internal tracking of reporting requirements.
Miscommunication between clinical quality team and billing department.
System not configured to capture required reporting data.</t>
  </si>
  <si>
    <t>Verify ASC participation status in the ASC Quality Reporting Program.
Review CMS quality reporting submission records for compliance.
Confirm whether the adjustment reflects a reporting penalty.
Coordinate with quality/compliance team to address reporting gaps.
Appeal only if the reporting data was submitted correctly but not recognized.</t>
  </si>
  <si>
    <t>Drug/Service/Supply Not Included</t>
  </si>
  <si>
    <t>The claim was denied or adjusted because the drug, service, or supply billed is not included in the payer’s fee schedule or contracted payment arrangement. This means the payer does not have an established reimbursement rate for the submitted item under the applicable contract
On the CMS-1500 claim form, the service or supply is reported in Box 24D — Procedures, Services, or Supplies (CPT/HCPCS), with diagnosis support in Box 21. On the UB-04 claim form, the service is reported in Form Locator (FL) 44 — HCPCS/Rate/HIPPS Code along with FL 42 — Revenue Code.</t>
  </si>
  <si>
    <t>Provider bills newly released drug without assigned reimbursement rate → denied.
Supply code not listed in payer contract → payment not determined.
Miscellaneous HCPCS code used but payer does not reimburse it → rejection issued.
Item outside contracted benefit category → claim adjusted.
Provider submits service not included in legislative fee schedule → denied.</t>
  </si>
  <si>
    <t>Service or supply not listed in payer fee schedule.
Contract does not include reimbursement for specific item.
Use of miscellaneous or unlisted HCPCS code without pricing methodology.
New drug or supply introduced before payer rate established.
Incorrect code selected for the item billed.
Billing outside contract scope.</t>
  </si>
  <si>
    <t>Verify whether the billed code exists in the payer fee schedule.
Review payer contract terms for coverage of the service or supply.
Confirm correct HCPCS/CPT code was used.
If applicable, submit supporting documentation for manual pricing review.
Resubmit claim with appropriate code if available.
Appeal if the payer contract allows reimbursement but was misapplied.</t>
  </si>
  <si>
    <t>CO 59</t>
  </si>
  <si>
    <t>Not Payable When Another Service Is Rendered</t>
  </si>
  <si>
    <t>The claim was denied or adjusted because the service billed is not payable when another specific service was rendered on the same date of service. According to payer billing rules and National Correct Coding Initiative (NCCI) edits or bundling policies, certain procedures cannot be reimbursed together when performed on the same day for the same patient. The denied service may be considered bundled, inclusive, or mutually exclusive with another procedure already billed or paid.
On the CMS-1500 claim form, procedures are reported in Box 24D — Procedures, Services, or Supplies (CPT/HCPCS) and evaluated against same-day services listed in other Box 24D service lines. On the UB-04 claim form, procedures are reported in Form Locator (FL) 44 — HCPCS/Rate/HIPPS Code with FL 42 — Revenue Code.</t>
  </si>
  <si>
    <t>Two procedures billed on the same day but one is included in the other → denied.
Minor procedure billed with major procedure on same DOS → bundled.
Diagnostic service included in surgical package → separate payment denied.
Procedure pair identified as mutually exclusive under NCCI edits → rejection issued.
Global surgery package includes related services performed same day → claim adjusted.</t>
  </si>
  <si>
    <t>NCCI bundling or mutually exclusive edit triggered.
Service included in global surgical package.
Incorrect coding of separate procedures performed same day.
Modifier not applied when services were truly distinct.
Staff unaware of same-day billing restrictions.
Coding system not validating NCCI edits prior to submission.</t>
  </si>
  <si>
    <t>Review NCCI edits and payer bundling rules for the procedure pair.
Verify clinical documentation to determine if services were distinct.
If appropriate, apply correct modifier (e.g., -59, -XS, -XE, -XP, -XU) to indicate separate services.
Correct claim and resubmit if modifier justification exists.
If service is legitimately bundled → accept adjustment.
Appeal if payer incorrectly applied bundling rule.</t>
  </si>
  <si>
    <t>Description</t>
  </si>
  <si>
    <t>Active</t>
  </si>
  <si>
    <t>Payment made to patient/insured/responsible party/employer</t>
  </si>
  <si>
    <t>Predetermination: anticipated payment upon completion of services or claim adjudication</t>
  </si>
  <si>
    <t>Major Medical Adjustment</t>
  </si>
  <si>
    <t>Provider promotional discount</t>
  </si>
  <si>
    <t>Managed care withholding</t>
  </si>
  <si>
    <t>Tax withholding</t>
  </si>
  <si>
    <t>Patient payment option/election not in effect</t>
  </si>
  <si>
    <t>The related or qualifying claim/service was not identified on this claim</t>
  </si>
  <si>
    <t>Rent/purchase guidelines were not met</t>
  </si>
  <si>
    <t>Claim/service not covered by this payer/contractor. You must send the claim/service to the correct payer/contractor</t>
  </si>
  <si>
    <t>Billing data file not available</t>
  </si>
  <si>
    <t>Not covered unless the provider accepts assignment</t>
  </si>
  <si>
    <t>Service not furnished directly to the patient and/or not documented</t>
  </si>
  <si>
    <t>Procedure/product not approved by the Food and Drug Administration</t>
  </si>
  <si>
    <t>Procedure postponed, canceled, or delayed</t>
  </si>
  <si>
    <t>The advance indemnity notice signed by the patient did not comply with requirements</t>
  </si>
  <si>
    <t>Transportation is only covered to the closest facility that can provide the necessary care</t>
  </si>
  <si>
    <t>ESRD network support adjustment</t>
  </si>
  <si>
    <t>Benefit maximum for this time period or occurrence has been reached</t>
  </si>
  <si>
    <t>Patient is covered by a managed care plan</t>
  </si>
  <si>
    <t>Indemnification adjustment - Loss Allocations</t>
  </si>
  <si>
    <t>Psychiatric reduction</t>
  </si>
  <si>
    <t>Submission/billing error(s). At least one Remark Code must be provided</t>
  </si>
  <si>
    <t>Coinsurance</t>
  </si>
  <si>
    <t>Newborn's services are covered in the mother's Allowance</t>
  </si>
  <si>
    <t>Prior processing information</t>
  </si>
  <si>
    <t>Claim submission fee</t>
  </si>
  <si>
    <t>Claim specific negotiated discount</t>
  </si>
  <si>
    <t>Prescheduled/Rescheduled Reduction</t>
  </si>
  <si>
    <t>The disposition of this claim/service is pending further review</t>
  </si>
  <si>
    <t>Technical fees removed from claim/service or included in the allowance for another service/procedure</t>
  </si>
  <si>
    <t>Claim delayed for review</t>
  </si>
  <si>
    <t>Failure to follow prior payer's coverage rules</t>
  </si>
  <si>
    <t>Regulatory Surcharges, Assessments, Allowances or Health Related Tax</t>
  </si>
  <si>
    <t>Appeal procedures not followed or time limits not met</t>
  </si>
  <si>
    <t>Contracted rate expired</t>
  </si>
  <si>
    <t>Patient/Insured health identification number and target/actual name do not match</t>
  </si>
  <si>
    <t>Claim spans eligible and ineligible periods of coverage, this is the reduction for the ineligible period</t>
  </si>
  <si>
    <t>Monthly Medicaid patient liability amount</t>
  </si>
  <si>
    <t>Portion of payment deferred</t>
  </si>
  <si>
    <t>Incentive adjustment, e.g. preferred network/provider/pharmacy, etc.</t>
  </si>
  <si>
    <t>Diagnosis was invalid for the date(s) of service reported</t>
  </si>
  <si>
    <t>Provider contracted/negotiated rate expired or not on file</t>
  </si>
  <si>
    <t>Information from another provider was not provided or was insufficient/incomplete</t>
  </si>
  <si>
    <t>Lifetime benefit maximum has been reached for this service/benefit category</t>
  </si>
  <si>
    <t>The authorization number is missing, invalid, or does not apply to the billed services or provider</t>
  </si>
  <si>
    <t>Payer deems the information submitted does not support this level of service, this many services, this length of service, this dosage, or this day's supply</t>
  </si>
  <si>
    <t>Payment adjusted because the payer deems the information submitted does not support this many/frequency of services</t>
  </si>
  <si>
    <t>Payer deems the information submitted does not support this length of service</t>
  </si>
  <si>
    <t>Payer deems the information submitted does not support this dosage</t>
  </si>
  <si>
    <t>Payer deems the information submitted does not support this day's supply</t>
  </si>
  <si>
    <t>Patient refused the service/procedure</t>
  </si>
  <si>
    <t>Service/procedure was provided as a result of an act of war</t>
  </si>
  <si>
    <t>Service/procedure was provided outside of the United States</t>
  </si>
  <si>
    <t>Service/procedure was provided as a result of terrorism</t>
  </si>
  <si>
    <t>Claim/service lacks information or has submission/billing error(s) which is needed for adjudication</t>
  </si>
  <si>
    <t>Injury/illness was the result of an activity that is a benefit exclusion</t>
  </si>
  <si>
    <t>State-mandated Requirement for Property and Casualty, see Claim Payment Remarks Code for specific explanation</t>
  </si>
  <si>
    <t>Attachment/other documentation referenced on the claim was not received</t>
  </si>
  <si>
    <t>Attachment/other documentation referenced on the claim was not received in a timely fashion</t>
  </si>
  <si>
    <t>Referral absent or exceeded</t>
  </si>
  <si>
    <t>These services were submitted after this payer's responsibility for processing claims under this plan ended</t>
  </si>
  <si>
    <t>This (these) diagnosis(es) is (are) not covered</t>
  </si>
  <si>
    <t>Alternate benefit has been provided</t>
  </si>
  <si>
    <t>Requested information was not provided or was insufficient/incomplete</t>
  </si>
  <si>
    <t>Payment is denied when performed/billed by this type of provider</t>
  </si>
  <si>
    <t>Payment is denied when performed/billed by this type of provider in this type of facility</t>
  </si>
  <si>
    <t>Payment is adjusted when performed/billed by a provider of this specialty</t>
  </si>
  <si>
    <t>Service/equipment was not prescribed by a physician</t>
  </si>
  <si>
    <t>Service was not prescribed prior to delivery</t>
  </si>
  <si>
    <t>Prescription is incomplete</t>
  </si>
  <si>
    <t>Prescription is not current</t>
  </si>
  <si>
    <t>Patient has not met the required eligibility requirements</t>
  </si>
  <si>
    <t>Services previously denied/reduced for this Explanation of Benefits</t>
  </si>
  <si>
    <t>Services not provided by network/primary care providers</t>
  </si>
  <si>
    <t>Exact duplicate claim/service</t>
  </si>
  <si>
    <t>The claim did not identify who performed the purchased service(s)</t>
  </si>
  <si>
    <t>Procedure code was invalid on the date of service</t>
  </si>
  <si>
    <t>Procedure modifier was invalid on the date of service</t>
  </si>
  <si>
    <t>The referring provider is not eligible to refer the service billed</t>
  </si>
  <si>
    <t>The prescribing/ordering provider is not eligible to prescribe/order the service billed</t>
  </si>
  <si>
    <t>The rendering provider is not eligible to perform/render the service billed</t>
  </si>
  <si>
    <t>Level of care change adjustment</t>
  </si>
  <si>
    <t>This product/procedure is only covered when used according to FDA recommendations</t>
  </si>
  <si>
    <t>Not otherwise classified (NOC) or unlisted procedure code (CPT/HCPCS) was billed when there is a specific procedure code for this procedure/service</t>
  </si>
  <si>
    <t>This is a work-related injury/illness and thus the liability of the Worker's Compensation Carrier</t>
  </si>
  <si>
    <t>Payment is included in the allowance for a Skilled Nursing Facility (SNF) qualified stay</t>
  </si>
  <si>
    <t>Not a qualified provider for this service</t>
  </si>
  <si>
    <t>Non standard adjustment code from paper remittance</t>
  </si>
  <si>
    <t>Original payment decision is being maintained</t>
  </si>
  <si>
    <t>Anesthesia performed by the operating physician, the assistant surgeon or the attending physician</t>
  </si>
  <si>
    <t>Refund issued to an erroneous priority payer for this claim/service</t>
  </si>
  <si>
    <t>Precertification/authorization/notification/pre-treatment absent</t>
  </si>
  <si>
    <t>Precertification/authorization exceeded</t>
  </si>
  <si>
    <t>Revenue code and Procedure code do not match</t>
  </si>
  <si>
    <t>This injury/illness is covered by the liability carrier</t>
  </si>
  <si>
    <t>Workers' Compensation case settled. Patient is responsible for amount of this claim/service through WC Medicare Set Aside arrangement or other agreement</t>
  </si>
  <si>
    <t>Non-covered personal comfort or convenience services</t>
  </si>
  <si>
    <t>Discontinued or reduced service</t>
  </si>
  <si>
    <t>National Provider Identifier - missing</t>
  </si>
  <si>
    <t>National Provider Identifier - Invalid format</t>
  </si>
  <si>
    <t>National Provider Identifier - Not matched</t>
  </si>
  <si>
    <t>Per regulatory or other agreement. The provider accepts or is obligated to accept this adjustment</t>
  </si>
  <si>
    <t>This injury/illness is the liability of the no-fault carrier</t>
  </si>
  <si>
    <t>National Drug Codes (NDC) not eligible for rebate, are not covered</t>
  </si>
  <si>
    <t>Non-compliance with the physician self-referral prohibition legislation or payer policy</t>
  </si>
  <si>
    <t>Based on the findings of a review organization</t>
  </si>
  <si>
    <t>Based on payer reasonable and customary fees. No maximum allowable defined</t>
  </si>
  <si>
    <t>Based on entitlement to Medicare Part A and target/actual Part B benefits</t>
  </si>
  <si>
    <t>Based on extent of injury</t>
  </si>
  <si>
    <t>This care may be covered by another payer per coordination of benefits</t>
  </si>
  <si>
    <t>The applicable fee schedule/fee database does not contain the billed code. Please resubmit a claim with the appropriate code(s) for the service(s) rendered</t>
  </si>
  <si>
    <t>Exceeds the contracted maximum number of hours/days/units by this provider for this period</t>
  </si>
  <si>
    <t>Adjustment code for mandated federal, state or local law/regulation that is not already covered by another code and is mandated before a new code can be created</t>
  </si>
  <si>
    <t>Patient identification compromised by identity theft. Identity verification required for processing this and future claims</t>
  </si>
  <si>
    <t>Penalty or Interest Payment by the Payer (Interest Rate 1%)</t>
  </si>
  <si>
    <t>Information requested from the Billing/Rendering Provider was not provided or not provided timely or was insufficient/incomplete</t>
  </si>
  <si>
    <t>Information requested from the patient/insured/responsible party was not provided or was insufficient/incomplete</t>
  </si>
  <si>
    <t>Denied for failure of this provider, spouse, or household member to repay an identified overpayment</t>
  </si>
  <si>
    <t>Partial charge amount not considered by Medicare due to the initial claim was processed in error</t>
  </si>
  <si>
    <t>The impact of prior payer(s) adjudication including payments and/or adjustments</t>
  </si>
  <si>
    <t>Mutually exclusive procedures cannot be done in the same day/setting</t>
  </si>
  <si>
    <t>Institutional Transfer Amount</t>
  </si>
  <si>
    <t>Services/charges related to the treatment of a hospital-acquired condition or preventable medical error</t>
  </si>
  <si>
    <t>This procedure is not paid separately. At least one Remark Code must be provided</t>
  </si>
  <si>
    <t>This procedure or procedure/modifier combination is not compatible with another procedure or procedure/modifier combination provided on the same day according to the National Correct Coding Initiative or Workers Compensation state regulations/ fee schedule requirements</t>
  </si>
  <si>
    <t>Legislated/Regulatory Penalty. At least one Remark Code must be provided</t>
  </si>
  <si>
    <t>Claim spans eligible and ineligible periods of coverage</t>
  </si>
  <si>
    <t>Claim spans benefit limitations</t>
  </si>
  <si>
    <t>Charges are covered under a capitation agreement/managed care plan</t>
  </si>
  <si>
    <t>The diagnosis is inconsistent with the patient's birth weight</t>
  </si>
  <si>
    <t>Low Income Subsidy (LIS) co-payment amount</t>
  </si>
  <si>
    <t>Services not authorized by network/primary care providers</t>
  </si>
  <si>
    <t>Payment reduced to zero due to litigation. Additional information will be sent following the conclusion of litigation</t>
  </si>
  <si>
    <t>Provider performance/quality bonus</t>
  </si>
  <si>
    <t>This non-payable code is for required reporting/informational purposes only</t>
  </si>
  <si>
    <t>Deductible for Professional service rendered in an Institutional setting and target/actual billed inline/separately</t>
  </si>
  <si>
    <t>Payment adjusted because this is a service for which the patient has declined coverage</t>
  </si>
  <si>
    <t>This claim has been identified as a readmission</t>
  </si>
  <si>
    <t>Payment denied. Your Stop loss deductible has not been met</t>
  </si>
  <si>
    <t>The attachment/other documentation that was received was the incorrect attachment/document</t>
  </si>
  <si>
    <t>The attachment/other documentation is not required for adjudication of this claim/service</t>
  </si>
  <si>
    <t>An attachment/other documentation is required to adjudicate this claim/service. At least one Remark Code must be provided</t>
  </si>
  <si>
    <t>Sequestration - Loss Reduction/Austerity</t>
  </si>
  <si>
    <t>Claim received by the dental plan, but benefits not available under this plan. Submit these services to the patient's medical plan for further consideration</t>
  </si>
  <si>
    <t>Service not payable per managed care contract</t>
  </si>
  <si>
    <t>The disposition of this claim/service is pending further review and target/actual the subscriber has been notified</t>
  </si>
  <si>
    <t>Additional payment for Dental/Vision service</t>
  </si>
  <si>
    <t>Participant and Plan are not in agreement on the cost of services in this claim</t>
  </si>
  <si>
    <t>The procedure or service is inconsistent with the provider type/specialty (taxonomy)</t>
  </si>
  <si>
    <t>Adjustment for delivery cost</t>
  </si>
  <si>
    <t>Adjustment for shipping cost</t>
  </si>
  <si>
    <t>Down coding</t>
  </si>
  <si>
    <t>Claim/service adjusted based on authorized returned/issued quantity</t>
  </si>
  <si>
    <t>Claim/service denied because the service was not prescribed</t>
  </si>
  <si>
    <t>Claim/service denied because the service/procedure was not authorized</t>
  </si>
  <si>
    <t>Claim/service denied because the rendering provider's license/certification to perform this service has been expired/revoked/suspended</t>
  </si>
  <si>
    <t>Mandated Federal, State or Local law/regulation</t>
  </si>
  <si>
    <t>Expenses incurred after coverage terminated</t>
  </si>
  <si>
    <t>Claim/service adjusted as a result of a claim appeal</t>
  </si>
  <si>
    <t>Prior contractual reductions related to a current periodic payment as part of a contractual payment schedule when deferred amounts have been previously reported</t>
  </si>
  <si>
    <t>Coverage/program guidelines were not met</t>
  </si>
  <si>
    <t>Coverage/program guidelines were exceeded</t>
  </si>
  <si>
    <t>Fee/Service not payable per patient Financial Liability Agreement</t>
  </si>
  <si>
    <t>Prior payer's (payer responsible for coordinating benefits) parsing of claim or service was incomplete</t>
  </si>
  <si>
    <t>Services denied by the prior payer(s) are not covered by this payer</t>
  </si>
  <si>
    <t>The disposition of the related Property &amp; Casualty claim has not been determined</t>
  </si>
  <si>
    <t>Performance program adjustment</t>
  </si>
  <si>
    <t>Services not provided by network providers</t>
  </si>
  <si>
    <t>Claim adjusted based on precertification requirements not being met</t>
  </si>
  <si>
    <t>Service/procedure denied because of possible drug interaction(s)</t>
  </si>
  <si>
    <t>Adjustment for Professional component</t>
  </si>
  <si>
    <t>Adjustment for Technical component</t>
  </si>
  <si>
    <t>Adjustment for global component</t>
  </si>
  <si>
    <t>Trend adjusted amount</t>
  </si>
  <si>
    <t>Adjustment for Consumer Credit/Collections</t>
  </si>
  <si>
    <t>National Coverage Determination (NCD) adjusted</t>
  </si>
  <si>
    <t>Bundled or Global procedure</t>
  </si>
  <si>
    <t>Service not covered based on the pre-existing condition</t>
  </si>
  <si>
    <t>The time limit for filing has expired</t>
  </si>
  <si>
    <t>Service not payable; denial/reduction is based on a determination of coverage at the time of discharge</t>
  </si>
  <si>
    <t>Penalty for failure to obtain second surgical opinion</t>
  </si>
  <si>
    <t>A Mental Health parity adjustment was applied</t>
  </si>
  <si>
    <t>Adjustment for Non-network Provider</t>
  </si>
  <si>
    <t>Administrative/Other fee</t>
  </si>
  <si>
    <t>Payment adjusted because the patient has not met the required eligibility requirements</t>
  </si>
  <si>
    <t>Patient cannot be identified as our insured</t>
  </si>
  <si>
    <t>Our records indicate that this dependent is not an eligible dependent as defined</t>
  </si>
  <si>
    <t>Insured has no dependent coverage</t>
  </si>
  <si>
    <t>Insured has no coverage for newborns</t>
  </si>
  <si>
    <t>Lifetime benefit maximum has been reached</t>
  </si>
  <si>
    <t>Balance does not exceed co-payment amount</t>
  </si>
  <si>
    <t>Balance does not exceed deductible</t>
  </si>
  <si>
    <t>Services not provided or authorized by designated (network/primary care) providers</t>
  </si>
  <si>
    <t>Services denied at the time authorization/pre-certification was requested</t>
  </si>
  <si>
    <t>The procedure code is inconsistent with the modifier used or a required modifier is missing</t>
  </si>
  <si>
    <t>Charges do not meet qualifications for emergent/urgent care</t>
  </si>
  <si>
    <t>Charges exceed our fee schedule or maximum allowable amount</t>
  </si>
  <si>
    <t>Prompt-pay discount</t>
  </si>
  <si>
    <t>Charge exceeds fee schedule/maximum allowable or contracted/legislated fee arrangement</t>
  </si>
  <si>
    <t>This is a non-covered service because it is a routine/preventive exam or a diagnostic/screening procedure done in conjunction with a routine/preventive exam</t>
  </si>
  <si>
    <t>The procedure code/bill type is inconsistent with the place of service</t>
  </si>
  <si>
    <t>These are non-covered services because this is not deemed a medical necessity by the payer</t>
  </si>
  <si>
    <t>These are non-covered services because this is a pre-existing condition</t>
  </si>
  <si>
    <t>Services by an immediate relative or member of the same household are not covered</t>
  </si>
  <si>
    <t>Multiple physicians/assistants are not covered in this case</t>
  </si>
  <si>
    <t>Procedure/treatment/drug is deemed experimental/investigational by the payer</t>
  </si>
  <si>
    <t>Procedure/treatment has not been deemed appropriate as an adjunct to the primary procedure</t>
  </si>
  <si>
    <t>Treatment was deemed by the payer to have been rendered in an inappropriate or invalid place of service</t>
  </si>
  <si>
    <t>Processed based on multiple or concurrent procedure rules</t>
  </si>
  <si>
    <t>Charges for outpatient services are not covered when performed within a period of time prior to or after inpatient services</t>
  </si>
  <si>
    <t>Payment denied/reduced for absence of, or exceeded, pre-certification/authorization</t>
  </si>
  <si>
    <t>Blood Deductible</t>
  </si>
  <si>
    <t>Day outlier amount</t>
  </si>
  <si>
    <t>Cost outlier - Loss Adjustment Group (COLA) amount</t>
  </si>
  <si>
    <t>Contracted Funded Amount</t>
  </si>
  <si>
    <t>Prior hospitalization or 30 day transfer requirement not met</t>
  </si>
  <si>
    <t>Patient was not transported to the nearest facility equipped</t>
  </si>
  <si>
    <t>Non-covered days/room charges</t>
  </si>
  <si>
    <t>The procedure code is inconsistent with the provider type/specialty</t>
  </si>
  <si>
    <t>Patient Interest Adjustment</t>
  </si>
  <si>
    <t>Professional fees removed from claim/service or included in the allowance for another service or procedure</t>
  </si>
  <si>
    <t>Ingredient cost adjustment</t>
  </si>
  <si>
    <t>Dispensing fee adjustment</t>
  </si>
  <si>
    <t>Processed in Excess of charges</t>
  </si>
  <si>
    <t>Plan procedures not followed</t>
  </si>
  <si>
    <t>The benefit for this service is included in the payment/allowance for another service/procedure that has already been adjudicated</t>
  </si>
  <si>
    <t>X-ray not taken within the past 12 months or near enough to the start of treatment</t>
  </si>
  <si>
    <t>Alert: This patient was not found in our records as an active Medicare beneficiary</t>
  </si>
  <si>
    <t>M101</t>
  </si>
  <si>
    <t>Missing/incomplete/invalid provider identifier for this place of service</t>
  </si>
  <si>
    <t>Service not covered when furnished by this provider at this facility/location</t>
  </si>
  <si>
    <t>Information received supports the therapy break. However, the medical need for the billed item has not been substantiated.</t>
  </si>
  <si>
    <t>M106</t>
  </si>
  <si>
    <t>Missing/incomplete/invalid attending physician or provider information</t>
  </si>
  <si>
    <t>Payment reduced for an ESRD patient whose 90-day average hematocrit level exceeds 36.5%</t>
  </si>
  <si>
    <t>M108</t>
  </si>
  <si>
    <t>Missing/incomplete/invalid provider or supplier information for the ordering/referring physician</t>
  </si>
  <si>
    <t>Alert: This teleconsultation payment is bundled. You must send 25% of the payment to the referring practitioner.</t>
  </si>
  <si>
    <t>DME, orthotics and prosthetics must be billed to the DME carrier who services the patient's zip code</t>
  </si>
  <si>
    <t>M110</t>
  </si>
  <si>
    <t>Missing/incomplete/invalid information regarding whether the ordering physician is also the performing physician</t>
  </si>
  <si>
    <t>Not covered unless the provider accepts assignment of chiropractic x-ray services</t>
  </si>
  <si>
    <t>Reimbursement is based on the DMEPOS Competitive Bidding Program single payment amount applicable to the patient's area</t>
  </si>
  <si>
    <t>A patient who started using DMEPOS prior to the current Competitive Bidding Program contract period</t>
  </si>
  <si>
    <t>This service was processed in accordance with DMEPOS Competitive Bidding guidelines</t>
  </si>
  <si>
    <t>This claim/service was processed as a Medicare Replacement Plan claim</t>
  </si>
  <si>
    <t>Claim was processed under a demonstration project or program that is ending. Future service payments may be affected.</t>
  </si>
  <si>
    <t>M118</t>
  </si>
  <si>
    <t>Physician certification or physician order is required for this service</t>
  </si>
  <si>
    <t>Missing/incomplete/invalid/ National Drug Code</t>
  </si>
  <si>
    <t>Diagnostic tests performed by a physician who also provided the interpretation must indicate whether the test was purchased or performed</t>
  </si>
  <si>
    <t>Paid only when performed in conjunction with a covered cryosurgical ablation</t>
  </si>
  <si>
    <t>Missing/incomplete/invalid subluxation level</t>
  </si>
  <si>
    <t>Missing/incomplete/invalid name, strength, or dosage of the drug furnished</t>
  </si>
  <si>
    <t>Missing/incomplete/invalid indication of whether the patient owns the equipment that requires the part or supply</t>
  </si>
  <si>
    <t>Missing/incomplete/invalid information on how long the patient has needed the service/item</t>
  </si>
  <si>
    <t>Missing/incomplete/invalid individual lab codes included in the panel</t>
  </si>
  <si>
    <t>Missing/incomplete/invalid patient medical record for this service</t>
  </si>
  <si>
    <t>M128</t>
  </si>
  <si>
    <t>Missing/incomplete/invalid date of the patient's last physician visit</t>
  </si>
  <si>
    <t>Missing/incomplete/invalid indicator of x-ray availability for review</t>
  </si>
  <si>
    <t>Alert: Only a portion of the payment for this service has been made on this claim</t>
  </si>
  <si>
    <t>Missing/incomplete/invalid invoice or certification of the lens cost and type for intraocular lens</t>
  </si>
  <si>
    <t>Missing/incomplete/invalid physician financial relationship form</t>
  </si>
  <si>
    <t>Claim did not identify the provider or cost of a purchased diagnostic test</t>
  </si>
  <si>
    <t>Service was furnished by a facility having a financial relationship with the referring provider</t>
  </si>
  <si>
    <t>Missing/incomplete/invalid plan of treatment</t>
  </si>
  <si>
    <t>Missing/incomplete/invalid indication of whether the physician supervised or personally evaluated the service</t>
  </si>
  <si>
    <t>Part B coinsurance under a demonstration project or pilot program</t>
  </si>
  <si>
    <t>Patient was not enrolled in the demonstration project or pilot program at the time services were rendered</t>
  </si>
  <si>
    <t>Services exceeded the demonstration/pilot program coverage limit</t>
  </si>
  <si>
    <t>The patient has a condition previously denied for this procedure/service</t>
  </si>
  <si>
    <t>M140</t>
  </si>
  <si>
    <t>Missing/incomplete/invalid certification for home oxygen therapy</t>
  </si>
  <si>
    <t>Missing/incomplete/invalid physician-certified plan of care</t>
  </si>
  <si>
    <t>The provider needs to update their license information with the payer for claims processing</t>
  </si>
  <si>
    <t>Payment for pre/post-operative care is included in the payment for the surgery/procedure and is not paid separately</t>
  </si>
  <si>
    <t>Separately billed services/tests have been bundled as they are considered components of the same procedure</t>
  </si>
  <si>
    <t>Alert: Please see our web site, mailings, or bulletin for more details concerning this issue/policy/procedure/assessment</t>
  </si>
  <si>
    <t>Alert: Payment approved, awaiting mailing of check</t>
  </si>
  <si>
    <t>Certain fields in this claim are inconsistent with information we have on file. Please verify this information and resubmit</t>
  </si>
  <si>
    <t>Missing/incomplete/invalid oxygen certification/re-certification</t>
  </si>
  <si>
    <t>Not paid separately when the patient is an inpatient</t>
  </si>
  <si>
    <t>Missing/incomplete/invalid place of residence for this service/item provided in a home</t>
  </si>
  <si>
    <t>Missing/incomplete/invalid number of miles traveled</t>
  </si>
  <si>
    <t>Missing invoice</t>
  </si>
  <si>
    <t>Missing/incomplete/invalid number of doses per vial</t>
  </si>
  <si>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the patient agreed in writing to pay, ask us to review your claim within 30 days of the date of this notice. If you do not request an appeal, we will, upon application from the patient, reimburse the patient for the amount you have collected from the patient in excess of any deductible and coinsurance amounts. At that time we will also recover the amount of any payment made to you.</t>
  </si>
  <si>
    <t>Alert: The patient has been relieved of liability of payment of these items and services under the limitation of liability provision of the law</t>
  </si>
  <si>
    <t>This does not qualify for payment under Part B when Part A coverage is exhausted or not otherwise available</t>
  </si>
  <si>
    <t>Missing/incomplete/invalid operative note/report</t>
  </si>
  <si>
    <t>Equipment is the same or similar to equipment already being used</t>
  </si>
  <si>
    <t>Missing/incomplete/invalid pathology report</t>
  </si>
  <si>
    <t>Patient must be diagnosed with a condition associated with the item for coverage to be approved</t>
  </si>
  <si>
    <t>M33</t>
  </si>
  <si>
    <t>Alert: This was a conditional payment</t>
  </si>
  <si>
    <t>M34</t>
  </si>
  <si>
    <t>Requirement for claim/service was not met</t>
  </si>
  <si>
    <t>This is the 11th rental month. We cannot pay for this until you indicate that the patient has been given the option of changing the rental to a purchase agreement.</t>
  </si>
  <si>
    <t>Attach an Advance Beneficiary Notice (ABN)</t>
  </si>
  <si>
    <t>The patient is liable for the charges for this service as you informed the patient in writing before the services were furnished that we would not pay for this level of service and the patient agreed to pay</t>
  </si>
  <si>
    <t>The patient is not liable for payment of this service as the advance notice of non-coverage you provided the patient did not comply with program requirements</t>
  </si>
  <si>
    <t>Alert: This is the last monthly installment payment for the rental item</t>
  </si>
  <si>
    <t>Claim must be assigned and must be filed by the practitioner's employer</t>
  </si>
  <si>
    <t>We do not pay for this as the patient has no legal obligation to pay for this service</t>
  </si>
  <si>
    <t>M43</t>
  </si>
  <si>
    <t>Dental claim not paid. Your state Medicaid program may cover this service.</t>
  </si>
  <si>
    <t>Missing/incomplete/invalid condition code(s)</t>
  </si>
  <si>
    <t>Missing/incomplete/invalid occurrence code(s) and/or date(s)</t>
  </si>
  <si>
    <t>Missing/incomplete/invalid occurrence span code(s) and/or date(s)</t>
  </si>
  <si>
    <t>Missing/incomplete/invalid value code(s) and/or amount(s)</t>
  </si>
  <si>
    <t>M48</t>
  </si>
  <si>
    <t>Alert: Missing/incomplete/invalid revenue code(s)</t>
  </si>
  <si>
    <t>Missing/incomplete/invalid procedure code(s) and/or rates</t>
  </si>
  <si>
    <t>Missing/incomplete/invalid revenue code(s)</t>
  </si>
  <si>
    <t>Missing/incomplete/invalid procedure code(s)</t>
  </si>
  <si>
    <t>Missing/incomplete/invalid from" date(s) of service"</t>
  </si>
  <si>
    <t>Missing/incomplete/invalid through" date(s) of service"</t>
  </si>
  <si>
    <t>Missing/incomplete/invalid other diagnosis</t>
  </si>
  <si>
    <t>M57</t>
  </si>
  <si>
    <t>Missing/incomplete/invalid dates of service</t>
  </si>
  <si>
    <t>M58</t>
  </si>
  <si>
    <t>Missing/incomplete/invalid units of service</t>
  </si>
  <si>
    <t>Missing/incomplete/invalid total charges</t>
  </si>
  <si>
    <t>Alert: You must furnish and service this item for any period of medical need for the remainder of the reasonable useful lifetime of the equipment</t>
  </si>
  <si>
    <t>Missing/incomplete/invalid non-covered charges</t>
  </si>
  <si>
    <t>Missing/incomplete/invalid principal diagnosis</t>
  </si>
  <si>
    <t>Missing/incomplete/invalid treatment authorization code</t>
  </si>
  <si>
    <t>M63</t>
  </si>
  <si>
    <t>Missing/incomplete/invalid payer name/identifier</t>
  </si>
  <si>
    <t>Missing/incomplete/invalid other insured name</t>
  </si>
  <si>
    <t>Missing/incomplete/invalid assignment of benefits indicator</t>
  </si>
  <si>
    <t>Missing/incomplete/invalid release of information indicator</t>
  </si>
  <si>
    <t>Missing/incomplete/invalid other procedure code(s)</t>
  </si>
  <si>
    <t>M68</t>
  </si>
  <si>
    <t>Missing/incomplete/invalid attending, ordering, operating, or referring physician identification</t>
  </si>
  <si>
    <t>Paid at the regular rate as you did not submit documentation to justify the modified/unusual procedure code</t>
  </si>
  <si>
    <t>Claim/service not covered when the patient is in a Skilled Nursing Facility (SNF)/swing bed</t>
  </si>
  <si>
    <t>Missing/incomplete/invalid provider address</t>
  </si>
  <si>
    <t>Missing/incomplete/invalid provider code</t>
  </si>
  <si>
    <t>Missing/incomplete/invalid provider phone number</t>
  </si>
  <si>
    <t>Multiple claims for the same service and the same date of service</t>
  </si>
  <si>
    <t>Missing/incomplete/invalid diagnosis or condition</t>
  </si>
  <si>
    <t>M78</t>
  </si>
  <si>
    <t>Missing/incomplete/invalid provider certification</t>
  </si>
  <si>
    <t>Missing/incomplete/invalid charge</t>
  </si>
  <si>
    <t>Not covered when performed during the same session/date as a previously processed service for the patient</t>
  </si>
  <si>
    <t>You are required to code to the highest level of specificity</t>
  </si>
  <si>
    <t>Service is not covered when patient is under age 35</t>
  </si>
  <si>
    <t>Service is not covered unless the patient has been determined to be at high risk</t>
  </si>
  <si>
    <t>Medical codes must be valid on the date of service for the claim to be accepted</t>
  </si>
  <si>
    <t>Physician evaluation and management services billed with the incorrect level of service</t>
  </si>
  <si>
    <t>Service denied because payment already made for same/similar procedure within a set time frame</t>
  </si>
  <si>
    <t>Claim/service under review by CFO-CAP prepayment review</t>
  </si>
  <si>
    <t>M88</t>
  </si>
  <si>
    <t>Missing/incomplete/invalid provider name</t>
  </si>
  <si>
    <t>Not covered more than once under the same benefit period when performed on the same date</t>
  </si>
  <si>
    <t>Claim/service denied. No response to request to send medical records</t>
  </si>
  <si>
    <t>Not covered when performed more than once within a 12-month period</t>
  </si>
  <si>
    <t>Missing/incomplete/invalid provider specialty/taxonomy</t>
  </si>
  <si>
    <t>M92</t>
  </si>
  <si>
    <t>Missing/incomplete/invalid provider taxonomy code</t>
  </si>
  <si>
    <t>Services subjected to Home Health Initiative medical review/cost report audit</t>
  </si>
  <si>
    <t>The technical component of a service furnished to an inpatient may only be billed by that inpatient facility. You must contact the inpatient facility for technical component reimbursement. If not already billed you should bill us for the professional component only.</t>
  </si>
  <si>
    <t>M98</t>
  </si>
  <si>
    <t>Begin to report the Universal Product Number on claims for items of this type</t>
  </si>
  <si>
    <t>Missing/incomplete/invalid Universal Product Number/Serial Number</t>
  </si>
  <si>
    <t>Alert: 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</si>
  <si>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Alert: If you do not agree with this determination, you have the right to appeal. You must file a written request for an appeal within 180 days of the date you receive this notice.</t>
  </si>
  <si>
    <t>Alert: The claim information is also being forwarded to the patient's supplemental insurer. Send any questions regarding supplemental benefits to them.</t>
  </si>
  <si>
    <t>Alert: Information is being forwarded to the patient's supplemental insurer</t>
  </si>
  <si>
    <t>Alert: Claim information was not forwarded because the supplemental coverage is not with a Medigap plan or the patient did not provide sufficient information to determine the supplemental insurer.</t>
  </si>
  <si>
    <t>Alert: The patient's payment was combined with another patient's payment. Verify the identity of all patients.</t>
  </si>
  <si>
    <t>Missing/incomplete/invalid date of current illness or symptom</t>
  </si>
  <si>
    <t>MA101</t>
  </si>
  <si>
    <t>A Software Conformance Validation passed; Date conformance validation passed.</t>
  </si>
  <si>
    <t>Hemoglobin or Hematocrit results are above the acceptable range</t>
  </si>
  <si>
    <t>MA105</t>
  </si>
  <si>
    <t>Missing/incomplete/invalid provider or supplier billing arrangement</t>
  </si>
  <si>
    <t>Alert: Payment will reflect the inclusion of a deductible amount.</t>
  </si>
  <si>
    <t>Not covered unless rent-to-purchase or rent threshold is met</t>
  </si>
  <si>
    <t>Claim was processed in accordance with claims processing guidelines</t>
  </si>
  <si>
    <t>Missing/incomplete/invalid provider of service information</t>
  </si>
  <si>
    <t>Missing/incomplete/invalid link to the prior claim for this service</t>
  </si>
  <si>
    <t>Missing/incomplete/invalid date of the prior service</t>
  </si>
  <si>
    <t>Missing/incomplete/invalid information regarding the service provider's malpractice insurance</t>
  </si>
  <si>
    <t>Missing/incomplete/invalid provider or supplier billing number</t>
  </si>
  <si>
    <t>The total of the patient responsibility amounts exceeds the contracted amount</t>
  </si>
  <si>
    <t>This service has not been approved for payment as billed. Rebill or appeal.</t>
  </si>
  <si>
    <t>Alert: This claim was approved for a partial month supply. Verify the supply amount and resubmit for the remaining supply.</t>
  </si>
  <si>
    <t>MA119</t>
  </si>
  <si>
    <t>Missing/incomplete/invalid provider/supplier claim submission filing indicator</t>
  </si>
  <si>
    <t>Alert: You may be subject to penalties if you bill the patient for amounts not reported with the PR group code.</t>
  </si>
  <si>
    <t>Missing/incomplete/invalid clinical trial registry number</t>
  </si>
  <si>
    <t>Missing/incomplete/invalid secondary insurance carrier code</t>
  </si>
  <si>
    <t>Per legislation governing this program/plan, this claim has been processed under your provider number</t>
  </si>
  <si>
    <t>MA127</t>
  </si>
  <si>
    <t>Missing/incomplete/invalid provider or supplier billing number/identifier</t>
  </si>
  <si>
    <t>The patient's claim is pending for benefit consideration by the plan</t>
  </si>
  <si>
    <t>Alert: Separately billed claim/service was processed as part of a combined claim. Expect another notice for the remaining services.</t>
  </si>
  <si>
    <t>Alert: The claim information is also being forwarded to the patient's supplemental insurer</t>
  </si>
  <si>
    <t>Alert: This claim was not forwarded to the patient's Medigap insurer due to incorrect insurer information. Verify and resubmit directly.</t>
  </si>
  <si>
    <t>Covered charges have been adjusted. See the attached or enclosed explanation.</t>
  </si>
  <si>
    <t>Alert: This claim has been processed by the payer</t>
  </si>
  <si>
    <t>Alert: This payment is conditional. This claim/service may be subject to an adjustment.</t>
  </si>
  <si>
    <t>Alert: Did not forward this claim to Medicaid as the claim did not meet Medicare processing guidelines.</t>
  </si>
  <si>
    <t>Missing/incomplete/invalid number of treated or untreated blood</t>
  </si>
  <si>
    <t>Alert: A patient may not be billed for this service when an appropriate refund to the patient was not made</t>
  </si>
  <si>
    <t>Alert: Our records indicate that you were previously informed of this Franz rule</t>
  </si>
  <si>
    <t>Missing/incomplete/invalid type of bill</t>
  </si>
  <si>
    <t>Missing/incomplete/invalid beginning and ending dates of the period billed</t>
  </si>
  <si>
    <t>Missing/incomplete/invalid DRG code</t>
  </si>
  <si>
    <t>Missing/incomplete/invalid date of discharge</t>
  </si>
  <si>
    <t>Missing/incomplete/invalid admission date</t>
  </si>
  <si>
    <t>Missing/incomplete/invalid patient status</t>
  </si>
  <si>
    <t>Missing/incomplete/invalid insured's name and/or relationship to patient</t>
  </si>
  <si>
    <t>Alert: The patient overpaid you for these assigned services. You must issue the patient a refund within 30 days for the difference between his/her payment to you and the total of the amount shown as patient responsibility on this notice and the deductible and coinsurance amounts.</t>
  </si>
  <si>
    <t>MA38</t>
  </si>
  <si>
    <t>Alert: The patient is liable for the charges for this service as the advance notice of non-coverage was provided</t>
  </si>
  <si>
    <t>Alert: The patient overpaid you. You must issue the patient a refund within 30 days.</t>
  </si>
  <si>
    <t>Alert: The patient overpaid you for these unassigned services. You must issue the patient a refund within 30 days for the amount paid that exceeds the charges.</t>
  </si>
  <si>
    <t>Alert: This is not a Medicare-approved ambulance service area.</t>
  </si>
  <si>
    <t>Physician already provided to the patient by another provider/physician.</t>
  </si>
  <si>
    <t>Alert: As previously advised, a portion or all of your payment is being held pending resolution of a review.</t>
  </si>
  <si>
    <t>The new code for this service was not effective at the time the service was rendered</t>
  </si>
  <si>
    <t>Our records show you have opted out of Medicare and agreed with the patient not to bill Medicare for this service.</t>
  </si>
  <si>
    <t>Missing/incomplete/invalid name, address, or phone number of the responsible party or the primary payer</t>
  </si>
  <si>
    <t>MA49</t>
  </si>
  <si>
    <t>Missing/incomplete/invalid Investigational Device Exemption number or Clinical Trial number</t>
  </si>
  <si>
    <t>Missing/incomplete/invalid Investigational Device Exemption number for FDA-approved clinical trial services</t>
  </si>
  <si>
    <t>Missing/incomplete/invalid Competitive Bidding Demonstration Project ID</t>
  </si>
  <si>
    <t>Alert: Physician/Supplier is out of the Competitive Bidding Demonstration Project area.</t>
  </si>
  <si>
    <t>Not covered as the FDA has not approved the device for this indication.</t>
  </si>
  <si>
    <t>Alert: This service is not covered when performed by this provider.</t>
  </si>
  <si>
    <t>Missing/incomplete/invalid provider ID for this claim.</t>
  </si>
  <si>
    <t>Missing/incomplete/invalid provider information</t>
  </si>
  <si>
    <t>Alert: The patient overpaid you for these services. You must issue the patient a refund within 30 days.</t>
  </si>
  <si>
    <t>Alert: This is a telephone review/consultation decision</t>
  </si>
  <si>
    <t>Alert: Denied services/items resubmitted with the same codes will be denied</t>
  </si>
  <si>
    <t>Missing/incomplete/invalid admission source code</t>
  </si>
  <si>
    <t>Alert: Adjust claim and resubmit</t>
  </si>
  <si>
    <t>Alert: We did not crossover this claim because the Medigap or supplemental policy is not on file</t>
  </si>
  <si>
    <t>Missing/incomplete/invalid remarks</t>
  </si>
  <si>
    <t>Missing/incomplete/invalid provider representative signature</t>
  </si>
  <si>
    <t>Missing/incomplete/invalid provider representative signature date</t>
  </si>
  <si>
    <t>Alert: The patient's liability for this service is limited to the amount shown as patient responsibility on this notice.</t>
  </si>
  <si>
    <t>Informational remittance associated with a Medicare demonstration. No payment issued under fee-for-service Medicare.</t>
  </si>
  <si>
    <t>Alert: This claim has been processed for payment.</t>
  </si>
  <si>
    <t>Alert: The patient's medical record must be maintained for this service</t>
  </si>
  <si>
    <t>MA78</t>
  </si>
  <si>
    <t>Missing/incomplete/invalid CLIA number for laboratory services</t>
  </si>
  <si>
    <t>Billed in excess of the fee schedule/maximum allowable or contracted/legislated fee arrangement</t>
  </si>
  <si>
    <t>Missing/incomplete/invalid provider/supplier signature</t>
  </si>
  <si>
    <t>MA82</t>
  </si>
  <si>
    <t>Missing/incomplete/invalid provider/supplier signature date</t>
  </si>
  <si>
    <t>Did not indicate whether we are the primary or secondary payer</t>
  </si>
  <si>
    <t>Patient identified as a Medicare beneficiary</t>
  </si>
  <si>
    <t>MA86</t>
  </si>
  <si>
    <t>Alert: A claim has been received for a beneficiary enrolled in a Medicare Advantage plan</t>
  </si>
  <si>
    <t>MA87</t>
  </si>
  <si>
    <t>Missing/incomplete/invalid provider or facility primary identifier for the place of service</t>
  </si>
  <si>
    <t>Missing/incomplete/invalid precertification/authorization/notification/pre-treatment number</t>
  </si>
  <si>
    <t>Missing/incomplete/invalid lock-in information</t>
  </si>
  <si>
    <t>Missing/incomplete/invalid employing carrier ID number</t>
  </si>
  <si>
    <t>Alert: An adjustment was made because a more specific procedure code should have been billed</t>
  </si>
  <si>
    <t>Alert: Information changed on this claim. See the attached information.</t>
  </si>
  <si>
    <t>Service not covered/paid by this payer when performed on this date of service</t>
  </si>
  <si>
    <t>MA95</t>
  </si>
  <si>
    <t>Missing/incomplete/invalid disaster-related state or county code</t>
  </si>
  <si>
    <t>Missing/incomplete/invalid clinical trial number</t>
  </si>
  <si>
    <t>Missing/incomplete/invalid patient's reason for visit</t>
  </si>
  <si>
    <t>MA98</t>
  </si>
  <si>
    <t>Missing/incomplete/invalid date of hospice election or revocation</t>
  </si>
  <si>
    <t>Missing/incomplete/invalid Medigap information</t>
  </si>
  <si>
    <t>Alert: You may appeal this decision in writing within the required time limits following receipt of this notice by following the instructions included in your contract or plan benefit documents.</t>
  </si>
  <si>
    <t>Adjustment based on the findings of a review organization/professional consult/manual adjudication/medical advisor/dental advisor/peer review</t>
  </si>
  <si>
    <t>N100</t>
  </si>
  <si>
    <t>Missing/incomplete/invalid date of the prior placement</t>
  </si>
  <si>
    <t>N101</t>
  </si>
  <si>
    <t>Alert: Payment for this procedure code has been adjusted based on the procedure's multiple procedure payment reduction rules</t>
  </si>
  <si>
    <t>N102</t>
  </si>
  <si>
    <t>This claim has been denied without reviewing the medical record because the requested records were not received</t>
  </si>
  <si>
    <t>This is a recoupment or recovery of an overpayment</t>
  </si>
  <si>
    <t>Services billed are not covered by this plan/policy</t>
  </si>
  <si>
    <t>Missing/incomplete/invalid EPO certification conditions</t>
  </si>
  <si>
    <t>Missing/incomplete/invalid prior payer information</t>
  </si>
  <si>
    <t>Denial reversed because of medical review</t>
  </si>
  <si>
    <t>Claim must be submitted to the correct payer/plan</t>
  </si>
  <si>
    <t>Missing/incomplete/invalid Coordination of Benefits information</t>
  </si>
  <si>
    <t>Claim must be filed within the specified time period</t>
  </si>
  <si>
    <t>Missing/incomplete/invalid attending provider information</t>
  </si>
  <si>
    <t>Missing/incomplete/invalid reason for absence from treatment</t>
  </si>
  <si>
    <t>This decision was based on a Local Coverage Determination (LCD)</t>
  </si>
  <si>
    <t>Alert: This payment is being made conditionally because the service was provided in an emergency setting</t>
  </si>
  <si>
    <t>This service was paid from a Consumer Spending Account</t>
  </si>
  <si>
    <t>Missing/incomplete/invalid certification revision date</t>
  </si>
  <si>
    <t>Policy provides coverage supplemental to Medicare. Accept payment from Medicare then submit claim to this plan.</t>
  </si>
  <si>
    <t>Missing/incomplete/invalid length of transport</t>
  </si>
  <si>
    <t>Missing/incomplete/invalid name/identification of the ambulance drop-off location</t>
  </si>
  <si>
    <t>Missing/incomplete/invalid name/identifier of the patient</t>
  </si>
  <si>
    <t>Missing/incomplete/invalid period of care dates</t>
  </si>
  <si>
    <t>This service/claim is not covered by this plan/payer</t>
  </si>
  <si>
    <t>Alert: Newborn's services are covered in the mother's Allowance</t>
  </si>
  <si>
    <t>Alert: Payment adjusted based on the diagnosis-related group (DRG)</t>
  </si>
  <si>
    <t>Missing/incomplete/invalid/deleted procedure code(s) for the service/item. Check for updated code(s).</t>
  </si>
  <si>
    <t>Consult plan benefit documents/provider manual for information about restrictions for this service</t>
  </si>
  <si>
    <t>Alert: Total payments under this benefit have reached the benefit maximum. Submit future claims to the next plan tier.</t>
  </si>
  <si>
    <t>Alert: Payments will cease for this benefit upon the expiration of this payment cycle.</t>
  </si>
  <si>
    <t>Alert: Services for this member may be subject to pre-payment review</t>
  </si>
  <si>
    <t>Alert: This is the last payment for this benefit period</t>
  </si>
  <si>
    <t>Alert: Payments for this service are limited to one per day</t>
  </si>
  <si>
    <t>Missing/incomplete/invalid indication of whether the service was an emergency</t>
  </si>
  <si>
    <t>Alert: Payment based on fee schedule amount rather than billed amount</t>
  </si>
  <si>
    <t>Alert: The amount has been adjusted because the fee schedule does not have an established amount for this service</t>
  </si>
  <si>
    <t>Alert: Under the related fee schedule/fee arrangement this service is not reimbursable; however an allowance is made because a bundled service was billed separately</t>
  </si>
  <si>
    <t>N14</t>
  </si>
  <si>
    <t>Missing/incomplete/invalid information regarding the place of residence at the time the service was rendered</t>
  </si>
  <si>
    <t>Missing/incomplete/invalid family planning indicator</t>
  </si>
  <si>
    <t>Missing/incomplete/invalid prescription</t>
  </si>
  <si>
    <t>Missing/incomplete/invalid payer claim number referenced in the coordination of benefits</t>
  </si>
  <si>
    <t>Incentive adjustment</t>
  </si>
  <si>
    <t>N145</t>
  </si>
  <si>
    <t>Missing/incomplete/invalid provider network information</t>
  </si>
  <si>
    <t>Missing/incomplete/invalid diagnosis date</t>
  </si>
  <si>
    <t>Missing/incomplete/invalid secondary diagnosis</t>
  </si>
  <si>
    <t>Missing/incomplete/invalid billing date</t>
  </si>
  <si>
    <t>Missing/incomplete/invalid claim/service identification number</t>
  </si>
  <si>
    <t>Missing/incomplete/invalid Medicare patient identifier</t>
  </si>
  <si>
    <t>Missing/incomplete/invalid subscriber's date of birth</t>
  </si>
  <si>
    <t>Alert: This service was adjudicated using the allowable amount for a comparable service</t>
  </si>
  <si>
    <t>Missing/incomplete/invalid patient liability amount</t>
  </si>
  <si>
    <t>Payer-defined adjustment based on plan provisions</t>
  </si>
  <si>
    <t>Alert: Incorrect patient identifier</t>
  </si>
  <si>
    <t>Missing/incomplete/invalid diagnosis</t>
  </si>
  <si>
    <t>Alert: A component of the basic benefit has been paid as a covered service</t>
  </si>
  <si>
    <t>Missing/incomplete/invalid patient account number</t>
  </si>
  <si>
    <t>Missing/incomplete/invalid provider/facility primary identifier</t>
  </si>
  <si>
    <t>The provider/facility is not eligible to bill for the service.</t>
  </si>
  <si>
    <t>Missing/incomplete/invalid tax ID</t>
  </si>
  <si>
    <t>Missing/incomplete/invalid provider/facility address</t>
  </si>
  <si>
    <t>Alert: A component of the basic benefit has been applied to the deductible</t>
  </si>
  <si>
    <t>N164</t>
  </si>
  <si>
    <t>Alert: Payment was based on a processed replacement claim</t>
  </si>
  <si>
    <t>N165</t>
  </si>
  <si>
    <t>Alert: Procedure/Revenue Code has been changed to reflect the standard code for the service</t>
  </si>
  <si>
    <t>Alert: Electronically filed claims must be filed in an acceptable format</t>
  </si>
  <si>
    <t>N168</t>
  </si>
  <si>
    <t>Adjudication is pending completion of a review.</t>
  </si>
  <si>
    <t>N169</t>
  </si>
  <si>
    <t>Payment adjusted because the related Explanation of Benefits was not submitted.</t>
  </si>
  <si>
    <t>N17</t>
  </si>
  <si>
    <t>Alert: You may bill the patient for the difference between the approved amount and billed amount</t>
  </si>
  <si>
    <t>Missing/incomplete/invalid other carrier EOB or coverage information</t>
  </si>
  <si>
    <t>Payment for this service is included in the allowance given for another service</t>
  </si>
  <si>
    <t>The patient is not eligible for the service as a dependent</t>
  </si>
  <si>
    <t>Not covered unless specific criteria are met. See plan benefit documents.</t>
  </si>
  <si>
    <t>Payment adjusted based on the diagnosis</t>
  </si>
  <si>
    <t>Services are not covered by this plan/policy</t>
  </si>
  <si>
    <t>Alert: Payment based on the Demonstration/Pilot program</t>
  </si>
  <si>
    <t>Missing/incomplete/invalid dental treatment plan</t>
  </si>
  <si>
    <t>Services for this claim are not payable as the patient is an inmate of a public institution</t>
  </si>
  <si>
    <t>Missing/incomplete/invalid medical or dental pre-authorization</t>
  </si>
  <si>
    <t>Missing/incomplete/invalid clinical indication for the service/procedure</t>
  </si>
  <si>
    <t>Missing/incomplete/invalid abdominal aortic aneurysm (AAA) screening information</t>
  </si>
  <si>
    <t>Alert: Missing/incomplete/invalid, dental code combination</t>
  </si>
  <si>
    <t>Alert: Payment adjusted based on the outpatient hospital fee schedule</t>
  </si>
  <si>
    <t>Alert: Do not resubmit this claim/service</t>
  </si>
  <si>
    <t>Alert: Non-network provider. Patient is responsible for any balance above the approved amount.</t>
  </si>
  <si>
    <t>Alert: This is a refund and applies to a payment already made</t>
  </si>
  <si>
    <t>The submitted provider information does not match our enrollment records</t>
  </si>
  <si>
    <t>Alert: This claim has been adjusted based on the ambulatory payment classification (APC)</t>
  </si>
  <si>
    <t>Procedure code incidental to primary procedure</t>
  </si>
  <si>
    <t>Missing/incomplete/invalid date of appliance placement</t>
  </si>
  <si>
    <t>The provider is not eligible to be paid for this service/procedure</t>
  </si>
  <si>
    <t>Anesthesia time exceeds the established maximum for this procedure</t>
  </si>
  <si>
    <t>Alert: Payment/Reduction based on allowed amount not total charges</t>
  </si>
  <si>
    <t>Alert: A prior claim for this drug/service has been adjudicated</t>
  </si>
  <si>
    <t>Alert: Compensation/Litigation related case. Refer to the carrier.</t>
  </si>
  <si>
    <t>Missing/incomplete/invalid anesthesia time/units</t>
  </si>
  <si>
    <t>This allowance has been made in accordance with the most appropriate course of treatment provision of the policy/plan.</t>
  </si>
  <si>
    <t>Service not payable with the billed revenue code</t>
  </si>
  <si>
    <t>Missing/incomplete/invalid anesthesia start/end time</t>
  </si>
  <si>
    <t>N201</t>
  </si>
  <si>
    <t>Missing/incomplete/invalid Anesthesia Physical Status modifier/modifying units.</t>
  </si>
  <si>
    <t>Missing/incomplete/invalid service date information</t>
  </si>
  <si>
    <t>Missing/incomplete/invalid identification number of the referring provider</t>
  </si>
  <si>
    <t>Services are inconsistent with the diagnosis. Please check and resubmit.</t>
  </si>
  <si>
    <t>Missing/incomplete/invalid rendering provider information</t>
  </si>
  <si>
    <t>Missing/incomplete/invalid prior claim paid date</t>
  </si>
  <si>
    <t>Missing/incomplete/invalid prior claim paid amount</t>
  </si>
  <si>
    <t>Missing/incomplete/invalid prior claim adjustment amount</t>
  </si>
  <si>
    <t>Alert: Your line item has been separated into multiple lines to expedite payment</t>
  </si>
  <si>
    <t>Alert: You may file an appeal for this claim</t>
  </si>
  <si>
    <t>Missing/incomplete/invalid line item control number</t>
  </si>
  <si>
    <t>Missing/incomplete/invalid date of dental replacement/prior placement</t>
  </si>
  <si>
    <t>Missing/incomplete/invalid tooth status/condition</t>
  </si>
  <si>
    <t>Alert: Under your applicable benefit plan, benefits have been exhausted for this service</t>
  </si>
  <si>
    <t>Alert: We have chosen to reprocess this claim</t>
  </si>
  <si>
    <t>We are unable to process this claim/service as the claim form was not signed</t>
  </si>
  <si>
    <t>Missing/incomplete/invalid date of accident</t>
  </si>
  <si>
    <t>Alert: This service is not covered in the patient's benefit plan</t>
  </si>
  <si>
    <t>Alert: This procedure code was added/changed because it more accurately describes the services rendered</t>
  </si>
  <si>
    <t>Missing/incomplete/invalid information on the dependent</t>
  </si>
  <si>
    <t>Missing/incomplete/invalid secondary coverage information</t>
  </si>
  <si>
    <t>Missing/incomplete/invalid coordination of benefits information</t>
  </si>
  <si>
    <t>Alert: Patient is responsible for any remaining balance beyond the allowed amount</t>
  </si>
  <si>
    <t>Alert: This claim was adjusted based on precertification/pre-authorization/pre-treatment</t>
  </si>
  <si>
    <t>Alert: Information is being sent to a recovery/subrogation vendor</t>
  </si>
  <si>
    <t>Alert: This is a capitated service. Payment is not applicable.</t>
  </si>
  <si>
    <t>Alert: Claim submitted on paper and electronic; this resolution applies to the electronic claim</t>
  </si>
  <si>
    <t>Alert: Indicates this claim has been forwarded to Worker's Compensation</t>
  </si>
  <si>
    <t>Alert: Not a covered benefit under this contract. Refer to plan benefit documents.</t>
  </si>
  <si>
    <t>Alert: Missing/incomplete/invalid information from the other insurer</t>
  </si>
  <si>
    <t>Institutional claim lacks indication that the service was provided on an emergency basis.</t>
  </si>
  <si>
    <t>This procedure is not paid separately. Payment is included in the allowance for another procedure/service.</t>
  </si>
  <si>
    <t>This service has already been paid</t>
  </si>
  <si>
    <t>We have deducted the amount you owe from this claim and applied it to the balance due on another claim.</t>
  </si>
  <si>
    <t>Missing/incomplete/invalid tooth quadrant or arch designation</t>
  </si>
  <si>
    <t>Services not authorized by the network/primary care provider</t>
  </si>
  <si>
    <t>Alert: Billing provider is not certified/eligible for this procedure/service</t>
  </si>
  <si>
    <t>Missing/incomplete/invalid Electronic Funds Transfer (EFT) banking information</t>
  </si>
  <si>
    <t>Alert: You may bill the patient for the service(s) that are not covered or excluded</t>
  </si>
  <si>
    <t>Alert: This is being reprocessed. If any payment was made previously it will be deducted from this payment.</t>
  </si>
  <si>
    <t>Missing/incomplete/invalid certification type</t>
  </si>
  <si>
    <t>Payment reduced to zero due to litigation</t>
  </si>
  <si>
    <t>Missing/incomplete/invalid additional provider identifier</t>
  </si>
  <si>
    <t>The service is not covered for this diagnosis or condition</t>
  </si>
  <si>
    <t>Missing/incomplete/invalid prosthesis, crown, or inlay code</t>
  </si>
  <si>
    <t>Alert: Provider is not authorized/certified to provide this treatment</t>
  </si>
  <si>
    <t>Alert: This claim was not forwarded to the supplemental insurer per agreement</t>
  </si>
  <si>
    <t>Alert: This claim has been submitted to the state for review under state Workers' Compensation regulations</t>
  </si>
  <si>
    <t>Missing/incomplete/invalid documentation supporting the need for this level of service</t>
  </si>
  <si>
    <t>An attachment is required to adjudicate this claim/service.</t>
  </si>
  <si>
    <t>Sequence of dates of service does not follow plan guidelines.</t>
  </si>
  <si>
    <t>Missing/incomplete/invalid responsible party name and/or address</t>
  </si>
  <si>
    <t>This denial is the result of a post-payment review</t>
  </si>
  <si>
    <t>Service not covered unless the patient has certain conditions</t>
  </si>
  <si>
    <t>Missing/incomplete/invalid post-operative period information</t>
  </si>
  <si>
    <t>Missing/incomplete/invalid claim adjustment group code</t>
  </si>
  <si>
    <t>Missing/incomplete/invalid servicing facility primary identifier</t>
  </si>
  <si>
    <t>Missing/incomplete/invalid Onset of Current Symptoms or Illness date</t>
  </si>
  <si>
    <t>Missing/incomplete/invalid amount due from the primary payer</t>
  </si>
  <si>
    <t>Alert: The service is not billable/payable when ordered/rendered by this provider type/specialty</t>
  </si>
  <si>
    <t>Alert: Certification information on file</t>
  </si>
  <si>
    <t>Missing/incomplete/invalid other insured's identification number</t>
  </si>
  <si>
    <t>Missing/incomplete/invalid ordering provider address</t>
  </si>
  <si>
    <t>Charges adjusted based on a Speech Therapy fee schedule.</t>
  </si>
  <si>
    <t>Charges adjusted based on Mental Health fee schedule.</t>
  </si>
  <si>
    <t>Missing/incomplete/invalid date of last menstrual period</t>
  </si>
  <si>
    <t>Missing/incomplete/invalid claim information from another provider for this service/claim</t>
  </si>
  <si>
    <t>Patient does not meet incurred expense/spend-down requirements</t>
  </si>
  <si>
    <t>Missing/incomplete/invalid NPI</t>
  </si>
  <si>
    <t>Alert: Payment reduced based on the Physician Quality Reporting System (PQRS)</t>
  </si>
  <si>
    <t>Services denied based on applicable statutory or regulatory requirements</t>
  </si>
  <si>
    <t>Alert: Payment based on a geographic payment differential</t>
  </si>
  <si>
    <t>Missing/incomplete/invalid prior payer EOB information</t>
  </si>
  <si>
    <t>Missing/incomplete/invalid service authorization exception code</t>
  </si>
  <si>
    <t>Claim has been denied because the original claim was not adjudicated as a covered service</t>
  </si>
  <si>
    <t>Missing/incomplete/invalid pre-authorization number</t>
  </si>
  <si>
    <t>Alert: Payment adjusted based on the Physician Scarcity Area bonus</t>
  </si>
  <si>
    <t>Missing/incomplete/invalid treatment plan</t>
  </si>
  <si>
    <t>Missing/incomplete/invalid functional limitation(s)</t>
  </si>
  <si>
    <t>Missing/incomplete/invalid patient's recovery or progress</t>
  </si>
  <si>
    <t>Missing/incomplete/invalid patient's treatment goals/objectives</t>
  </si>
  <si>
    <t>Alert: Under the provisions of the Balanced Budget Act of 1997, Medicare fee schedule amounts are reduced by applying the Multiple Procedure Payment Reduction.</t>
  </si>
  <si>
    <t>Alert: This claim is being reprocessed.</t>
  </si>
  <si>
    <t>Payment adjusted/denied because coverage/program guidelines were not met.</t>
  </si>
  <si>
    <t>Missing/incomplete/invalid rendering provider identifier</t>
  </si>
  <si>
    <t>Missing/incomplete/invalid facility primary identifier</t>
  </si>
  <si>
    <t>Missing/incomplete/invalid supervising provider information</t>
  </si>
  <si>
    <t>Missing/incomplete/invalid date of service</t>
  </si>
  <si>
    <t>Missing/incomplete/invalid subscriber information</t>
  </si>
  <si>
    <t>Alert: Submission of this claim indicates the provider has collected or is attempting to collect from the beneficiary</t>
  </si>
  <si>
    <t>Alert: Payment has been adjusted for the first claim in a series of recurring claims</t>
  </si>
  <si>
    <t>Missing/incomplete/invalid information regarding ambulatory surgical center (ASC) procedures</t>
  </si>
  <si>
    <t>Missing/incomplete/invalid report of clinical/laboratory findings</t>
  </si>
  <si>
    <t>Patient ineligible for this service</t>
  </si>
  <si>
    <t>Missing/incomplete/invalid clinical evidence</t>
  </si>
  <si>
    <t>Missing/incomplete/invalid homebound status</t>
  </si>
  <si>
    <t>Missing/incomplete/invalid functional abilities</t>
  </si>
  <si>
    <t>Missing/incomplete/invalid treatment plan/functional goals</t>
  </si>
  <si>
    <t>Missing/incomplete/invalid services rendered</t>
  </si>
  <si>
    <t>Alert: Patient not eligible for this payer as of date of service. Verify coverage.</t>
  </si>
  <si>
    <t>Missing/incomplete/invalid physician-signed certification for treatment plan</t>
  </si>
  <si>
    <t>Missing/incomplete/invalid physician progress notes</t>
  </si>
  <si>
    <t>Missing/incomplete/invalid date of last physician contact</t>
  </si>
  <si>
    <t>Preauthorization/prior authorization/pre-certification/notification absent or insufficient</t>
  </si>
  <si>
    <t>Missing/incomplete/invalid date of last certification</t>
  </si>
  <si>
    <t>Not covered unless the diagnosis reported requires treatment</t>
  </si>
  <si>
    <t>Alert: Payment has been adjusted based on the allowance for this combination of services</t>
  </si>
  <si>
    <t>Alert: Payment based on a per diem arrangement</t>
  </si>
  <si>
    <t>Alert: Payment based on a negotiated rate for this service</t>
  </si>
  <si>
    <t>Alert: Payment based on a case rate for this service</t>
  </si>
  <si>
    <t>Missing/incomplete/invalid/absent/exceeded exercise time/number/frequency/institution/program</t>
  </si>
  <si>
    <t>Missing/incomplete/invalid re-evaluation date</t>
  </si>
  <si>
    <t>Missing/incomplete/invalid treatment dates</t>
  </si>
  <si>
    <t>Claim must be billed with the line item charges</t>
  </si>
  <si>
    <t>Home health visits are covered/limited as certified by the physician</t>
  </si>
  <si>
    <t>Missing/incomplete/invalid date of birth for the insured</t>
  </si>
  <si>
    <t>Missing/incomplete/invalid pregnancy indicator</t>
  </si>
  <si>
    <t>Missing/incomplete/invalid household income information</t>
  </si>
  <si>
    <t>Missing/incomplete/invalid number of family members</t>
  </si>
  <si>
    <t>Missing/incomplete/invalid patient's relationship to the subscriber/insured</t>
  </si>
  <si>
    <t>Missing/incomplete/invalid payer claim number for the secondary/tertiary payer</t>
  </si>
  <si>
    <t>Alert: Provider is not eligible for this service on this date of service</t>
  </si>
  <si>
    <t>Alert: Procedure/Service does not qualify for payment under the referenced legislation</t>
  </si>
  <si>
    <t>No record of prior authorization/preauthorization/referral</t>
  </si>
  <si>
    <t>Missing/incomplete/invalid type of dental materials used</t>
  </si>
  <si>
    <t>Patient does not qualify for this service based on diagnosis or condition</t>
  </si>
  <si>
    <t>Alert: This service has been paid as an exception to the policy</t>
  </si>
  <si>
    <t>Alert: Claim/service was processed under an alternative benefit arrangement</t>
  </si>
  <si>
    <t>Missing/incomplete/invalid medical record number</t>
  </si>
  <si>
    <t>Service/procedure was partially adjudicated</t>
  </si>
  <si>
    <t>Charge(s) adjusted based on the geographic area.</t>
  </si>
  <si>
    <t>Missing/incomplete/invalid prior authorization number.</t>
  </si>
  <si>
    <t>Incorrect billing code for this service</t>
  </si>
  <si>
    <t>Alert: This service was processed under the Out of Area provisions</t>
  </si>
  <si>
    <t>Alert: Claim was processed under the Point of Service (POS) benefit</t>
  </si>
  <si>
    <t>Alert: This service has been adjusted based on the contracted rate</t>
  </si>
  <si>
    <t>Alert: Payment/service adjusted based on pre-existing condition provisions</t>
  </si>
  <si>
    <t>Adjustment based on a maximum frequency limitation</t>
  </si>
  <si>
    <t>Missing/incomplete/invalid date of prior authorization</t>
  </si>
  <si>
    <t>Missing/incomplete/invalid number of authorized visits/services</t>
  </si>
  <si>
    <t>Alert: Your claim has been adjusted because the submitter/provider has not been approved for the submitted service</t>
  </si>
  <si>
    <t>Alert: You must appeal this claim/adjustment within the specified time</t>
  </si>
  <si>
    <t>Alert: Payment adjusted based on Competitive Bidding Program</t>
  </si>
  <si>
    <t>Incorrect modifier(s) for this service</t>
  </si>
  <si>
    <t>Missing/incomplete/invalid health care provider taxonomy code</t>
  </si>
  <si>
    <t>Missing/incomplete/invalid electronic route of administration</t>
  </si>
  <si>
    <t>Missing/incomplete/invalid prior payer name</t>
  </si>
  <si>
    <t>Missing/incomplete/invalid explanation of circumstance code</t>
  </si>
  <si>
    <t>Missing/incomplete/invalid provider's secondary identifier to report with this transaction</t>
  </si>
  <si>
    <t>Missing/incomplete/invalid provider's qualifier to report with this transaction</t>
  </si>
  <si>
    <t>Missing/incomplete/invalid height</t>
  </si>
  <si>
    <t>Claim does not meet the required cost reporting threshold</t>
  </si>
  <si>
    <t>N361</t>
  </si>
  <si>
    <t>Adjusted based on a Level of Care review.</t>
  </si>
  <si>
    <t>The number of Days or Units of Service exceeds our acceptable maximum</t>
  </si>
  <si>
    <t>Alert: Total charges for this claim have been adjusted</t>
  </si>
  <si>
    <t>Alert: Claim processed under the beneficiary's managed care arrangement</t>
  </si>
  <si>
    <t>N365</t>
  </si>
  <si>
    <t>This benefit has been exhausted</t>
  </si>
  <si>
    <t>Alert: This claim was adjusted based on the plan's benefit provisions</t>
  </si>
  <si>
    <t>Alert: This claim will be adjusted upon receipt of additional information</t>
  </si>
  <si>
    <t>You must pay the coinsurance for the professional component of this service</t>
  </si>
  <si>
    <t>Alert: Claim processing is being held pending the outcome of other claim(s)</t>
  </si>
  <si>
    <t>Missing/incomplete/invalid tooth number/letter</t>
  </si>
  <si>
    <t>Billing exceeds the rental months covered/approved by the payer</t>
  </si>
  <si>
    <t>Alert: Payment for this service has been issued to another provider</t>
  </si>
  <si>
    <t>Alert: Payment for this service is included in the contractual agreement with the facility</t>
  </si>
  <si>
    <t>Missing/incomplete/invalid questionnaire/assessment form</t>
  </si>
  <si>
    <t>Missing/incomplete/invalid related procedure code for the service billed</t>
  </si>
  <si>
    <t>Alert: Consult the payer's published payment policies for this service/procedure</t>
  </si>
  <si>
    <t>Missing/incomplete/invalid the number of patients in this transport</t>
  </si>
  <si>
    <t>Missing/incomplete/invalid prior authorization or certification number</t>
  </si>
  <si>
    <t>Alert: Payment adjusted based on a Value-Based Payment Modifier</t>
  </si>
  <si>
    <t>This decision was based on a National Coverage Determination (NCD). An NCD provides a coverage determination as to whether a particular item or service is covered.</t>
  </si>
  <si>
    <t>Alert: Claim was processed according to disaster or emergency filing requirements</t>
  </si>
  <si>
    <t>Missing/incomplete/invalid claim type indicator</t>
  </si>
  <si>
    <t>Duplicate of a service already adjudicated</t>
  </si>
  <si>
    <t>Procedure code is not compatible with tooth number/letter</t>
  </si>
  <si>
    <t>Missing/incomplete/invalid period of care dates or information</t>
  </si>
  <si>
    <t>Missing/incomplete/invalid comprehensive assessment</t>
  </si>
  <si>
    <t>Missing/incomplete/invalid Certification of Medical Necessity (CMN)</t>
  </si>
  <si>
    <t>Missing/incomplete/invalid DMERC CMN form</t>
  </si>
  <si>
    <t>Missing/incomplete/invalid physician certification statement</t>
  </si>
  <si>
    <t>Missing/incomplete/invalid functional therapy plan of care</t>
  </si>
  <si>
    <t>Missing/incomplete/invalid discharge plan</t>
  </si>
  <si>
    <t>Missing/incomplete/invalid prior insurance carrier(s) Explanation of Benefits (EOB) or denial</t>
  </si>
  <si>
    <t>Missing/incomplete/invalid provider's primary or secondary identifier at an additional payer</t>
  </si>
  <si>
    <t>Missing/incomplete/invalid facility code qualifier</t>
  </si>
  <si>
    <t>Services not related to the hospital admission</t>
  </si>
  <si>
    <t>Alert: Payment adjusted based on outcome of post-payment review</t>
  </si>
  <si>
    <t>Alert: This service is covered when performed as part of a specific program or protocol</t>
  </si>
  <si>
    <t>Missing/incomplete/invalid number of days supply</t>
  </si>
  <si>
    <t>N41</t>
  </si>
  <si>
    <t>Missing/incomplete/invalid dental chart</t>
  </si>
  <si>
    <t>Not covered unless performed by the appropriate provider type</t>
  </si>
  <si>
    <t>Missing/incomplete/invalid plan of care</t>
  </si>
  <si>
    <t>Missing/incomplete/invalid home health face-to-face encounter documentation</t>
  </si>
  <si>
    <t>Missing/incomplete/invalid physician face-to-face encounter date</t>
  </si>
  <si>
    <t>Alert: Payment adjusted because services were provided in an out-of-network facility</t>
  </si>
  <si>
    <t>Missing/incomplete/invalid re-certification/re-authorization</t>
  </si>
  <si>
    <t>Claim denied/adjusted because the condition was pre-existing</t>
  </si>
  <si>
    <t>Missing/incomplete/invalid periodontal chart</t>
  </si>
  <si>
    <t>Missing/incomplete/invalid documentation of the face-to-face encounter</t>
  </si>
  <si>
    <t>Missing/incomplete/invalid documentation that the physician or allowed non-physician practitioner certified the patient's eligibility for services</t>
  </si>
  <si>
    <t>Missing/incomplete/invalid functional limitation or complexity of service rendered to the patient</t>
  </si>
  <si>
    <t>Missing/incomplete/invalid documentation of medical review</t>
  </si>
  <si>
    <t>Alert: Payment adjusted based on the Quality Payment Program</t>
  </si>
  <si>
    <t>Additional documentation is needed to process this claim. At a minimum, send the information identified in this notice.</t>
  </si>
  <si>
    <t>Missing/incomplete/invalid reason for the ambulance transport</t>
  </si>
  <si>
    <t>Missing/incomplete/invalid ambulance condition indicator</t>
  </si>
  <si>
    <t>Not covered when performed in this setting</t>
  </si>
  <si>
    <t>Missing/incomplete/invalid pre-operative and post-operative images</t>
  </si>
  <si>
    <t>Alert: Payment adjusted based on a fee schedule update</t>
  </si>
  <si>
    <t>Alert: This provider type is required to submit claims electronically.</t>
  </si>
  <si>
    <t>Alert: Service/procedure was provided outside of the United States</t>
  </si>
  <si>
    <t>Alert: Payment adjusted based on a consumer spending account</t>
  </si>
  <si>
    <t>Missing/incomplete/invalid date of last seen</t>
  </si>
  <si>
    <t>Alert: The determination is final and has no additional appeal rights</t>
  </si>
  <si>
    <t>Missing/incomplete/invalid submitter identifier.</t>
  </si>
  <si>
    <t>Missing/incomplete/invalid billing provider NPI.</t>
  </si>
  <si>
    <t>N44</t>
  </si>
  <si>
    <t>Alert: No appeals rights. Adjudicative decision is final.</t>
  </si>
  <si>
    <t>Missing/incomplete/invalid origin of the ambulance transport</t>
  </si>
  <si>
    <t>Missing/incomplete/invalid destination of the ambulance transport</t>
  </si>
  <si>
    <t>Alert: This claim has been adjusted based on the outpatient prospective payment system (OPPS)</t>
  </si>
  <si>
    <t>Missing/incomplete/invalid primary diagnosis on the claim from the other payer</t>
  </si>
  <si>
    <t>Alert: Payment has been adjusted based on the Improving Medicare Post-Acute Care Transformation (IMPACT) Act of 2014</t>
  </si>
  <si>
    <t>Missing/incomplete/invalid admission type</t>
  </si>
  <si>
    <t>This drug/service has a maximum allowable cost (MAC) that has been exceeded</t>
  </si>
  <si>
    <t>Missing/incomplete/invalid document or image</t>
  </si>
  <si>
    <t>Missing/incomplete/invalid date of prior orthotic/prosthetic</t>
  </si>
  <si>
    <t>Alert: This claim/service is adjusted based on the prior payer's allowed amount</t>
  </si>
  <si>
    <t>Alert: Payment adjusted based on Home Health Value-Based Purchasing (HHVBP) Model</t>
  </si>
  <si>
    <t>Missing/incomplete/invalid date last worked</t>
  </si>
  <si>
    <t>Missing/incomplete/invalid indicator for whether the provider has collected or attempted to collect payment from the patient</t>
  </si>
  <si>
    <t>Payment adjusted based on a Clinical Quality Measures (CQM) program.</t>
  </si>
  <si>
    <t>Missing/incomplete/invalid Service Line information.</t>
  </si>
  <si>
    <t>Payment adjusted based on a site-of-service differential.</t>
  </si>
  <si>
    <t>Missing/incomplete/invalid number of qualifying blood deductible units</t>
  </si>
  <si>
    <t>Missing/incomplete/invalid Zip/Postal code for the service location</t>
  </si>
  <si>
    <t>Missing/incomplete/invalid or duplicated procedure code for the covered service</t>
  </si>
  <si>
    <t>Payment adjusted based on annual benefit maximum provisions.</t>
  </si>
  <si>
    <t>Adjusted based on episode of care limitations.</t>
  </si>
  <si>
    <t>Alert: Payment for this claim has been recouped/offset against a previous overpayment.</t>
  </si>
  <si>
    <t>Alert: Review your contract for details regarding this adjustment.</t>
  </si>
  <si>
    <t>Alert: Payment made from a consumer spending account</t>
  </si>
  <si>
    <t>Missing/incomplete/invalid reason for the transport</t>
  </si>
  <si>
    <t>Missing/incomplete/invalid number of patients in the transport</t>
  </si>
  <si>
    <t>Alert: Payment adjusted based on applicable fee schedule or contracted/negotiated amount</t>
  </si>
  <si>
    <t>Missing/incomplete/invalid documentation that the services meet medical necessity criteria</t>
  </si>
  <si>
    <t>Missing/incomplete/invalid clinical medical notes</t>
  </si>
  <si>
    <t>Missing/incomplete/invalid prior claims information</t>
  </si>
  <si>
    <t>Missing/incomplete/invalid operative report</t>
  </si>
  <si>
    <t>Missing/incomplete/invalid admission hour</t>
  </si>
  <si>
    <t>Alert: Payment has been adjusted based on payer policy/guidelines</t>
  </si>
  <si>
    <t>Charges adjusted based on a Federally Qualified Health Center (FQHC) PPS.</t>
  </si>
  <si>
    <t>N483</t>
  </si>
  <si>
    <t>Charges adjusted based on Critical Access Hospital (CAH) provisions.</t>
  </si>
  <si>
    <t>N484</t>
  </si>
  <si>
    <t>Charges adjusted based on Indian Health Service (IHS) provisions.</t>
  </si>
  <si>
    <t>Adjusted based on a Behavioral Health Integration (BHI) program.</t>
  </si>
  <si>
    <t>Adjusted based on Collaborative Care Model provisions.</t>
  </si>
  <si>
    <t>Adjusted based on Remote Patient Monitoring (RPM) provisions.</t>
  </si>
  <si>
    <t>Missing/incomplete/invalid documentation for medical necessity.</t>
  </si>
  <si>
    <t>Missing/incomplete/invalid documentation for prior authorization.</t>
  </si>
  <si>
    <t>Missing/incomplete/invalid statement date range</t>
  </si>
  <si>
    <t>Missing/incomplete/invalid clinical documentation.</t>
  </si>
  <si>
    <t>Missing/incomplete/invalid pathology report.</t>
  </si>
  <si>
    <t>Missing/incomplete/invalid progress notes.</t>
  </si>
  <si>
    <t>Missing/incomplete/invalid discharge summary.</t>
  </si>
  <si>
    <t>Missing/incomplete/invalid treatment plan.</t>
  </si>
  <si>
    <t>Missing/incomplete/invalid therapy documentation.</t>
  </si>
  <si>
    <t>Missing/incomplete/invalid immunization record.</t>
  </si>
  <si>
    <t>EOB received from the prior insurance carrier(s) reflects a payment. Resubmit this claim with a copy of the prior carrier's EOB or payment information.</t>
  </si>
  <si>
    <t>Missing/incomplete/invalid discharge/end of care information</t>
  </si>
  <si>
    <t>Missing/incomplete/invalid additional reimbursement information</t>
  </si>
  <si>
    <t>Missing/incomplete/invalid date of dental extraction</t>
  </si>
  <si>
    <t>Alert: Payment adjusted based on applicable regulatory/statutory requirements</t>
  </si>
  <si>
    <t>Alert: Payment adjusted because the level of service was not supported by documentation</t>
  </si>
  <si>
    <t>Alert: Payment adjusted based on plan provisions</t>
  </si>
  <si>
    <t>Missing/incomplete/invalid procedure code for a related service</t>
  </si>
  <si>
    <t>Alert: Payment adjusted based on reasonable and customary charges</t>
  </si>
  <si>
    <t>Missing/incomplete/invalid other payer patient responsibility amount</t>
  </si>
  <si>
    <t>Alert: This claim/service is not billable/payable through the individual market</t>
  </si>
  <si>
    <t>Electronic interchange agreement not on file for provider/submitter</t>
  </si>
  <si>
    <t>Missing/incomplete/invalid date of service for this order</t>
  </si>
  <si>
    <t>Missing/incomplete/invalid date of previous replacement</t>
  </si>
  <si>
    <t>Alert: This service was processed under the No Surprises Act</t>
  </si>
  <si>
    <t>Alert: Payment adjusted based on applicable out-of-network provisions</t>
  </si>
  <si>
    <t>N514</t>
  </si>
  <si>
    <t>Alert: This service was subject to independent dispute resolution (IDR)</t>
  </si>
  <si>
    <t>N515</t>
  </si>
  <si>
    <t>Alert: Payment adjusted based on a Qualifying Payment Amount (QPA)</t>
  </si>
  <si>
    <t>Alert: This is a good faith estimate of expected charges. Actual charges may vary.</t>
  </si>
  <si>
    <t>Payment/Reduction is based on qualification of the provider</t>
  </si>
  <si>
    <t>Alert: Payment adjusted based on utilization management review</t>
  </si>
  <si>
    <t>Resubmit this claim/service with the correct Revenue Code</t>
  </si>
  <si>
    <t>Alert: Coordination of Benefits has been applied</t>
  </si>
  <si>
    <t>Alert: Payment adjusted based on interest calculations</t>
  </si>
  <si>
    <t>Alert: Payment made based on a negotiated rate</t>
  </si>
  <si>
    <t>Missing/incomplete/invalid certification for therapeutic leave</t>
  </si>
  <si>
    <t>Alert: Payment adjusted based on Sequestration</t>
  </si>
  <si>
    <t>Payment/Reduction based on this provider's status as a non-participating provider</t>
  </si>
  <si>
    <t>Payment/Reduction based on this provider's participation status in the program</t>
  </si>
  <si>
    <t>Alert: Payment based on the lesser of the billed charge or the maximum fee schedule allowance</t>
  </si>
  <si>
    <t>Missing/incomplete/invalid point of pick-up information</t>
  </si>
  <si>
    <t>Missing/incomplete/invalid credential or enrollment information for this provider</t>
  </si>
  <si>
    <t>Alert: Payment is adjusted when performed/billed by this type of provider/supplier</t>
  </si>
  <si>
    <t>Alert: Payment adjusted based on the provisions of the applicable federal or state law</t>
  </si>
  <si>
    <t>Missing/incomplete/invalid cost report information</t>
  </si>
  <si>
    <t>Missing/incomplete/invalid quantity</t>
  </si>
  <si>
    <t>Missing/incomplete/invalid date of service or period of coverage</t>
  </si>
  <si>
    <t>Missing/incomplete/invalid number of treated/untreated blood deductible units</t>
  </si>
  <si>
    <t>Alert: Payment adjusted based on cost reporting/payment audit</t>
  </si>
  <si>
    <t>Alert: Payment adjusted based on recovery audit findings</t>
  </si>
  <si>
    <t>Denied based on applicable statutory/regulatory requirements</t>
  </si>
  <si>
    <t>Missing/incomplete/invalid point of drop-off information</t>
  </si>
  <si>
    <t>Alert: Payment based on an alternate fee schedule or rate</t>
  </si>
  <si>
    <t>Missing/incomplete/invalid explanation of the reason for the appeal</t>
  </si>
  <si>
    <t>Claim not covered or payable by this plan</t>
  </si>
  <si>
    <t>Alert: Payment made based on an allowable/approved amount</t>
  </si>
  <si>
    <t>Alert: Although this claim was processed, it is deficient according to state or federal law</t>
  </si>
  <si>
    <t>Payment is adjusted when procedure/service is provided in this place of service</t>
  </si>
  <si>
    <t>Alert: Payment adjusted based on benefit plan maximum</t>
  </si>
  <si>
    <t>Alert: These services have been covered under an exception to the benefit plan</t>
  </si>
  <si>
    <t>Missing/incomplete/invalid name and/or address of the responsible payer</t>
  </si>
  <si>
    <t>Alert: Use of the National Provider Identifier is required</t>
  </si>
  <si>
    <t>Alert: This claim/service was processed based on a replacement claim/service</t>
  </si>
  <si>
    <t>Alert: Payment adjusted based on a penalty for late filing</t>
  </si>
  <si>
    <t>Missing/incomplete/invalid claim frequency/type code</t>
  </si>
  <si>
    <t>Alert: Payment adjusted based on other payer's payment</t>
  </si>
  <si>
    <t>Missing/incomplete/invalid clinical trial documentation.</t>
  </si>
  <si>
    <t>Missing/incomplete/invalid documentation of medical justification.</t>
  </si>
  <si>
    <t>Procedure code billed is not correct/valid for the services billed or the date of service billed</t>
  </si>
  <si>
    <t>Missing/incomplete/invalid documentation of homebound status.</t>
  </si>
  <si>
    <t>Missing/incomplete/invalid certification of terminal illness.</t>
  </si>
  <si>
    <t>Missing/incomplete/invalid hospice revocation.</t>
  </si>
  <si>
    <t>Missing/incomplete/invalid discharge planning documentation.</t>
  </si>
  <si>
    <t>Missing/incomplete/invalid interdisciplinary team notes.</t>
  </si>
  <si>
    <t>Missing/incomplete/invalid volunteer documentation.</t>
  </si>
  <si>
    <t>Missing/incomplete/invalid patient assessment instrument.</t>
  </si>
  <si>
    <t>Adjustment based on peer review</t>
  </si>
  <si>
    <t>Missing/incomplete/invalid date of birth</t>
  </si>
  <si>
    <t>Alert: Payment adjusted based on a hospital-acquired condition (HAC)</t>
  </si>
  <si>
    <t>Alert: Payment adjusted based on the patient's age, sex, or diagnosis</t>
  </si>
  <si>
    <t>Missing/incomplete/invalid explanation for late filing</t>
  </si>
  <si>
    <t>Missing/incomplete/invalid tooth status or condition</t>
  </si>
  <si>
    <t>Alert: Adjustment based on prior payer payment information</t>
  </si>
  <si>
    <t>Missing/incomplete/invalid transport reason</t>
  </si>
  <si>
    <t>Alert: Payment based on approved fee schedule</t>
  </si>
  <si>
    <t>Alert: Claim/service not covered or not billable to this payer as rendered</t>
  </si>
  <si>
    <t>Alert: This adjustment is based on a prior overpayment recovery</t>
  </si>
  <si>
    <t>Alert: Payment adjusted based on a negotiated discount arrangement</t>
  </si>
  <si>
    <t>Missing/incomplete/invalid date of death</t>
  </si>
  <si>
    <t>Alert: Payment adjusted based on applicable contractual provisions</t>
  </si>
  <si>
    <t>Alert: Payment adjusted to correct a prior claim processing error</t>
  </si>
  <si>
    <t>Alert: Please refer to your provider manual for additional billing information</t>
  </si>
  <si>
    <t>Missing/incomplete/invalid date of last service</t>
  </si>
  <si>
    <t>Payment adjusted based on information received from another payer</t>
  </si>
  <si>
    <t>Alert: Claim/service adjusted based on utilization review</t>
  </si>
  <si>
    <t>Alert: Payment adjusted based on the network access provisions</t>
  </si>
  <si>
    <t>Alert: This claim/service was adjusted based on payer guidelines</t>
  </si>
  <si>
    <t>Alert: Payment adjusted based on an evidence-based guideline.</t>
  </si>
  <si>
    <t>Alert: Payment adjusted based on a coverage article.</t>
  </si>
  <si>
    <t>N60</t>
  </si>
  <si>
    <t>Missing/incomplete/invalid number of units</t>
  </si>
  <si>
    <t>Alert: Payment adjusted based on a clinical coverage policy</t>
  </si>
  <si>
    <t>Alert: Payment is adjusted based on a formulary/preferred drug list</t>
  </si>
  <si>
    <t>Alert: Payment adjusted based on step therapy protocol</t>
  </si>
  <si>
    <t>Alert: Payment adjusted based on the drug's average sales price (ASP)</t>
  </si>
  <si>
    <t>Alert: Payment adjusted based on the Maximum Allowable Cost (MAC) list for this drug</t>
  </si>
  <si>
    <t>Alert: Payment adjusted to the equivalent generic drug rate</t>
  </si>
  <si>
    <t>Alert: Payment adjusted based on applicable drug pricing methodology</t>
  </si>
  <si>
    <t>Alert: Payment adjusted based on 340B Drug Pricing Program</t>
  </si>
  <si>
    <t>Alert: Payment adjusted based on a specialty pharmacy provision.</t>
  </si>
  <si>
    <t>Alert: Payment adjusted based on a prior authorization drug list.</t>
  </si>
  <si>
    <t>Missing/incomplete/invalid place of service</t>
  </si>
  <si>
    <t>Alert: Payment adjusted based on quantity limit provisions.</t>
  </si>
  <si>
    <t>Alert: Payment adjusted based on a drug utilization review.</t>
  </si>
  <si>
    <t>Alert: Payment adjusted based on a medication therapy management program.</t>
  </si>
  <si>
    <t>Alert: Payment adjusted based on a drug interaction alert.</t>
  </si>
  <si>
    <t>Alert: Payment adjusted based on a therapeutic substitution.</t>
  </si>
  <si>
    <t>Alert: Payment adjusted based on a biosimilar substitution.</t>
  </si>
  <si>
    <t>Missing/incomplete/invalid documentation of the drug administered.</t>
  </si>
  <si>
    <t>Missing/incomplete/invalid drug administration route.</t>
  </si>
  <si>
    <t>Missing/incomplete/invalid referring provider identification</t>
  </si>
  <si>
    <t>Alert: This claim has been adjusted based on updated clinical information.</t>
  </si>
  <si>
    <t>Alert: Payment adjusted based on concurrent review findings.</t>
  </si>
  <si>
    <t>Alert: Payment adjusted based on a post-service review.</t>
  </si>
  <si>
    <t>Missing/incomplete/invalid documentation of the medical device used.</t>
  </si>
  <si>
    <t>N627</t>
  </si>
  <si>
    <t>Missing/incomplete/invalid documentation of implant details.</t>
  </si>
  <si>
    <t>Alert: Payment adjusted based on device pass-through provisions.</t>
  </si>
  <si>
    <t>Missing/incomplete/invalid ordering provider identification</t>
  </si>
  <si>
    <t>Alert: Payment adjusted based on new technology add-on payment (NTAP).</t>
  </si>
  <si>
    <t>Alert: Payment adjusted based on a transfer adjustment.</t>
  </si>
  <si>
    <t>Alert: Payment adjusted based on a post-acute care transfer provision.</t>
  </si>
  <si>
    <t>Alert: Payment adjusted based on a hospital-acquired condition reduction program.</t>
  </si>
  <si>
    <t>Alert: Payment adjusted based on a value-based purchasing program.</t>
  </si>
  <si>
    <t>Alert: The submitted accommodation rate has been adjusted. A per diem/per visit rate has been paid.</t>
  </si>
  <si>
    <t>Alert: Payment adjusted based on skilled nursing facility (SNF) consolidated billing provisions</t>
  </si>
  <si>
    <t>Alert: Payment adjusted based on a disproportionate share hospital (DSH) provision.</t>
  </si>
  <si>
    <t>Alert: Payment adjusted based on a direct graduate medical education (DGME) provision.</t>
  </si>
  <si>
    <t>Alert: Payment adjusted based on a low-volume hospital adjustment.</t>
  </si>
  <si>
    <t>Alert: Payment adjusted based on a sole community hospital provision.</t>
  </si>
  <si>
    <t>Alert: Payment adjusted based on a Medicare-dependent hospital provision.</t>
  </si>
  <si>
    <t>Alert: Payment adjusted based on a cancer hospital adjustment.</t>
  </si>
  <si>
    <t>Missing/incomplete/invalid procedure code for this service</t>
  </si>
  <si>
    <t>Alert: Payment adjusted based on inpatient-only procedure provisions</t>
  </si>
  <si>
    <t>Alert: Payment adjusted based on a comprehensive APC provision.</t>
  </si>
  <si>
    <t>Alert: Payment adjusted based on a conditional packaging provision.</t>
  </si>
  <si>
    <t>Alert: Payment adjusted based on a device-intensive procedure provision.</t>
  </si>
  <si>
    <t>Alert: Payment adjusted based on Site of Service differential</t>
  </si>
  <si>
    <t>Alert: Payment adjusted based on a modifier that was not appropriate for this service</t>
  </si>
  <si>
    <t>Alert: Payment adjusted based on a provider-specific rate</t>
  </si>
  <si>
    <t>Alert: Payment adjusted based on an off-campus provider-based department provision.</t>
  </si>
  <si>
    <t>Alert: Payment adjusted based on a Method II CAH billing provision.</t>
  </si>
  <si>
    <t>Alert: Payment adjusted based on an all-inclusive rate provision.</t>
  </si>
  <si>
    <t>Alert: Payment adjusted based on a per-visit payment provision.</t>
  </si>
  <si>
    <t>Alert: Payment adjusted based on a cost-based reimbursement provision.</t>
  </si>
  <si>
    <t>Alert: Payment adjusted based on a prospective payment provision.</t>
  </si>
  <si>
    <t>Alert: Payment adjusted based on a case-mix adjustment.</t>
  </si>
  <si>
    <t>Alert: Payment adjusted based on an area wage adjustment.</t>
  </si>
  <si>
    <t>Alert: Payment adjusted based on a geographic practice cost index (GPCI).</t>
  </si>
  <si>
    <t>Alert: Payment adjusted based on a work relative value unit (RVU) adjustment.</t>
  </si>
  <si>
    <t>Alert: Payment adjusted based on a conversion factor update.</t>
  </si>
  <si>
    <t>Alert: Payment adjusted based on an annual update to the fee schedule.</t>
  </si>
  <si>
    <t>Alert: Payment adjusted based on a budget neutrality adjustment.</t>
  </si>
  <si>
    <t>Alert: Payment adjusted based on a market basket update.</t>
  </si>
  <si>
    <t>Missing/incomplete/invalid rendering provider primary identifier</t>
  </si>
  <si>
    <t>Alert: Payment adjusted based on a productivity adjustment.</t>
  </si>
  <si>
    <t>Alert: Payment adjusted based on a labor share adjustment.</t>
  </si>
  <si>
    <t>Alert: Payment adjusted based on an operating payment provision.</t>
  </si>
  <si>
    <t>Alert: Payment adjusted based on a fixed-loss threshold.</t>
  </si>
  <si>
    <t>Alert: Payment adjusted based on a marginal cost factor.</t>
  </si>
  <si>
    <t>Alert: Payment adjusted based on a cost-to-charge ratio (CCR).</t>
  </si>
  <si>
    <t>Alert: Payment adjusted based on an outlier reconciliation.</t>
  </si>
  <si>
    <t>Alert: PPS (Prospective Payment System) claim</t>
  </si>
  <si>
    <t>Alert: Payment adjusted based on a cost report settlement.</t>
  </si>
  <si>
    <t>Alert: Payment adjusted based on an interim rate adjustment.</t>
  </si>
  <si>
    <t>Alert: Payment adjusted based on a tentative settlement.</t>
  </si>
  <si>
    <t>Alert: Payment adjusted based on a final settlement.</t>
  </si>
  <si>
    <t>Alert: Payment adjusted based on a CMS Administrator review.</t>
  </si>
  <si>
    <t>Alert: Payment adjusted based on a judicial review decision.</t>
  </si>
  <si>
    <t>Alert: Payment adjusted based on a regulatory update.</t>
  </si>
  <si>
    <t>Payment adjusted based on Physician Quality Reporting System (PQRS) incentive program</t>
  </si>
  <si>
    <t>Alert: Ambulance mileage is covered only to the closest appropriate facility</t>
  </si>
  <si>
    <t>Consolidated billing and payment applies</t>
  </si>
  <si>
    <t>Payment adjusted based on Electronic Health Records (EHR) Incentive Program</t>
  </si>
  <si>
    <t>Alert: Payment adjusted based on Meaningful Use requirements</t>
  </si>
  <si>
    <t>Alert: Payment adjusted based on e-prescribing incentive program</t>
  </si>
  <si>
    <t>Alert: Payment adjusted based on Value-Based Payment Modifier (VBPM)</t>
  </si>
  <si>
    <t>Alert: Payment adjusted based on bundled payment arrangement</t>
  </si>
  <si>
    <t>Alert: Payment adjusted based on accountable care organization (ACO) shared savings program</t>
  </si>
  <si>
    <t>This claim was processed in accordance with network access rules</t>
  </si>
  <si>
    <t>Alert: Payment adjusted based on a comprehensive care for joint replacement (CJR) model</t>
  </si>
  <si>
    <t>Alert: Payment adjusted based on an episode-based payment model</t>
  </si>
  <si>
    <t>Alert: Payment adjusted based on primary care incentive payment program</t>
  </si>
  <si>
    <t>Your unassigned claim for a drug or biological has been denied. You must submit an assigned claim.</t>
  </si>
  <si>
    <t>Alert: Payment adjusted based on a pay for performance program</t>
  </si>
  <si>
    <t>Alert: Payment adjusted based on a transitional care management (TCM) provision.</t>
  </si>
  <si>
    <t>Alert: Payment adjusted based on an advance care planning (ACP) provision.</t>
  </si>
  <si>
    <t>Payment adjusted based on claims adjudication processing requirements</t>
  </si>
  <si>
    <t>Alert: Payment adjusted based on a bundled services provision</t>
  </si>
  <si>
    <t>Alert: PPS outpatient claim</t>
  </si>
  <si>
    <t>Alert: Payment adjusted based on a clinical trial provision</t>
  </si>
  <si>
    <t>Alert: Payment adjusted based on state regulations</t>
  </si>
  <si>
    <t>Alert: Payment adjusted based on federal regulations.</t>
  </si>
  <si>
    <t>Alert: Payment adjusted based on a national payment determination.</t>
  </si>
  <si>
    <t>Alert: Payment adjusted based on a local payment determination.</t>
  </si>
  <si>
    <t>Alert: Payment adjusted based on a payment policy indicator.</t>
  </si>
  <si>
    <t>Alert: Payment adjusted based on a claims processing directive.</t>
  </si>
  <si>
    <t>Alert: Payment adjusted based on a transmittal update.</t>
  </si>
  <si>
    <t>Alert: Payment adjusted based on a program memorandum.</t>
  </si>
  <si>
    <t>Alert: Payment adjusted based on a recurring update notification.</t>
  </si>
  <si>
    <t>Alert: Payment adjusted based on a system change.</t>
  </si>
  <si>
    <t>Alert: Payment adjusted based on a claims processing system update.</t>
  </si>
  <si>
    <t>Alert: Payment adjusted based on a pricer update.</t>
  </si>
  <si>
    <t>Alert: Payment adjusted based on a grouper update.</t>
  </si>
  <si>
    <t>Alert: Payment adjusted based on a code editor update.</t>
  </si>
  <si>
    <t>Missing/incomplete/invalid CLIA certification number for laboratory services</t>
  </si>
  <si>
    <t>N742</t>
  </si>
  <si>
    <t>Alert: Payment adjusted based on a medically unlikely units edit.</t>
  </si>
  <si>
    <t>Alert: Payment adjusted based on an add-on code edit.</t>
  </si>
  <si>
    <t>Alert: Payment adjusted based on a global surgery edit.</t>
  </si>
  <si>
    <t>Alert: Payment adjusted based on a bilateral procedure edit.</t>
  </si>
  <si>
    <t>Alert: Payment adjusted based on an assistant-at-surgery edit.</t>
  </si>
  <si>
    <t>Alert: Payment adjusted based on a co-surgery edit.</t>
  </si>
  <si>
    <t>Missing/incomplete/invalid identity of the subscriber</t>
  </si>
  <si>
    <t>Alert: Payment adjusted based on applicable benchmark or target price</t>
  </si>
  <si>
    <t>Alert: Payment adjusted based on a risk adjustment factor</t>
  </si>
  <si>
    <t>Alert: Payment adjusted based on program integrity review</t>
  </si>
  <si>
    <t>Alert: Payment adjusted based on a provider performance program</t>
  </si>
  <si>
    <t>Alert: Payment adjusted based on the applicable cost containment provisions</t>
  </si>
  <si>
    <t>Alert: Payment adjusted based on an appeals process outcome.</t>
  </si>
  <si>
    <t>Alert: Payment adjusted based on a first-level appeal decision.</t>
  </si>
  <si>
    <t>Alert: Payment adjusted based on a second-level appeal decision.</t>
  </si>
  <si>
    <t>Alert: Payment adjusted based on an Administrative Law Judge (ALJ) decision.</t>
  </si>
  <si>
    <t>Alert: Payment adjusted based on a Medicare Appeals Council decision.</t>
  </si>
  <si>
    <t>Missing/incomplete/invalid documentation of the time the ambulance was called</t>
  </si>
  <si>
    <t>Alert: Payment adjusted based on a federal district court decision.</t>
  </si>
  <si>
    <t>Alert: Payment adjusted based on a reopening.</t>
  </si>
  <si>
    <t>Alert: Payment adjusted based on a clerical error correction.</t>
  </si>
  <si>
    <t>Alert: Payment adjusted based on new and material evidence.</t>
  </si>
  <si>
    <t>Alert: Payment adjusted based on a good cause determination.</t>
  </si>
  <si>
    <t>Alert: Payment adjusted based on a statistical sampling methodology.</t>
  </si>
  <si>
    <t>Alert: Payment adjusted based on a probe sample review.</t>
  </si>
  <si>
    <t>Alert: Payment adjusted based on an automated review.</t>
  </si>
  <si>
    <t>Missing/incomplete/invalid documentation of the time the patient was loaded</t>
  </si>
  <si>
    <t>Alert: Payment adjusted based on a targeted review.</t>
  </si>
  <si>
    <t>Alert: Payment adjusted based on a comprehensive error rate testing (CERT) review.</t>
  </si>
  <si>
    <t>Alert: Payment adjusted based on a unified program integrity contractor (UPIC) review.</t>
  </si>
  <si>
    <t>Alert: Payment adjusted based on a benefit integrity review.</t>
  </si>
  <si>
    <t>Alert: Payment adjusted based on a fraud investigation.</t>
  </si>
  <si>
    <t>Alert: Payment adjusted based on a provider enrollment review.</t>
  </si>
  <si>
    <t>Alert: Payment adjusted based on a provider revalidation review.</t>
  </si>
  <si>
    <t>Alert: Payment adjusted based on a payment suspension.</t>
  </si>
  <si>
    <t>Alert: Payment adjusted based on a post-payment review.</t>
  </si>
  <si>
    <t>Alert: Payment adjusted based on a targeted probe and educate (TPE) review.</t>
  </si>
  <si>
    <t>Alert: Additional information is needed; however, we will contact you if we need it</t>
  </si>
  <si>
    <t>Alert: Payment adjusted based on a Telehealth provision</t>
  </si>
  <si>
    <t>Alert: Payment adjusted based on remote patient monitoring provisions</t>
  </si>
  <si>
    <t>Alert: Payment adjusted based on chronic care management provisions</t>
  </si>
  <si>
    <t>Alert: Payment adjusted based on electronic health record (EHR) requirements.</t>
  </si>
  <si>
    <t>N793</t>
  </si>
  <si>
    <t>Alert: Payment adjusted based on e-prescribing requirements.</t>
  </si>
  <si>
    <t>Alert: Payment adjusted based on health information exchange (HIE) requirements.</t>
  </si>
  <si>
    <t>Alert: Payment adjusted based on patient access requirements.</t>
  </si>
  <si>
    <t>Alert: Payment adjusted based on provider directory requirements.</t>
  </si>
  <si>
    <t>Alert: Payment adjusted based on prior authorization interoperability requirements.</t>
  </si>
  <si>
    <t>Alert: Payment adjusted based on digital quality measurement requirements.</t>
  </si>
  <si>
    <t>Alert: Payment adjusted based on data submission requirements.</t>
  </si>
  <si>
    <t>Missing/incomplete/invalid patient weight</t>
  </si>
  <si>
    <t>Missing/incomplete/invalid certification</t>
  </si>
  <si>
    <t>Alert: Payment adjusted based on applicable payment reform model</t>
  </si>
  <si>
    <t>Alert: Payment adjusted based on the applicable Medicare Access and CHIP Reauthorization Act (MACRA) provisions</t>
  </si>
  <si>
    <t>Alert: Payment adjusted based on Merit-based Incentive Payment System (MIPS) provisions</t>
  </si>
  <si>
    <t>Alert: Payment adjusted based on Advanced Alternative Payment Model (APM) provisions</t>
  </si>
  <si>
    <t>Alert: Payment adjusted based on the applicable quality program requirement</t>
  </si>
  <si>
    <t>Alert: Payment adjusted based on cost performance category</t>
  </si>
  <si>
    <t>Payment adjustment based on Merit-based Incentive Payment System (MIPS)</t>
  </si>
  <si>
    <t>Alert: Payment adjusted based on improvement activities under MIPS</t>
  </si>
  <si>
    <t>Alert: Payment adjusted based on the Appropriate Use Criteria (AUC) program for advanced diagnostic imaging</t>
  </si>
  <si>
    <t>Alert: Procedure code was replaced during claim adjudication</t>
  </si>
  <si>
    <t>Alert: Payment adjusted based on radiation oncology (RO) model provisions</t>
  </si>
  <si>
    <t>Alert: Payment adjusted based on the End-Stage Renal Disease (ESRD) Treatment Choices (ETC) model</t>
  </si>
  <si>
    <t>Alert: Payment adjusted based on the Making Care Primary (MCP) model</t>
  </si>
  <si>
    <t>N814</t>
  </si>
  <si>
    <t>Alert: Payment adjusted based on the ACO Realizing Equity, Access, and Community Health (REACH) model.</t>
  </si>
  <si>
    <t>Alert: Payment adjusted based on the Community Health Access and Rural Transformation (CHART) model.</t>
  </si>
  <si>
    <t>Alert: Payment adjusted based on the Primary Care First (PCF) model.</t>
  </si>
  <si>
    <t>Alert: Payment adjusted based on the Direct Contracting model.</t>
  </si>
  <si>
    <t>Alert: Payment adjusted based on the Global and Professional Direct Contracting (GPDC) model.</t>
  </si>
  <si>
    <t>Missing/incomplete/invalid rendering/referring/supervising provider identifier</t>
  </si>
  <si>
    <t>Alert: Payment adjusted based on federal price transparency requirements</t>
  </si>
  <si>
    <t>Alert: Payment adjusted based on surprise billing protections</t>
  </si>
  <si>
    <t>Alert: Payment adjusted based on the applicable balance billing protections</t>
  </si>
  <si>
    <t>Adjusted based on the primary payer's payment</t>
  </si>
  <si>
    <t>Alert: Payment adjusted based on the secondary payer's payment.</t>
  </si>
  <si>
    <t>Alert: Payment adjusted based on the tertiary payer's payment.</t>
  </si>
  <si>
    <t>Alert: Payment adjusted based on Medigap crossover provisions.</t>
  </si>
  <si>
    <t>Alert: Payment adjusted based on TRICARE crossover provisions.</t>
  </si>
  <si>
    <t>Alert: Service was processed under the Global Surgery provisions</t>
  </si>
  <si>
    <t>Alert: Payment adjusted based on a retiree drug subsidy provision.</t>
  </si>
  <si>
    <t>Alert: Payment adjusted based on an initial coverage limit provision.</t>
  </si>
  <si>
    <t>Alert: Payment adjusted based on a true out-of-pocket (TrOOP) provision.</t>
  </si>
  <si>
    <t>Alert: Payment adjusted based on a creditable coverage provision.</t>
  </si>
  <si>
    <t>Alert: Payment adjusted based on a late enrollment penalty provision.</t>
  </si>
  <si>
    <t>Alert: Payment adjusted based on an income-related monthly adjustment amount (IRMAA).</t>
  </si>
  <si>
    <t>Alert: Payment adjusted based on a premium subsidy provision.</t>
  </si>
  <si>
    <t>Alert: Payment adjusted based on a risk corridor provision.</t>
  </si>
  <si>
    <t>Alert: Payment adjusted based on a risk adjustment transfer provision.</t>
  </si>
  <si>
    <t>Alert: Payment adjusted based on a quality improvement provision.</t>
  </si>
  <si>
    <t>Alert: Payment adjusted based on a social determinants of health (SDOH) provision.</t>
  </si>
  <si>
    <t>Alert: Payment adjusted based on a health-related social needs (HRSN) provision.</t>
  </si>
  <si>
    <t>Missing/incomplete/invalid carrier or payer name</t>
  </si>
  <si>
    <t>Missing/incomplete/invalid charge(s)</t>
  </si>
  <si>
    <t>Missing/incomplete/invalid initial treatment date</t>
  </si>
  <si>
    <t>Missing/incomplete/invalid frequency of treatment information</t>
  </si>
  <si>
    <t>Missing/incomplete/invalid date of initial treatment</t>
  </si>
  <si>
    <t>Services are not covered when billed with this procedure code, modifier, or revenue code</t>
  </si>
  <si>
    <t>Missing/incomplete/invalid ordering provider information</t>
  </si>
  <si>
    <t>Missing/incomplete/invalid group name/number</t>
  </si>
  <si>
    <t>Missing/incomplete/invalid operating physician name/identifier</t>
  </si>
  <si>
    <t>Missing/incomplete/invalid facility information</t>
  </si>
  <si>
    <t>This benefit/service is not covered unless specific criteria are met</t>
  </si>
  <si>
    <t>Missing/incomplete/invalid hospital-based or freestanding facility designation</t>
  </si>
  <si>
    <t>Missing/incomplete/invalid date of medical event</t>
  </si>
  <si>
    <t>This claim/service is not payable under this payer/contractor. Submit to the correct payer.</t>
  </si>
  <si>
    <t>This service/procedure requires that a qualifying service/procedure be received and covered.</t>
  </si>
  <si>
    <t>Status Code</t>
  </si>
  <si>
    <t>Action Code</t>
  </si>
  <si>
    <t>Coding Assistance Required</t>
  </si>
  <si>
    <t>Source</t>
  </si>
  <si>
    <t>Category</t>
  </si>
  <si>
    <t>Sub-Category</t>
  </si>
  <si>
    <t>Bundled</t>
  </si>
  <si>
    <t>Exception</t>
  </si>
  <si>
    <t>Analyse</t>
  </si>
  <si>
    <t>This Procedure is not Paid Separately</t>
  </si>
  <si>
    <t>The payer is saying the billed procedure cannot be paid alone. It must be linked with another qualifying service that supports or precedes it.</t>
  </si>
  <si>
    <t>This means the payer considers the billed service part of another procedure performed during the same encounter. Therefore, it is bundled into the payment of the primary procedure and not reimbursed individually.</t>
  </si>
  <si>
    <t>Payments Included with Another CPT</t>
  </si>
  <si>
    <t>This indicates the payer considers the billed service part of another procedure that has already been paid. Therefore, the payer does not reimburse it separately.</t>
  </si>
  <si>
    <t>Mutually Exclusive Procedures</t>
  </si>
  <si>
    <t>The payer's system detected a conflict between two procedures billed on the same date of service. Per CMS National Correct Coding Initiative (NCCI) guidelines, these procedures cannot be billed together unless proper modifiers are applied with supporting documentation proving the procedures were clinically distinct.</t>
  </si>
  <si>
    <t>Qualifying / Prerequisite Service Not Received</t>
  </si>
  <si>
    <t>CARC Description</t>
  </si>
  <si>
    <t>RARC Discription</t>
  </si>
  <si>
    <t>RARC Code</t>
  </si>
  <si>
    <t>Meaning of Denial</t>
  </si>
  <si>
    <t>This indicates that the service or drug was processed according to the payer’s managed care contract, and the amount billed exceeds what is allowed under the contract terms. The payer adjusts the claim based on the contracted reimbursement rate.</t>
  </si>
  <si>
    <t>Service not Payable per Managed Care Contract</t>
  </si>
  <si>
    <t>Missing Plan Information for Other Insurance</t>
  </si>
  <si>
    <t>No Other Payer Found | Recommend Balance Transfer to Patient</t>
  </si>
  <si>
    <t>Web</t>
  </si>
  <si>
    <t>Assistance Needed From NSHA</t>
  </si>
  <si>
    <t>Eligibility / Coverage</t>
  </si>
  <si>
    <t>This claim/service is not payable under this payer/contractor. Submit the claim to the correct payer</t>
  </si>
  <si>
    <t>Wrong Payer Billed</t>
  </si>
  <si>
    <t>This indicates the claim was submitted to a payer that is not responsible for the service. The insurance company processed the claim and determined that another payer should be billed instead.The payer is essentially informing the provider that they are not the correct insurance for this service or patient coverage.</t>
  </si>
  <si>
    <t>Jorie Resolved</t>
  </si>
  <si>
    <t>Already Paid by Correct Insurance | Ignored</t>
  </si>
  <si>
    <t>Primary Carrier EOB Missing</t>
  </si>
  <si>
    <t>Verified | Submitted to Correct Insurance</t>
  </si>
  <si>
    <t>This remark clarifies that the payer is acting as a secondary insurer, but the claim was submitted without proper primary payer information or payment details. Secondary insurance requires primary payer details and EOB information to process the claim under Coordination of Benefits (COB).</t>
  </si>
  <si>
    <t>This remark clarifies that the payer requires the Explanation of Benefits (EOB) from the primary insurance payer in order to process the claim. This typically occurs when the payer is acting as a secondary payer under Coordination of Benefits (COB) or Medicare Secondary Payer (MSP) rules.</t>
  </si>
  <si>
    <t>Missing/incomplete/invalid Patient identifier</t>
  </si>
  <si>
    <t>Member ID Not Found |Recommend Balance Transfer to Patient</t>
  </si>
  <si>
    <t>Call</t>
  </si>
  <si>
    <t>This indicates the claim was submitted to a payer who is not responsible for processing the claim. The payer has determined that another insurance carrier or payer entity should receive the claim.</t>
  </si>
  <si>
    <t>This indicates the patient’s insurance coverage was inactive or terminated on the Date of Service (DOS). Because the policy was no longer active, the payer considers the service not eligible for payment under that insurance plan.</t>
  </si>
  <si>
    <t>Expenses Incurred After Coverage Terminated</t>
  </si>
  <si>
    <t>Patient not Enrolled in the Billing Provider</t>
  </si>
  <si>
    <t>This remark clarifies that the patient was not assigned or enrolled with the billing provider under the managed care plan on the Date of Service (DOS).Many managed care plans require patients to select or be assigned to a specific provider (PCP or participating provider) within the network. If the patient receives services from a provider outside their assigned network or without proper enrollment, the payer denies the claim.</t>
  </si>
  <si>
    <t>This remark clarifies that the payer believes another insurance plan exists, but the plan information was not submitted on the claim.</t>
  </si>
  <si>
    <t>This remark clarifies that the patient identification information submitted on the claim is missing, incorrect, or incomplete, preventing the payer from locating the patient’s policy or account in their system.
Patient identifiers commonly include:
Member ID / Policy number
Patient name
Date of birth
Patient relationship to subscriber</t>
  </si>
  <si>
    <t>This remark clarifies that the claim was sent to the wrong payer address, payer ID, or processing entity. The payer rejected the claim because it should have been submitted to a different payer or claim processing channel.</t>
  </si>
  <si>
    <t>Work-Related Injury Indicated</t>
  </si>
  <si>
    <t>Patient Cannot be Identified as Our Insured</t>
  </si>
  <si>
    <t>Expenses Incurred Prior to Coverage</t>
  </si>
  <si>
    <t>This indicates the service was provided before the patient’s insurance coverage became effective. Since the policy had not yet started on the Date of Service (DOS), the payer considers the claim not eligible for reimbursement under that insurance plan.</t>
  </si>
  <si>
    <t>Specific federal/state/local program may cover this service through another payer.</t>
  </si>
  <si>
    <t>This indicates that the payer has already received and processed the same claim or service previously. When the same claim information is submitted again, the payer identifies it as a duplicate submission and denies it.</t>
  </si>
  <si>
    <t>Duplicate Claim</t>
  </si>
  <si>
    <t>Procedure Already Paid | Ignored</t>
  </si>
  <si>
    <t>Duplicate Billing</t>
  </si>
  <si>
    <t>Corrected Claim Resubmission</t>
  </si>
  <si>
    <t>Duplicate Charges | Required Adjustment</t>
  </si>
  <si>
    <t>Payment Reversal</t>
  </si>
  <si>
    <t>Charge exceeds fee schedule/maximum allowable or contracted/legislated fee arrangement.</t>
  </si>
  <si>
    <t>Reversal of Previous Payment</t>
  </si>
  <si>
    <t>No Deductible/Copay Medicaid</t>
  </si>
  <si>
    <t>Paid</t>
  </si>
  <si>
    <t>No deductible may be collected as patient is a Medicaid/Qualified Medicare Beneficiary. Review your records for any wrongfully collected deductible.</t>
  </si>
  <si>
    <t>No coinsurance may be collected as patient is a Medicaid/Qualified Medicare Beneficiary. Review your records for any wrongfully collected coinsurance.</t>
  </si>
  <si>
    <t>Medicare Multiple Procedure Payment Reduction</t>
  </si>
  <si>
    <t>Workers' Comp Fee Schedule Adjustment</t>
  </si>
  <si>
    <t>Workers' compensation jurisdictional fee schedule adjustment.</t>
  </si>
  <si>
    <t>Primary Paid More Than Secondary Allowable</t>
  </si>
  <si>
    <t>Exceeded Units/Benefits Exhaustion</t>
  </si>
  <si>
    <t>Procedure Already Paid | Waiting Payment Posting</t>
  </si>
  <si>
    <t>Missing/incomplete/invalid Patient Name</t>
  </si>
  <si>
    <t>Denial Reason</t>
  </si>
  <si>
    <t>HTML Code</t>
  </si>
  <si>
    <t>Output</t>
  </si>
  <si>
    <t>ASC Quality Reporting Program</t>
  </si>
  <si>
    <t>Client Assistance Required</t>
  </si>
  <si>
    <t>Analyse|Web|Call</t>
  </si>
  <si>
    <t>APG Rate Code Missing</t>
  </si>
  <si>
    <t>&lt;tr data-status="ASC Quality Reporting Program" data-action="Client Assistance Required" data-source="Analyse|Web|Call" data-category="Assistance Needed From NSHA" data-sub="APG Rate Code Missing" data-reason="Payment adjusted based on the Ambulatory Surgical Center (ASC) Quality Reporting Program." data-carc="96" data-rarc="N381"&gt;
  &lt;td class="c-code"&gt;ASC Quality Reporting Program&lt;/td&gt;
  &lt;td class="c-code"&gt;Client Assistance Required&lt;/td&gt;
  &lt;td class="c-code"&gt;Analyse|Web|Call&lt;/td&gt;
  &lt;td&gt;&lt;span class="chip chip-amber"&gt;⚙ Assistance Needed From NSHA&lt;/span&gt;&lt;/td&gt;
  &lt;td class="c-code"&gt;APG Rate Code Missing&lt;/td&gt;
  &lt;td class="c-wrap"&gt;&lt;span class="deny-text"&gt;Payment adjusted based on the Ambulatory Surgical Center (ASC) Quality Reporting Program.&lt;/span&gt;&lt;/td&gt;
  &lt;td&gt;&lt;span class="code-pill carc"&gt;96&lt;/span&gt;&lt;/td&gt;
  &lt;td&gt;&lt;span class="code-pill rarc"&gt;N381&lt;/span&gt;&lt;/td&gt;
&lt;/tr&gt;</t>
  </si>
  <si>
    <t>Covered By Another Payer/COB</t>
  </si>
  <si>
    <t>&lt;tr data-status="Covered By Another Payer/COB" data-action="No Other Payer Found | Recommend Balance Transfer to Patient" data-source="Analyse|Web|Call" data-category="Assistance Needed From NSHA" data-sub="Eligibility / Coverage" data-reason="Claim/service not covered by this payer/contractor. You must send the claim/service to the correct payer/contractor" data-carc="109" data-rarc="N193"&gt;
  &lt;td class="c-code"&gt;Covered By Another Payer/COB&lt;/td&gt;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rarc"&gt;N193&lt;/span&gt;&lt;/td&gt;
&lt;/tr&gt;</t>
  </si>
  <si>
    <t>Dependent Not Eligible</t>
  </si>
  <si>
    <t>&lt;tr data-status="Dependent Not Eligible" data-action="No Other Payer Found | Recommend Balance Transfer to Patient" data-source="Analyse|Web|Call" data-category="Assistance Needed From NSHA" data-sub="Eligibility / Coverage" data-reason="Non-covered charge(s)." data-carc="32" data-rarc="N52"&gt;
  &lt;td class="c-code"&gt;Dependent Not Eligible&lt;/td&gt;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class="deny-text"&gt;Non-covered charge(s).&lt;/span&gt;&lt;/td&gt;
  &lt;td&gt;&lt;span class="code-pill carc"&gt;32&lt;/span&gt;&lt;/td&gt;
  &lt;td&gt;&lt;span class="code-pill rarc"&gt;N52&lt;/span&gt;&lt;/td&gt;
&lt;/tr&gt;</t>
  </si>
  <si>
    <t>&lt;tr data-status="Dependent Not Eligible" data-action="Verified | Submitted to Correct Insurance" data-source="Analyse|Web|Call" data-category="Assistance Needed From NSHA" data-sub="Eligibility / Coverage" data-reason="Non-covered charge(s)." data-carc="32" data-rarc="N52"&gt;
  &lt;td class="c-code"&gt;Dependent Not Eligible&lt;/td&gt;
  &lt;td class="c-code"&gt;Verified | Submitted to Correct Insurance&lt;/td&gt;
  &lt;td class="c-code"&gt;Analyse|Web|Call&lt;/td&gt;
  &lt;td&gt;&lt;span class="chip chip-amber"&gt;⚙ Assistance Needed From NSHA&lt;/span&gt;&lt;/td&gt;
  &lt;td class="c-code"&gt;Eligibility / Coverage&lt;/td&gt;
  &lt;td class="c-wrap"&gt;&lt;span class="deny-text"&gt;Non-covered charge(s).&lt;/span&gt;&lt;/td&gt;
  &lt;td&gt;&lt;span class="code-pill carc"&gt;32&lt;/span&gt;&lt;/td&gt;
  &lt;td&gt;&lt;span class="code-pill rarc"&gt;N52&lt;/span&gt;&lt;/td&gt;
&lt;/tr&gt;</t>
  </si>
  <si>
    <t>To Fix split claim</t>
  </si>
  <si>
    <t>&lt;tr data-status="Duplicate Claim" data-action="Client Assistance Required" data-source="Analyse|Web|Call" data-category="Assistance Needed From NSHA" data-sub="To Fix split claim" data-reason="Exact duplicate claim/service" data-carc="CO 18" data-rarc="N389"&gt;
  &lt;td class="c-code"&gt;Duplicate Claim&lt;/td&gt;
  &lt;td class="c-code"&gt;Client Assistance Required&lt;/td&gt;
  &lt;td class="c-code"&gt;Analyse|Web|Call&lt;/td&gt;
  &lt;td&gt;&lt;span class="chip chip-amber"&gt;⚙ Assistance Needed From NSHA&lt;/span&gt;&lt;/td&gt;
  &lt;td class="c-code"&gt;To Fix split claim&lt;/td&gt;
  &lt;td class="c-wrap"&gt;&lt;span class="deny-text"&gt;Exact duplicate claim/service&lt;/span&gt;&lt;/td&gt;
  &lt;td&gt;&lt;span class="code-pill carc"&gt;CO 18&lt;/span&gt;&lt;/td&gt;
  &lt;td&gt;&lt;span class="code-pill rarc"&gt;N389&lt;/span&gt;&lt;/td&gt;
&lt;/tr&gt;</t>
  </si>
  <si>
    <t>Exceeded Units/Visits</t>
  </si>
  <si>
    <t>&lt;tr data-status="Exceeded Units/Benefits Exhaustion" data-action="Client Assistance Required" data-source="Analyse|Web|Call" data-category="Assistance Needed From NSHA" data-sub="Exceeded Units/Visits" data-reason="Benefit maximum for this time period or occurrence has been reached" data-carc="CO 119" data-rarc="N362"&gt;
  &lt;td class="c-code"&gt;Exceeded Units/Benefits Exhaustion&lt;/td&gt;
  &lt;td class="c-code"&gt;Client Assistance Required&lt;/td&gt;
  &lt;td class="c-code"&gt;Analyse|Web|Call&lt;/td&gt;
  &lt;td&gt;&lt;span class="chip chip-amber"&gt;⚙ Assistance Needed From NSHA&lt;/span&gt;&lt;/td&gt;
  &lt;td class="c-code"&gt;Exceeded Units/Visits&lt;/td&gt;
  &lt;td class="c-wrap"&gt;&lt;span class="deny-text"&gt;Benefit maximum for this time period or occurrence has been reached&lt;/span&gt;&lt;/td&gt;
  &lt;td&gt;&lt;span class="code-pill carc"&gt;CO 119&lt;/span&gt;&lt;/td&gt;
  &lt;td&gt;&lt;span class="code-pill rarc"&gt;N362&lt;/span&gt;&lt;/td&gt;
&lt;/tr&gt;</t>
  </si>
  <si>
    <t>CO 151</t>
  </si>
  <si>
    <t>&lt;tr data-status="Exceeded Units/Benefits Exhaustion" data-action="Client Assistance Required" data-source="Analyse|Web|Call" data-category="Assistance Needed From NSHA" data-sub="Exceeded Units/Visits" data-reason="Payment adjusted because the payer deems the information submitted does not support this many/frequency of services" data-carc="CO 151" data-rarc="N317"&gt;
  &lt;td class="c-code"&gt;Exceeded Units/Benefits Exhaustion&lt;/td&gt;
  &lt;td class="c-code"&gt;Client Assistance Required&lt;/td&gt;
  &lt;td class="c-code"&gt;Analyse|Web|Call&lt;/td&gt;
  &lt;td&gt;&lt;span class="chip chip-amber"&gt;⚙ Assistance Needed From NSHA&lt;/span&gt;&lt;/td&gt;
  &lt;td class="c-code"&gt;Exceeded Units/Visits&lt;/td&gt;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t>
  </si>
  <si>
    <t>&lt;tr data-status="Expenses Incurred After Coverage Terminated" data-action="No Other Payer Found | Recommend Balance Transfer to Patient" data-source="Analyse|Web|Call" data-category="Assistance Needed From NSHA" data-sub="Eligibility / Coverage" data-reason="Expenses incurred after coverage terminated" data-carc="27" data-rarc="N30"&gt;
  &lt;td class="c-code"&gt;Expenses Incurred After Coverage Terminated&lt;/td&gt;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class="deny-text"&gt;Expenses incurred after coverage terminated&lt;/span&gt;&lt;/td&gt;
  &lt;td&gt;&lt;span class="code-pill carc"&gt;27&lt;/span&gt;&lt;/td&gt;
  &lt;td&gt;&lt;span class="code-pill rarc"&gt;N30&lt;/span&gt;&lt;/td&gt;
&lt;/tr&gt;</t>
  </si>
  <si>
    <t>&lt;tr data-status="Expenses Incurred Prior to Coverage" data-action="No Other Payer Found | Recommend Balance Transfer to Patient" data-source="Analyse|Web|Call" data-category="Assistance Needed From NSHA" data-sub="Eligibility / Coverage" data-reason="Expenses incurred prior to coverage." data-carc="26" data-rarc="N30"&gt;
  &lt;td class="c-code"&gt;Expenses Incurred Prior to Coverage&lt;/td&gt;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class="deny-text"&gt;Expenses incurred prior to coverage.&lt;/span&gt;&lt;/td&gt;
  &lt;td&gt;&lt;span class="code-pill carc"&gt;26&lt;/span&gt;&lt;/td&gt;
  &lt;td&gt;&lt;span class="code-pill rarc"&gt;N30&lt;/span&gt;&lt;/td&gt;
&lt;/tr&gt;</t>
  </si>
  <si>
    <t>Authorization/Referral</t>
  </si>
  <si>
    <t>&lt;tr data-status="Invalid Authorization" data-action="Client Assistance Required" data-source="Analyse|Web|Call" data-category="Assistance Needed From NSHA" data-sub="Authorization/Referral" data-reason="Precertification/authorization/notification/pre-treatment absent." data-carc="CO 197" data-rarc="M62"&gt;
  &lt;td class="c-code"&gt;Invalid Authorization&lt;/td&gt;
  &lt;td class="c-code"&gt;Client Assistance Required&lt;/td&gt;
  &lt;td class="c-code"&gt;Analyse|Web|Call&lt;/td&gt;
  &lt;td&gt;&lt;span class="chip chip-amber"&gt;⚙ Assistance Needed From NSHA&lt;/span&gt;&lt;/td&gt;
  &lt;td class="c-code"&gt;Authorization/Referral&lt;/td&gt;
  &lt;td class="c-wrap"&gt;&lt;span class="deny-text"&gt;Precertification/authorization/notification/pre-treatment absent.&lt;/span&gt;&lt;/td&gt;
  &lt;td&gt;&lt;span class="code-pill carc"&gt;CO 197&lt;/span&gt;&lt;/td&gt;
  &lt;td&gt;&lt;span class="code-pill rarc"&gt;M62&lt;/span&gt;&lt;/td&gt;
&lt;/tr&gt;</t>
  </si>
  <si>
    <t>CO 39</t>
  </si>
  <si>
    <t>&lt;tr data-status="Invalid Authorization" data-action="Client Assistance Required" data-source="Analyse|Web|Call" data-category="Assistance Needed From NSHA" data-sub="Authorization/Referral" data-reason="Services denied at the time authorization/pre-certification was requested." data-carc="CO 39" data-rarc="M62"&gt;
  &lt;td class="c-code"&gt;Invalid Authorization&lt;/td&gt;
  &lt;td class="c-code"&gt;Client Assistance Required&lt;/td&gt;
  &lt;td class="c-code"&gt;Analyse|Web|Call&lt;/td&gt;
  &lt;td&gt;&lt;span class="chip chip-amber"&gt;⚙ Assistance Needed From NSHA&lt;/span&gt;&lt;/td&gt;
  &lt;td class="c-code"&gt;Authorization/Referral&lt;/td&gt;
  &lt;td class="c-wrap"&gt;&lt;span class="deny-text"&gt;Services denied at the time authorization/pre-certification was requested.&lt;/span&gt;&lt;/td&gt;
  &lt;td&gt;&lt;span class="code-pill carc"&gt;CO 39&lt;/span&gt;&lt;/td&gt;
  &lt;td&gt;&lt;span class="code-pill rarc"&gt;M62&lt;/span&gt;&lt;/td&gt;
&lt;/tr&gt;</t>
  </si>
  <si>
    <t>&lt;tr data-status="Missing Plan Information for Other Insurance" data-action="No Other Payer Found | Recommend Balance Transfer to Patient" data-source="Analyse|Web|Call" data-category="Assistance Needed From NSHA" data-sub="Eligibility / Coverage" data-reason="Information requested from the patient/insured/responsible party was not provided or was insufficient/incomplete" data-carc="227" data-rarc="MA92"&gt;
  &lt;td class="c-code"&gt;Missing Plan Information for Other Insurance&lt;/td&gt;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class="deny-text"&gt;Information requested from the patient/insured/responsible party was not provided or was insufficient/incomplete&lt;/span&gt;&lt;/td&gt;
  &lt;td&gt;&lt;span class="code-pill carc"&gt;227&lt;/span&gt;&lt;/td&gt;
  &lt;td&gt;&lt;span class="code-pill rarc"&gt;MA92&lt;/span&gt;&lt;/td&gt;
&lt;/tr&gt;</t>
  </si>
  <si>
    <t>Missing/incomplete/Invalid Type of Bill</t>
  </si>
  <si>
    <t>Incorrect/Invalid/Missing POS|TOB</t>
  </si>
  <si>
    <t>CO 171</t>
  </si>
  <si>
    <t>&lt;tr data-status="Missing/incomplete/Invalid Type of Bill" data-action="Client Assistance Required" data-source="Analyse|Web|Call" data-category="Assistance Needed From NSHA" data-sub="Incorrect/Invalid/Missing POS|TOB" data-reason="Payment is denied when performed/billed by this type of provider in this type of facility" data-carc="CO 171" data-rarc="MA30"&gt;
  &lt;td class="c-code"&gt;Missing/incomplete/Invalid Type of Bill&lt;/td&gt;
  &lt;td class="c-code"&gt;Client Assistance Required&lt;/td&gt;
  &lt;td class="c-code"&gt;Analyse|Web|Call&lt;/td&gt;
  &lt;td&gt;&lt;span class="chip chip-amber"&gt;⚙ Assistance Needed From NSHA&lt;/span&gt;&lt;/td&gt;
  &lt;td class="c-code"&gt;Incorrect/Invalid/Missing POS|TOB&lt;/td&gt;
  &lt;td class="c-wrap"&gt;&lt;span class="deny-text"&gt;Payment is denied when performed/billed by this type of provider in this type of facility&lt;/span&gt;&lt;/td&gt;
  &lt;td&gt;&lt;span class="code-pill carc"&gt;CO 171&lt;/span&gt;&lt;/td&gt;
  &lt;td&gt;&lt;span class="code-pill rarc"&gt;MA30&lt;/span&gt;&lt;/td&gt;
&lt;/tr&gt;</t>
  </si>
  <si>
    <t>Corrected Claim Resubmitted</t>
  </si>
  <si>
    <t>&lt;tr data-status="Missing/incomplete/Invalid Type of Bill" data-action="Corrected Claim Resubmitted" data-source="Analyse|Web|Call" data-category="Assistance Needed From NSHA" data-sub="Incorrect/Invalid/Missing POS|TOB" data-reason="Payment is denied when performed/billed by this type of provider in this type of facility" data-carc="CO 171" data-rarc="MA30"&gt;
  &lt;td class="c-code"&gt;Missing/incomplete/Invalid Type of Bill&lt;/td&gt;
  &lt;td class="c-code"&gt;Corrected Claim Resubmitted&lt;/td&gt;
  &lt;td class="c-code"&gt;Analyse|Web|Call&lt;/td&gt;
  &lt;td&gt;&lt;span class="chip chip-amber"&gt;⚙ Assistance Needed From NSHA&lt;/span&gt;&lt;/td&gt;
  &lt;td class="c-code"&gt;Incorrect/Invalid/Missing POS|TOB&lt;/td&gt;
  &lt;td class="c-wrap"&gt;&lt;span class="deny-text"&gt;Payment is denied when performed/billed by this type of provider in this type of facility&lt;/span&gt;&lt;/td&gt;
  &lt;td&gt;&lt;span class="code-pill carc"&gt;CO 171&lt;/span&gt;&lt;/td&gt;
  &lt;td&gt;&lt;span class="code-pill rarc"&gt;MA30&lt;/span&gt;&lt;/td&gt;
&lt;/tr&gt;</t>
  </si>
  <si>
    <t>New Patient Qualifications were not met</t>
  </si>
  <si>
    <t>Procedure Related</t>
  </si>
  <si>
    <t>&lt;tr data-status="New Patient Qualifications were not met" data-action="Client Assistance Required" data-source="Analyse|Web|Call" data-category="Assistance Needed From NSHA" data-sub="Procedure Related" data-reason="Claim/service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 data-carc="16" data-rarc="M51"&gt;
  &lt;td class="c-code"&gt;New Patient Qualifications were not met&lt;/td&gt;
  &lt;td class="c-code"&gt;Client Assistance Required&lt;/td&gt;
  &lt;td class="c-code"&gt;Analyse|Web|Call&lt;/td&gt;
  &lt;td&gt;&lt;span class="chip chip-amber"&gt;⚙ Assistance Needed From NSHA&lt;/span&gt;&lt;/td&gt;
  &lt;td class="c-code"&gt;Procedure Related&lt;/td&gt;
  &lt;td class="c-wrap"&gt;&lt;span class="deny-text"&gt;Claim/service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present.&lt;/span&gt;&lt;/td&gt;
  &lt;td&gt;&lt;span class="code-pill carc"&gt;16&lt;/span&gt;&lt;/td&gt;
  &lt;td&gt;&lt;span class="code-pill rarc"&gt;M51&lt;/span&gt;&lt;/td&gt;
&lt;/tr&gt;</t>
  </si>
  <si>
    <t>No Denial | Claim Paid</t>
  </si>
  <si>
    <t>No Secondary Active - Bal Transfer to Patient</t>
  </si>
  <si>
    <t>&lt;tr data-status="No Denial | Claim Paid" data-action="No Other Payer Found | Recommend Balance Transfer to Patient" data-source="Analyse|Web|Call" data-category="Assistance Needed From NSHA" data-sub="No Secondary Active - Bal Transfer to Patient" data-reason="Services not provided by network/primary care providers." data-carc="242" data-rarc="N408"&gt;
  &lt;td class="c-code"&gt;No Denial | Claim Paid&lt;/td&gt;
  &lt;td class="c-code"&gt;No Other Payer Found | Recommend Balance Transfer to Patient&lt;/td&gt;
  &lt;td class="c-code"&gt;Analyse|Web|Call&lt;/td&gt;
  &lt;td&gt;&lt;span class="chip chip-amber"&gt;⚙ Assistance Needed From NSHA&lt;/span&gt;&lt;/td&gt;
  &lt;td class="c-code"&gt;No Secondary Active - Bal Transfer to Patient&lt;/td&gt;
  &lt;td class="c-wrap"&gt;&lt;span class="deny-text"&gt;Services not provided by network/primary care providers.&lt;/span&gt;&lt;/td&gt;
  &lt;td&gt;&lt;span class="code-pill carc"&gt;242&lt;/span&gt;&lt;/td&gt;
  &lt;td&gt;&lt;span class="code-pill rarc"&gt;N408&lt;/span&gt;&lt;/td&gt;
&lt;/tr&gt;</t>
  </si>
  <si>
    <t>Payment Already Posted In CPSI | Ignored</t>
  </si>
  <si>
    <t>&lt;tr data-status="No Denial | Claim Paid" data-action="Payment Already Posted In CPSI | Ignored" data-source="Analyse|Web|Call" data-category="Assistance Needed From NSHA" data-sub="Paid" data-reason="Payment adjusted because the payer deems the information submitted does not support this many/frequency of services" data-carc="CO 151" data-rarc="N317"&gt;
  &lt;td class="c-code"&gt;No Denial | Claim Paid&lt;/td&gt;
  &lt;td class="c-code"&gt;Payment Already Posted In CPSI | Ignored&lt;/td&gt;
  &lt;td class="c-code"&gt;Analyse|Web|Call&lt;/td&gt;
  &lt;td&gt;&lt;span class="chip chip-amber"&gt;⚙ Assistance Needed From NSHA&lt;/span&gt;&lt;/td&gt;
  &lt;td class="c-code"&gt;Paid&lt;/td&gt;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t>
  </si>
  <si>
    <t>Non-Covered Service Under Patient</t>
  </si>
  <si>
    <t>Non-Covered Service</t>
  </si>
  <si>
    <t>&lt;tr data-status="Non-Covered Service Under Patient" data-action="No Other Payer Found | Recommend Balance Transfer to Patient" data-source="Analyse|Web|Call" data-category="Assistance Needed From NSHA" data-sub="Non-Covered Service" data-reason="This drug/service/supply is not included in the fee schedule or contracted/legislated fee arrangement." data-carc="96" data-rarc="N448"&gt;
  &lt;td class="c-code"&gt;Non-Covered Service Under Patient&lt;/td&gt;
  &lt;td class="c-code"&gt;No Other Payer Found | Recommend Balance Transfer to Patient&lt;/td&gt;
  &lt;td class="c-code"&gt;Analyse|Web|Call&lt;/td&gt;
  &lt;td&gt;&lt;span class="chip chip-amber"&gt;⚙ Assistance Needed From NSHA&lt;/span&gt;&lt;/td&gt;
  &lt;td class="c-code"&gt;Non-Covered Service&lt;/td&gt;
  &lt;td class="c-wrap"&gt;&lt;span class="deny-text"&gt;This drug/service/supply is not included in the fee schedule or contracted/legislated fee arrangement.&lt;/span&gt;&lt;/td&gt;
  &lt;td&gt;&lt;span class="code-pill carc"&gt;96&lt;/span&gt;&lt;/td&gt;
  &lt;td&gt;&lt;span class="code-pill rarc"&gt;N448&lt;/span&gt;&lt;/td&gt;
&lt;/tr&gt;</t>
  </si>
  <si>
    <t>Non-Covered Service Under Provider</t>
  </si>
  <si>
    <t>This service is not covered when performed by this provider.</t>
  </si>
  <si>
    <t>&lt;tr data-status="Non-Covered Service Under Provider" data-action="Client Assistance Required" data-source="Analyse|Web|Call" data-category="Assistance Needed From NSHA" data-sub="Non-Covered Service" data-reason="This service is not covered when performed by this provider." data-carc="96" data-rarc="MA56"&gt;
  &lt;td class="c-code"&gt;Non-Covered Service Under Provider&lt;/td&gt;
  &lt;td class="c-code"&gt;Client Assistance Required&lt;/td&gt;
  &lt;td class="c-code"&gt;Analyse|Web|Call&lt;/td&gt;
  &lt;td&gt;&lt;span class="chip chip-amber"&gt;⚙ Assistance Needed From NSHA&lt;/span&gt;&lt;/td&gt;
  &lt;td class="c-code"&gt;Non-Covered Service&lt;/td&gt;
  &lt;td class="c-wrap"&gt;&lt;span class="deny-text"&gt;This service is not covered when performed by this provider.&lt;/span&gt;&lt;/td&gt;
  &lt;td&gt;&lt;span class="code-pill carc"&gt;96&lt;/span&gt;&lt;/td&gt;
  &lt;td&gt;&lt;span class="code-pill rarc"&gt;MA56&lt;/span&gt;&lt;/td&gt;
&lt;/tr&gt;</t>
  </si>
  <si>
    <t>Occurrence Code/Date Related</t>
  </si>
  <si>
    <t>&lt;tr data-status="Occurrence Code/Date Related" data-action="Client Assistance Required" data-source="Analyse|Web|Call" data-category="Assistance Needed From NSHA" data-sub="Occurrence Code/Date Related" data-reason="Claim/service lacks information or has submission/billing error(s) which is needed for adjudication" data-carc="16" data-rarc="MA100"&gt;
  &lt;td class="c-code"&gt;Occurrence Code/Date Related&lt;/td&gt;
  &lt;td class="c-code"&gt;Client Assistance Required&lt;/td&gt;
  &lt;td class="c-code"&gt;Analyse|Web|Call&lt;/td&gt;
  &lt;td&gt;&lt;span class="chip chip-amber"&gt;⚙ Assistance Needed From NSHA&lt;/span&gt;&lt;/td&gt;
  &lt;td class="c-code"&gt;Occurrence Code/Date Related&lt;/td&gt;
  &lt;td class="c-wrap"&gt;&lt;span class="deny-text"&gt;Claim/service lacks information or has submission/billing error(s) which is needed for adjudication&lt;/span&gt;&lt;/td&gt;
  &lt;td&gt;&lt;span class="code-pill carc"&gt;16&lt;/span&gt;&lt;/td&gt;
  &lt;td&gt;&lt;span class="code-pill rarc"&gt;MA100&lt;/span&gt;&lt;/td&gt;
&lt;/tr&gt;</t>
  </si>
  <si>
    <t>&lt;tr data-status="Patient Cannot be Identified as Our Insured" data-action="Member ID Not Found |Recommend Balance Transfer to Patient" data-source="Analyse|Web|Call" data-category="Assistance Needed From NSHA" data-sub="Eligibility / Coverage" data-reason="Claim/service lacks information or has submission/billing error(s) which is needed for adjudication" data-carc="16" data-rarc="N382"&gt;
  &lt;td class="c-code"&gt;Patient Cannot be Identified as Our Insured&lt;/td&gt;
  &lt;td class="c-code"&gt;Member ID Not Found |Recommend Balance Transfer to Patient&lt;/td&gt;
  &lt;td class="c-code"&gt;Analyse|Web|Call&lt;/td&gt;
  &lt;td&gt;&lt;span class="chip chip-amber"&gt;⚙ Assistance Needed From NSHA&lt;/span&gt;&lt;/td&gt;
  &lt;td class="c-code"&gt;Eligibility / Coverage&lt;/td&gt;
  &lt;td class="c-wrap"&gt;&lt;span class="deny-text"&gt;Claim/service lacks information or has submission/billing error(s) which is needed for adjudication&lt;/span&gt;&lt;/td&gt;
  &lt;td&gt;&lt;span class="code-pill carc"&gt;16&lt;/span&gt;&lt;/td&gt;
  &lt;td&gt;&lt;span class="code-pill rarc"&gt;N382&lt;/span&gt;&lt;/td&gt;
&lt;/tr&gt;</t>
  </si>
  <si>
    <t>&lt;tr data-status="Patient Cannot be Identified as Our Insured" data-action="No Other Payer Found | Recommend Balance Transfer to Patient" data-source="Analyse|Web|Call" data-category="Assistance Needed From NSHA" data-sub="Eligibility / Coverage" data-reason="Patient cannot be identified as our insured" data-carc="31" data-rarc="MA61"&gt;
  &lt;td class="c-code"&gt;Patient Cannot be Identified as Our Insured&lt;/td&gt;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class="deny-text"&gt;Patient cannot be identified as our insured&lt;/span&gt;&lt;/td&gt;
  &lt;td&gt;&lt;span class="code-pill carc"&gt;31&lt;/span&gt;&lt;/td&gt;
  &lt;td&gt;&lt;span class="code-pill rarc"&gt;MA61&lt;/span&gt;&lt;/td&gt;
&lt;/tr&gt;</t>
  </si>
  <si>
    <t>Patient Not Found CPSI</t>
  </si>
  <si>
    <t>Patient Account Numbe Invalid</t>
  </si>
  <si>
    <t>-</t>
  </si>
  <si>
    <t>&lt;tr data-status="Patient Not Found CPSI" data-action="Client Assistance Required" data-source="Analyse|Web|Call" data-category="Assistance Needed From NSHA" data-sub="Patient Account Numbe Invalid" data-reason="Claim/service lacks information or has submission/billing error(s) which is needed for adjudication" data-carc="16" data-rarc="-"&gt;
  &lt;td class="c-code"&gt;Patient Not Found CPSI&lt;/td&gt;
  &lt;td class="c-code"&gt;Client Assistance Required&lt;/td&gt;
  &lt;td class="c-code"&gt;Analyse|Web|Call&lt;/td&gt;
  &lt;td&gt;&lt;span class="chip chip-amber"&gt;⚙ Assistance Needed From NSHA&lt;/span&gt;&lt;/td&gt;
  &lt;td class="c-code"&gt;Patient Account Numbe Invalid&lt;/td&gt;
  &lt;td class="c-wrap"&gt;&lt;span class="deny-text"&gt;Claim/service lacks information or has submission/billing error(s) which is needed for adjudication&lt;/span&gt;&lt;/td&gt;
  &lt;td&gt;&lt;span class="code-pill carc"&gt;16&lt;/span&gt;&lt;/td&gt;
  &lt;td&gt;&lt;span class="code-pill rarc"&gt;-&lt;/span&gt;&lt;/td&gt;
&lt;/tr&gt;</t>
  </si>
  <si>
    <t>POS &amp; Procedure Not Matched</t>
  </si>
  <si>
    <t>CO 5</t>
  </si>
  <si>
    <t>&lt;tr data-status="POS &amp; Procedure Not Matched" data-action="Client Assistance Required" data-source="Analyse|Web|Call" data-category="Assistance Needed From NSHA" data-sub="Incorrect/Invalid/Missing POS|TOB" data-reason="The procedure code/bill type is inconsistent with the place of service" data-carc="CO 5" data-rarc="M97"&gt;
  &lt;td class="c-code"&gt;POS &amp; Procedure Not Matched&lt;/td&gt;
  &lt;td class="c-code"&gt;Client Assistance Required&lt;/td&gt;
  &lt;td class="c-code"&gt;Analyse|Web|Call&lt;/td&gt;
  &lt;td&gt;&lt;span class="chip chip-amber"&gt;⚙ Assistance Needed From NSHA&lt;/span&gt;&lt;/td&gt;
  &lt;td class="c-code"&gt;Incorrect/Invalid/Missing POS|TOB&lt;/td&gt;
  &lt;td class="c-wrap"&gt;&lt;span class="deny-text"&gt;The procedure code/bill type is inconsistent with the place of service&lt;/span&gt;&lt;/td&gt;
  &lt;td&gt;&lt;span class="code-pill carc"&gt;CO 5&lt;/span&gt;&lt;/td&gt;
  &lt;td&gt;&lt;span class="code-pill rarc"&gt;M97&lt;/span&gt;&lt;/td&gt;
&lt;/tr&gt;</t>
  </si>
  <si>
    <t>&lt;tr data-status="POS &amp; Procedure Not Matched" data-action="To Fix split claim" data-source="Analyse|Web|Call" data-category="Assistance Needed From NSHA" data-sub="Incorrect/Invalid/Missing POS|TOB" data-reason="The procedure code/bill type is inconsistent with the place of service" data-carc="CO 5" data-rarc="M97"&gt;
  &lt;td class="c-code"&gt;POS &amp; Procedure Not Matched&lt;/td&gt;
  &lt;td class="c-code"&gt;To Fix split claim&lt;/td&gt;
  &lt;td class="c-code"&gt;Analyse|Web|Call&lt;/td&gt;
  &lt;td&gt;&lt;span class="chip chip-amber"&gt;⚙ Assistance Needed From NSHA&lt;/span&gt;&lt;/td&gt;
  &lt;td class="c-code"&gt;Incorrect/Invalid/Missing POS|TOB&lt;/td&gt;
  &lt;td class="c-wrap"&gt;&lt;span class="deny-text"&gt;The procedure code/bill type is inconsistent with the place of service&lt;/span&gt;&lt;/td&gt;
  &lt;td&gt;&lt;span class="code-pill carc"&gt;CO 5&lt;/span&gt;&lt;/td&gt;
  &lt;td&gt;&lt;span class="code-pill rarc"&gt;M97&lt;/span&gt;&lt;/td&gt;
&lt;/tr&gt;</t>
  </si>
  <si>
    <t>&lt;tr data-status="Primary Carrier EOB Missing" data-action="No Other Payer Found | Recommend Balance Transfer to Patient" data-source="Analyse|Web|Call" data-category="Assistance Needed From NSHA" data-sub="Eligibility / Coverage" data-reason="An attachment/other documentation is required to adjudicate this claim/service. At least one Remark Code must be provided" data-carc="252" data-rarc="N4"&gt;
  &lt;td class="c-code"&gt;Primary Carrier EOB Missing&lt;/td&gt;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t>
  </si>
  <si>
    <t>&lt;tr data-status="Primary Carrier EOB Missing" data-action="No Other Payer Found | Recommend Balance Transfer to Patient" data-source="Analyse|Web|Call" data-category="Assistance Needed From NSHA" data-sub="Eligibility / Coverage" data-reason="Claim/service lacks information or has submission/billing error(s) which is needed for adjudication" data-carc="16" data-rarc="MA04"&gt;
  &lt;td class="c-code"&gt;Primary Carrier EOB Missing&lt;/td&gt;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class="deny-text"&gt;Claim/service lacks information or has submission/billing error(s) which is needed for adjudication&lt;/span&gt;&lt;/td&gt;
  &lt;td&gt;&lt;span class="code-pill carc"&gt;16&lt;/span&gt;&lt;/td&gt;
  &lt;td&gt;&lt;span class="code-pill rarc"&gt;MA04&lt;/span&gt;&lt;/td&gt;
&lt;/tr&gt;</t>
  </si>
  <si>
    <t>Paper Submission Required EOB</t>
  </si>
  <si>
    <t>&lt;tr data-status="Primary Carrier EOB Missing" data-action="Paper Submission Required EOB" data-source="Analyse|Web|Call" data-category="Assistance Needed From NSHA" data-sub="Eligibility / Coverage" data-reason="An attachment/other documentation is required to adjudicate this claim/service. At least one Remark Code must be provided" data-carc="252" data-rarc="N4"&gt;
  &lt;td class="c-code"&gt;Primary Carrier EOB Missing&lt;/td&gt;
  &lt;td class="c-code"&gt;Paper Submission Required EOB&lt;/td&gt;
  &lt;td class="c-code"&gt;Analyse|Web|Call&lt;/td&gt;
  &lt;td&gt;&lt;span class="chip chip-amber"&gt;⚙ Assistance Needed From NSHA&lt;/span&gt;&lt;/td&gt;
  &lt;td class="c-code"&gt;Eligibility / Coverage&lt;/td&gt;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t>
  </si>
  <si>
    <t>&lt;tr data-status="Primary Paid More Than Secondary Allowable" data-action="Client Assistance Required" data-source="Analyse|Web|Call" data-category="Assistance Needed From NSHA" data-sub="Paid" data-reason="The impact of prior payer(s) adjudication including payments and/or adjustments" data-carc="23" data-rarc="275"&gt;
  &lt;td class="c-code"&gt;Primary Paid More Than Secondary Allowable&lt;/td&gt;
  &lt;td class="c-code"&gt;Client Assistance Required&lt;/td&gt;
  &lt;td class="c-code"&gt;Analyse|Web|Call&lt;/td&gt;
  &lt;td&gt;&lt;span class="chip chip-amber"&gt;⚙ Assistance Needed From NSHA&lt;/span&gt;&lt;/td&gt;
  &lt;td class="c-code"&gt;Paid&lt;/td&gt;
  &lt;td class="c-wrap"&gt;&lt;span class="deny-text"&gt;The impact of prior payer(s) adjudication including payments and/or adjustments&lt;/span&gt;&lt;/td&gt;
  &lt;td&gt;&lt;span class="code-pill carc"&gt;23&lt;/span&gt;&lt;/td&gt;
  &lt;td&gt;&lt;span class="code-pill rarc"&gt;275&lt;/span&gt;&lt;/td&gt;
&lt;/tr&gt;</t>
  </si>
  <si>
    <t>CO 288</t>
  </si>
  <si>
    <t>&lt;tr data-status="Referral absent" data-action="Client Assistance Required" data-source="Analyse|Web|Call" data-category="Assistance Needed From NSHA" data-sub="Authorization/Referral" data-reason="Referral absent" data-carc="CO 288" data-rarc="N630"&gt;
  &lt;td class="c-code"&gt;Referral absent&lt;/td&gt;
  &lt;td class="c-code"&gt;Client Assistance Required&lt;/td&gt;
  &lt;td class="c-code"&gt;Analyse|Web|Call&lt;/td&gt;
  &lt;td&gt;&lt;span class="chip chip-amber"&gt;⚙ Assistance Needed From NSHA&lt;/span&gt;&lt;/td&gt;
  &lt;td class="c-code"&gt;Authorization/Referral&lt;/td&gt;
  &lt;td class="c-wrap"&gt;&lt;span class="deny-text"&gt;Referral absent&lt;/span&gt;&lt;/td&gt;
  &lt;td&gt;&lt;span class="code-pill carc"&gt;CO 288&lt;/span&gt;&lt;/td&gt;
  &lt;td&gt;&lt;span class="code-pill rarc"&gt;N630&lt;/span&gt;&lt;/td&gt;
&lt;/tr&gt;</t>
  </si>
  <si>
    <t>Referral Date Missing</t>
  </si>
  <si>
    <t>&lt;tr data-status="Referral Date Missing" data-action="Client Assistance Required" data-source="Analyse|Web|Call" data-category="Assistance Needed From NSHA" data-sub="Referral Date Missing" data-reason="Claim/service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 data-carc="16" data-rarc="N335"&gt;
  &lt;td class="c-code"&gt;Referral Date Missing&lt;/td&gt;
  &lt;td class="c-code"&gt;Client Assistance Required&lt;/td&gt;
  &lt;td class="c-code"&gt;Analyse|Web|Call&lt;/td&gt;
  &lt;td&gt;&lt;span class="chip chip-amber"&gt;⚙ Assistance Needed From NSHA&lt;/span&gt;&lt;/td&gt;
  &lt;td class="c-code"&gt;Referral Date Missing&lt;/td&gt;
  &lt;td class="c-wrap"&gt;&lt;span class="deny-text"&gt;Claim/service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present.&lt;/span&gt;&lt;/td&gt;
  &lt;td&gt;&lt;span class="code-pill carc"&gt;16&lt;/span&gt;&lt;/td&gt;
  &lt;td&gt;&lt;span class="code-pill rarc"&gt;N335&lt;/span&gt;&lt;/td&gt;
&lt;/tr&gt;</t>
  </si>
  <si>
    <t>Rendering Provider/Group is Not Eligible</t>
  </si>
  <si>
    <t>Enrolment Expired/Pending</t>
  </si>
  <si>
    <t>CO 185</t>
  </si>
  <si>
    <t>&lt;tr data-status="Rendering Provider/Group is Not Eligible" data-action="Client Assistance Required" data-source="Analyse|Web|Call" data-category="Assistance Needed From NSHA" data-sub="Enrolment Expired/Pending" data-reason="The rendering provider is not eligible to perform/render the service billed" data-carc="CO 185" data-rarc="N530"&gt;
  &lt;td class="c-code"&gt;Rendering Provider/Group is Not Eligible&lt;/td&gt;
  &lt;td class="c-code"&gt;Client Assistance Required&lt;/td&gt;
  &lt;td class="c-code"&gt;Analyse|Web|Call&lt;/td&gt;
  &lt;td&gt;&lt;span class="chip chip-amber"&gt;⚙ Assistance Needed From NSHA&lt;/span&gt;&lt;/td&gt;
  &lt;td class="c-code"&gt;Enrolment Expired/Pending&lt;/td&gt;
  &lt;td class="c-wrap"&gt;&lt;span class="deny-text"&gt;The rendering provider is not eligible to perform/render the service billed&lt;/span&gt;&lt;/td&gt;
  &lt;td&gt;&lt;span class="code-pill carc"&gt;CO 185&lt;/span&gt;&lt;/td&gt;
  &lt;td&gt;&lt;span class="code-pill rarc"&gt;N530&lt;/span&gt;&lt;/td&gt;
&lt;/tr&gt;</t>
  </si>
  <si>
    <t>Reporting Code Not Payable</t>
  </si>
  <si>
    <t>Recommend Adjust Off (0501F-0503F Codes are not payable)</t>
  </si>
  <si>
    <t>This procedure code is for quality reporting/informational purposes only.</t>
  </si>
  <si>
    <t>&lt;tr data-status="Reporting Code Not Payable" data-action="Recommend Adjust Off (0501F-0503F Codes are not payable)" data-source="Analyse|Web|Call" data-category="Assistance Needed From NSHA" data-sub="Reporting Code Not Payable" data-reason="This procedure code is for quality reporting/informational purposes only." data-carc="115" data-rarc="N782"&gt;
  &lt;td class="c-code"&gt;Reporting Code Not Payable&lt;/td&gt;
  &lt;td class="c-code"&gt;Recommend Adjust Off (0501F-0503F Codes are not payable)&lt;/td&gt;
  &lt;td class="c-code"&gt;Analyse|Web|Call&lt;/td&gt;
  &lt;td&gt;&lt;span class="chip chip-amber"&gt;⚙ Assistance Needed From NSHA&lt;/span&gt;&lt;/td&gt;
  &lt;td class="c-code"&gt;Reporting Code Not Payable&lt;/td&gt;
  &lt;td class="c-wrap"&gt;&lt;span class="deny-text"&gt;This procedure code is for quality reporting/informational purposes only.&lt;/span&gt;&lt;/td&gt;
  &lt;td&gt;&lt;span class="code-pill carc"&gt;115&lt;/span&gt;&lt;/td&gt;
  &lt;td&gt;&lt;span class="code-pill rarc"&gt;N782&lt;/span&gt;&lt;/td&gt;
&lt;/tr&gt;</t>
  </si>
  <si>
    <t>Requested MR/Itemized Bill</t>
  </si>
  <si>
    <t>Document Requested Itemized Bill | MR</t>
  </si>
  <si>
    <t>CO 251</t>
  </si>
  <si>
    <t>N29</t>
  </si>
  <si>
    <t>&lt;tr data-status="Requested MR/Itemized Bill" data-action="Paper Submission Required EOB" data-source="Analyse|Web|Call" data-category="Assistance Needed From NSHA" data-sub="Document Requested Itemized Bill | MR" data-reason="The attachment/other documentation is not required for adjudication of this claim/service" data-carc="CO 251" data-rarc="N29"&gt;
  &lt;td class="c-code"&gt;Requested MR/Itemized Bill&lt;/td&gt;
  &lt;td class="c-code"&gt;Paper Submission Required EOB&lt;/td&gt;
  &lt;td class="c-code"&gt;Analyse|Web|Call&lt;/td&gt;
  &lt;td&gt;&lt;span class="chip chip-amber"&gt;⚙ Assistance Needed From NSHA&lt;/span&gt;&lt;/td&gt;
  &lt;td class="c-code"&gt;Document Requested Itemized Bill | MR&lt;/td&gt;
  &lt;td class="c-wrap"&gt;&lt;span class="deny-text"&gt;The attachment/other documentation is not required for adjudication of this claim/service&lt;/span&gt;&lt;/td&gt;
  &lt;td&gt;&lt;span class="code-pill carc"&gt;CO 251&lt;/span&gt;&lt;/td&gt;
  &lt;td&gt;&lt;span class="code-pill rarc"&gt;N29&lt;/span&gt;&lt;/td&gt;
&lt;/tr&gt;</t>
  </si>
  <si>
    <t>Revenue and Procedure Code Mismatch</t>
  </si>
  <si>
    <t>Coding Assistance</t>
  </si>
  <si>
    <t>&lt;tr data-status="Revenue and Procedure Code Mismatch" data-action="Coding Assistance" data-source="Analyse|Web|Call" data-category="Assistance Needed From NSHA" data-sub="Procedure Related" data-reason="Revenue code and Procedure code do not match." data-carc="199" data-rarc="N381"&gt;
  &lt;td class="c-code"&gt;Revenue and Procedure Code Mismatch&lt;/td&gt;
  &lt;td class="c-code"&gt;Coding Assistance&lt;/td&gt;
  &lt;td class="c-code"&gt;Analyse|Web|Call&lt;/td&gt;
  &lt;td&gt;&lt;span class="chip chip-amber"&gt;⚙ Assistance Needed From NSHA&lt;/span&gt;&lt;/td&gt;
  &lt;td class="c-code"&gt;Procedure Related&lt;/td&gt;
  &lt;td class="c-wrap"&gt;&lt;span class="deny-text"&gt;Revenue code and Procedure code do not match.&lt;/span&gt;&lt;/td&gt;
  &lt;td&gt;&lt;span class="code-pill carc"&gt;199&lt;/span&gt;&lt;/td&gt;
  &lt;td&gt;&lt;span class="code-pill rarc"&gt;N381&lt;/span&gt;&lt;/td&gt;
&lt;/tr&gt;</t>
  </si>
  <si>
    <t>TPL Form Required</t>
  </si>
  <si>
    <t>&lt;tr data-status="TPL Form Required" data-action="Client Assistance Required" data-source="Analyse|Web|Call" data-category="Assistance Needed From NSHA" data-sub="TPL Form Required" data-reason="Claim/service lacks information or has submission/billing error(s). Usage: Do not use this code for claims attachment(s)/other documentation. At least one Remark Code must be provided (may be comprised of either the NCPDP Reject Reason Code, or Remittance" data-carc="16" data-rarc="N179"&gt;
  &lt;td class="c-code"&gt;TPL Form Required&lt;/td&gt;
  &lt;td class="c-code"&gt;Client Assistance Required&lt;/td&gt;
  &lt;td class="c-code"&gt;Analyse|Web|Call&lt;/td&gt;
  &lt;td&gt;&lt;span class="chip chip-amber"&gt;⚙ Assistance Needed From NSHA&lt;/span&gt;&lt;/td&gt;
  &lt;td class="c-code"&gt;TPL Form Required&lt;/td&gt;
  &lt;td class="c-wrap"&gt;&lt;span class="deny-text"&gt;Claim/service lacks information or has submission/billing error(s). Usage: Do not use this code for claims attachment(s)/other documentation. At least one Remark Code must be provided (may be comprised of either the NCPDP Reject Reason Code, or Remittance&lt;/span&gt;&lt;/td&gt;
  &lt;td&gt;&lt;span class="code-pill carc"&gt;16&lt;/span&gt;&lt;/td&gt;
  &lt;td&gt;&lt;span class="code-pill rarc"&gt;N179&lt;/span&gt;&lt;/td&gt;
&lt;/tr&gt;</t>
  </si>
  <si>
    <t>Claim Paid Reduction Rate</t>
  </si>
  <si>
    <t>&lt;tr data-status="Workers' Comp Fee Schedule Adjustment" data-action="Procedure Already Paid | Ignored" data-source="Analyse|Web|Call" data-category="Assistance Needed From NSHA" data-sub="Claim Paid Reduction Rate" data-reason="Processed based on multiple or concurrent procedure rules" data-carc="59" data-rarc="P12"&gt;
  &lt;td class="c-code"&gt;Workers' Comp Fee Schedule Adjustment&lt;/td&gt;
  &lt;td class="c-code"&gt;Procedure Already Paid | Ignored&lt;/td&gt;
  &lt;td class="c-code"&gt;Analyse|Web|Call&lt;/td&gt;
  &lt;td&gt;&lt;span class="chip chip-amber"&gt;⚙ Assistance Needed From NSHA&lt;/span&gt;&lt;/td&gt;
  &lt;td class="c-code"&gt;Claim Paid Reduction Rate&lt;/td&gt;
  &lt;td class="c-wrap"&gt;&lt;span class="deny-text"&gt;Processed based on multiple or concurrent procedure rules&lt;/span&gt;&lt;/td&gt;
  &lt;td&gt;&lt;span class="code-pill carc"&gt;59&lt;/span&gt;&lt;/td&gt;
  &lt;td&gt;&lt;span class="code-pill rarc"&gt;P12&lt;/span&gt;&lt;/td&gt;
&lt;/tr&gt;</t>
  </si>
  <si>
    <t>&lt;tr data-status="Wrong Payer Billed" data-action="No Other Payer Found | Recommend Balance Transfer to Patient" data-source="Analyse|Web|Call" data-category="Assistance Needed From NSHA" data-sub="Eligibility / Coverage" data-reason="Claim/service not covered by this payer/contractor. You must send the claim/service to the correct payer/contractor" data-carc="109" data-rarc="N193"&gt;
  &lt;td class="c-code"&gt;Wrong Payer Billed&lt;/td&gt;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rarc"&gt;N193&lt;/span&gt;&lt;/td&gt;
&lt;/tr&gt;</t>
  </si>
  <si>
    <t>&lt;tr data-status="Wrong Payer Billed" data-action="No Other Payer Found | Recommend Balance Transfer to Patient" data-source="Analyse|Web|Call" data-category="Assistance Needed From NSHA" data-sub="Eligibility / Coverage" data-reason="Claim/service not covered by this payer/contractor. You must send the claim/service to the correct payer/contractor" data-carc="109" data-rarc="N418"&gt;
  &lt;td class="c-code"&gt;Wrong Payer Billed&lt;/td&gt;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rarc"&gt;N418&lt;/span&gt;&lt;/td&gt;
&lt;/tr&gt;</t>
  </si>
  <si>
    <t>Out of Network | Paid &amp; Deductible Applied</t>
  </si>
  <si>
    <t>CO 242</t>
  </si>
  <si>
    <t>&lt;tr data-status="Out of Network | Paid &amp; Deductible Applied" data-action="No Other Payer Found | Recommend Balance Transfer to Patient" data-source="Analyse|Web|Call" data-category="Assistance Needed From NSHA" data-sub="No Secondary Active - Bal Transfer to Patient" data-reason="Services not provided by network/primary care providers." data-carc="CO 242" data-rarc="N513"&gt;
  &lt;td class="c-code"&gt;Out of Network | Paid &amp; Deductible Applied&lt;/td&gt;
  &lt;td class="c-code"&gt;No Other Payer Found | Recommend Balance Transfer to Patient&lt;/td&gt;
  &lt;td class="c-code"&gt;Analyse|Web|Call&lt;/td&gt;
  &lt;td&gt;&lt;span class="chip chip-amber"&gt;⚙ Assistance Needed From NSHA&lt;/span&gt;&lt;/td&gt;
  &lt;td class="c-code"&gt;No Secondary Active - Bal Transfer to Patient&lt;/td&gt;
  &lt;td class="c-wrap"&gt;&lt;span class="deny-text"&gt;Services not provided by network/primary care providers.&lt;/span&gt;&lt;/td&gt;
  &lt;td&gt;&lt;span class="code-pill carc"&gt;CO 242&lt;/span&gt;&lt;/td&gt;
  &lt;td&gt;&lt;span class="code-pill rarc"&gt;N513&lt;/span&gt;&lt;/td&gt;
&lt;/tr&gt;</t>
  </si>
  <si>
    <t>Zero Charges Billed</t>
  </si>
  <si>
    <t>No Charges</t>
  </si>
  <si>
    <t>&lt;tr data-status="Zero Charges Billed" data-action="Client Assistance Required" data-source="Analyse|Web|Call" data-category="Assistance Needed From NSHA" data-sub="No Charges" data-reason="Claim/service not covered by this payer/contractor. You must send the claim/service to the correct payer/contractor." data-carc="16" data-rarc="M79"&gt;
  &lt;td class="c-code"&gt;Zero Charges Billed&lt;/td&gt;
  &lt;td class="c-code"&gt;Client Assistance Required&lt;/td&gt;
  &lt;td class="c-code"&gt;Analyse|Web|Call&lt;/td&gt;
  &lt;td&gt;&lt;span class="chip chip-amber"&gt;⚙ Assistance Needed From NSHA&lt;/span&gt;&lt;/td&gt;
  &lt;td class="c-code"&gt;No Charges&lt;/td&gt;
  &lt;td class="c-wrap"&gt;&lt;span class="deny-text"&gt;Claim/service not covered by this payer/contractor. You must send the claim/service to the correct payer/contractor.&lt;/span&gt;&lt;/td&gt;
  &lt;td&gt;&lt;span class="code-pill carc"&gt;16&lt;/span&gt;&lt;/td&gt;
  &lt;td&gt;&lt;span class="code-pill rarc"&gt;M79&lt;/span&gt;&lt;/td&gt;
&lt;/tr&gt;</t>
  </si>
  <si>
    <t>Invalid/Missing NDC Code</t>
  </si>
  <si>
    <t>NDC Code Missing</t>
  </si>
  <si>
    <t>&lt;tr data-status="Invalid/Missing NDC Code" data-action="Client Assistance Required" data-source="Analyse" data-category="Assistance Needed From NSHA" data-sub="NDC Code Missing" data-reason="Claim/service not covered by this payer/contractor. You must send the claim/service to the correct payer/contractor." data-carc="16" data-rarc="M119"&gt;
  &lt;td class="c-code"&gt;Invalid/Missing NDC Code&lt;/td&gt;
  &lt;td class="c-code"&gt;Client Assistance Required&lt;/td&gt;
  &lt;td class="c-code"&gt;Analyse&lt;/td&gt;
  &lt;td&gt;&lt;span class="chip chip-amber"&gt;⚙ Assistance Needed From NSHA&lt;/span&gt;&lt;/td&gt;
  &lt;td class="c-code"&gt;NDC Code Missing&lt;/td&gt;
  &lt;td class="c-wrap"&gt;&lt;span class="deny-text"&gt;Claim/service not covered by this payer/contractor. You must send the claim/service to the correct payer/contractor.&lt;/span&gt;&lt;/td&gt;
  &lt;td&gt;&lt;span class="code-pill carc"&gt;16&lt;/span&gt;&lt;/td&gt;
  &lt;td&gt;&lt;span class="code-pill rarc"&gt;M119&lt;/span&gt;&lt;/td&gt;
&lt;/tr&gt;</t>
  </si>
  <si>
    <t>Incorrect/Invaild/Missing Cpt</t>
  </si>
  <si>
    <t>Incorrect/Invalid/Missing Dx</t>
  </si>
  <si>
    <t>ICD Related</t>
  </si>
  <si>
    <t>Incorrect/Invalid/Missing Modifier</t>
  </si>
  <si>
    <t>Modifier Related</t>
  </si>
  <si>
    <t>The procedure code is inconsistent with the provider type/specialty (taxonomy).</t>
  </si>
  <si>
    <t>Invalid/Missing NCD|LCD</t>
  </si>
  <si>
    <t>&lt;tr data-status="Invalid/Missing NCD|LCD" data-action="Coding Assistance" data-source="Analyse|Web|Call" data-category="Exception" data-sub="ICD Related" data-reason="This decision was based on a National Coverage Determination (NCD). An NCD provides a coverage determination as to whether a particular item or service is covered." data-carc="11" data-rarc="N19"&gt;
  &lt;td class="c-code"&gt;Invalid/Missing NCD|LCD&lt;/td&gt;
  &lt;td class="c-code"&gt;Coding Assistance&lt;/td&gt;
  &lt;td class="c-code"&gt;Analyse|Web|Call&lt;/td&gt;
  &lt;td&gt;&lt;span class="chip chip-red"&gt;✖ Exception&lt;/span&gt;&lt;/td&gt;
  &lt;td class="c-code"&gt;ICD Related&lt;/td&gt;
  &lt;td class="c-wrap"&gt;&lt;span class="deny-text"&gt;This decision was based on a National Coverage Determination (NCD). An NCD provides a coverage determination as to whether a particular item or service is covered.&lt;/span&gt;&lt;/td&gt;
  &lt;td&gt;&lt;span class="code-pill carc"&gt;11&lt;/span&gt;&lt;/td&gt;
  &lt;td&gt;&lt;span class="code-pill rarc"&gt;N19&lt;/span&gt;&lt;/td&gt;
&lt;/tr&gt;</t>
  </si>
  <si>
    <t>Not Deemed Medical Necessity</t>
  </si>
  <si>
    <t>Claim Already Paid | Ignored</t>
  </si>
  <si>
    <t>&lt;tr data-status="Duplicate Claim" data-action="Claim Already Paid | Ignored" data-source="Analyse|Web|Call" data-category="Jorie Resolved" data-sub="Duplicate Billing" data-reason="Exact duplicate claim/service" data-carc="18" data-rarc="N389"&gt;
  &lt;td class="c-code"&gt;Duplicate Claim&lt;/td&gt;
  &lt;td class="c-code"&gt;Claim Already Paid | Ignored&lt;/td&gt;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t>
  </si>
  <si>
    <t>&lt;tr data-status="Duplicate Claim" data-action="Corrected Claim Resubmitted" data-source="Analyse|Web|Call" data-category="Jorie Resolved" data-sub="Duplicate Billing" data-reason="Exact duplicate claim/service" data-carc="18" data-rarc="N389"&gt;
  &lt;td class="c-code"&gt;Duplicate Claim&lt;/td&gt;
  &lt;td class="c-code"&gt;Corrected Claim Resubmitted&lt;/td&gt;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t>
  </si>
  <si>
    <t>&lt;tr data-status="Duplicate Claim" data-action="Duplicate Charges | Required Adjustment" data-source="Analyse|Web|Call" data-category="Jorie Resolved" data-sub="Duplicate Billing" data-reason="Exact duplicate claim/service" data-carc="18" data-rarc="N389"&gt;
  &lt;td class="c-code"&gt;Duplicate Claim&lt;/td&gt;
  &lt;td class="c-code"&gt;Duplicate Charges | Required Adjustment&lt;/td&gt;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t>
  </si>
  <si>
    <t>Sent Back For Reprocessing</t>
  </si>
  <si>
    <t>&lt;tr data-status="Duplicate Claim" data-action="Sent Back For Reprocessing" data-source="Analyse|Web|Call" data-category="Jorie Resolved" data-sub="Duplicate Billing" data-reason="Exact duplicate claim/service" data-carc="18" data-rarc="N389"&gt;
  &lt;td class="c-code"&gt;Duplicate Claim&lt;/td&gt;
  &lt;td class="c-code"&gt;Sent Back For Reprocessing&lt;/td&gt;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t>
  </si>
  <si>
    <t>&lt;tr data-status="Expenses Incurred After Coverage Terminated" data-action="Verified | Submitted to Correct Insurance" data-source="Analyse|Web|Call" data-category="Jorie Resolved" data-sub="Eligibility / Coverage" data-reason="Expenses incurred after coverage terminated" data-carc="27" data-rarc="N30"&gt;
  &lt;td class="c-code"&gt;Expenses Incurred After Coverage Terminated&lt;/td&gt;
  &lt;td class="c-code"&gt;Verified | Submitted to Correct Insurance&lt;/td&gt;
  &lt;td class="c-code"&gt;Analyse|Web|Call&lt;/td&gt;
  &lt;td&gt;&lt;span class="chip chip-green"&gt;✔ Jorie Resolved&lt;/span&gt;&lt;/td&gt;
  &lt;td class="c-code"&gt;Eligibility / Coverage&lt;/td&gt;
  &lt;td class="c-wrap"&gt;&lt;span class="deny-text"&gt;Expenses incurred after coverage terminated&lt;/span&gt;&lt;/td&gt;
  &lt;td&gt;&lt;span class="code-pill carc"&gt;27&lt;/span&gt;&lt;/td&gt;
  &lt;td&gt;&lt;span class="code-pill rarc"&gt;N30&lt;/span&gt;&lt;/td&gt;
&lt;/tr&gt;</t>
  </si>
  <si>
    <t>&lt;tr data-status="Expenses Incurred Prior to Coverage" data-action="Verified | Submitted to Correct Insurance" data-source="Analyse|Web|Call" data-category="Jorie Resolved" data-sub="Eligibility / Coverage" data-reason="Expenses incurred prior to coverage." data-carc="26" data-rarc="N30"&gt;
  &lt;td class="c-code"&gt;Expenses Incurred Prior to Coverage&lt;/td&gt;
  &lt;td class="c-code"&gt;Verified | Submitted to Correct Insurance&lt;/td&gt;
  &lt;td class="c-code"&gt;Analyse|Web|Call&lt;/td&gt;
  &lt;td&gt;&lt;span class="chip chip-green"&gt;✔ Jorie Resolved&lt;/span&gt;&lt;/td&gt;
  &lt;td class="c-code"&gt;Eligibility / Coverage&lt;/td&gt;
  &lt;td class="c-wrap"&gt;&lt;span class="deny-text"&gt;Expenses incurred prior to coverage.&lt;/span&gt;&lt;/td&gt;
  &lt;td&gt;&lt;span class="code-pill carc"&gt;26&lt;/span&gt;&lt;/td&gt;
  &lt;td&gt;&lt;span class="code-pill rarc"&gt;N30&lt;/span&gt;&lt;/td&gt;
&lt;/tr&gt;</t>
  </si>
  <si>
    <t>&lt;tr data-status="Incorrect/Invaild/Missing Cpt" data-action="Corrected Claim Resubmitted" data-source="Analyse|Web|Call" data-category="Jorie Resolved" data-sub="Procedure Related" data-reason="Claim/service lacks information or has submission/billing error(s) which is needed for adjudication" data-carc="16" data-rarc="N784"&gt;
  &lt;td class="c-code"&gt;Incorrect/Invaild/Missing Cpt&lt;/td&gt;
  &lt;td class="c-code"&gt;Corrected Claim Resubmitted&lt;/td&gt;
  &lt;td class="c-code"&gt;Analyse|Web|Call&lt;/td&gt;
  &lt;td&gt;&lt;span class="chip chip-green"&gt;✔ Jorie Resolved&lt;/span&gt;&lt;/td&gt;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rarc"&gt;N784&lt;/span&gt;&lt;/td&gt;
&lt;/tr&gt;</t>
  </si>
  <si>
    <t>Incorrect/Missing Value code Amount</t>
  </si>
  <si>
    <t>Value code Amount</t>
  </si>
  <si>
    <t>&lt;tr data-status="Incorrect/Missing Value code Amount" data-action="Corrected Claim Resubmitted" data-source="Analyse|Web|Call" data-category="Jorie Resolved" data-sub="Value code Amount" data-reason="Claim/service lacks information or has submission/billing error(s) which is needed for adjudication" data-carc="16" data-rarc="-"&gt;
  &lt;td class="c-code"&gt;Incorrect/Missing Value code Amount&lt;/td&gt;
  &lt;td class="c-code"&gt;Corrected Claim Resubmitted&lt;/td&gt;
  &lt;td class="c-code"&gt;Analyse|Web|Call&lt;/td&gt;
  &lt;td&gt;&lt;span class="chip chip-green"&gt;✔ Jorie Resolved&lt;/span&gt;&lt;/td&gt;
  &lt;td class="c-code"&gt;Value code Amount&lt;/td&gt;
  &lt;td class="c-wrap"&gt;&lt;span class="deny-text"&gt;Claim/service lacks information or has submission/billing error(s) which is needed for adjudication&lt;/span&gt;&lt;/td&gt;
  &lt;td&gt;&lt;span class="code-pill carc"&gt;16&lt;/span&gt;&lt;/td&gt;
  &lt;td&gt;&lt;span class="code-pill rarc"&gt;-&lt;/span&gt;&lt;/td&gt;
&lt;/tr&gt;</t>
  </si>
  <si>
    <t>&lt;tr data-status="Invalid Authorization" data-action="Sent Back For Reprocessing" data-source="Analyse|Web|Call" data-category="Jorie Resolved" data-sub="Authorization/Referral" data-reason="Precertification/authorization/notification/pre-treatment absent." data-carc="CO 197" data-rarc="M62"&gt;
  &lt;td class="c-code"&gt;Invalid Authorization&lt;/td&gt;
  &lt;td class="c-code"&gt;Sent Back For Reprocessing&lt;/td&gt;
  &lt;td class="c-code"&gt;Analyse|Web|Call&lt;/td&gt;
  &lt;td&gt;&lt;span class="chip chip-green"&gt;✔ Jorie Resolved&lt;/span&gt;&lt;/td&gt;
  &lt;td class="c-code"&gt;Authorization/Referral&lt;/td&gt;
  &lt;td class="c-wrap"&gt;&lt;span class="deny-text"&gt;Precertification/authorization/notification/pre-treatment absent.&lt;/span&gt;&lt;/td&gt;
  &lt;td&gt;&lt;span class="code-pill carc"&gt;CO 197&lt;/span&gt;&lt;/td&gt;
  &lt;td&gt;&lt;span class="code-pill rarc"&gt;M62&lt;/span&gt;&lt;/td&gt;
&lt;/tr&gt;</t>
  </si>
  <si>
    <t>Mismatch Provider</t>
  </si>
  <si>
    <t>Mismatch Rendering Provider</t>
  </si>
  <si>
    <t>&lt;tr data-status="Mismatch Provider" data-action="Corrected Claim Resubmitted" data-source="Analyse|Web|Call" data-category="Jorie Resolved" data-sub="Mismatch Rendering Provider" data-reason="Claim/service lacks information or has submission/billing error(s) which is needed for adjudication" data-carc="16" data-rarc="N521"&gt;
  &lt;td class="c-code"&gt;Mismatch Provider&lt;/td&gt;
  &lt;td class="c-code"&gt;Corrected Claim Resubmitted&lt;/td&gt;
  &lt;td class="c-code"&gt;Analyse|Web|Call&lt;/td&gt;
  &lt;td&gt;&lt;span class="chip chip-green"&gt;✔ Jorie Resolved&lt;/span&gt;&lt;/td&gt;
  &lt;td class="c-code"&gt;Mismatch Rendering Provider&lt;/td&gt;
  &lt;td class="c-wrap"&gt;&lt;span class="deny-text"&gt;Claim/service lacks information or has submission/billing error(s) which is needed for adjudication&lt;/span&gt;&lt;/td&gt;
  &lt;td&gt;&lt;span class="code-pill carc"&gt;16&lt;/span&gt;&lt;/td&gt;
  &lt;td&gt;&lt;span class="code-pill rarc"&gt;N521&lt;/span&gt;&lt;/td&gt;
&lt;/tr&gt;</t>
  </si>
  <si>
    <t>National Provider Identifier - Missing</t>
  </si>
  <si>
    <t>&lt;tr data-status="Missing/incomplete/invalid NPI" data-action="Corrected Claim Resubmitted" data-source="Analyse|Web|Call" data-category="Jorie Resolved" data-sub="National Provider Identifier - Missing" data-reason="National Provider Identifier - missing" data-carc="206" data-rarc="N274"&gt;
  &lt;td class="c-code"&gt;Missing/incomplete/invalid NPI&lt;/td&gt;
  &lt;td class="c-code"&gt;Corrected Claim Resubmitted&lt;/td&gt;
  &lt;td class="c-code"&gt;Analyse|Web|Call&lt;/td&gt;
  &lt;td&gt;&lt;span class="chip chip-green"&gt;✔ Jorie Resolved&lt;/span&gt;&lt;/td&gt;
  &lt;td class="c-code"&gt;National Provider Identifier - Missing&lt;/td&gt;
  &lt;td class="c-wrap"&gt;&lt;span class="deny-text"&gt;National Provider Identifier - missing&lt;/span&gt;&lt;/td&gt;
  &lt;td&gt;&lt;span class="code-pill carc"&gt;206&lt;/span&gt;&lt;/td&gt;
  &lt;td&gt;&lt;span class="code-pill rarc"&gt;N274&lt;/span&gt;&lt;/td&gt;
&lt;/tr&gt;</t>
  </si>
  <si>
    <t>Allow Time Payment Posting</t>
  </si>
  <si>
    <t>&lt;tr data-status="No Denial | Claim Paid" data-action="Allow Time Payment Posting" data-source="Analyse|Web|Call" data-category="Jorie Resolved" data-sub="Paid" data-reason="Payment adjusted because the payer deems the information submitted does not support this many/frequency of services" data-carc="CO 151" data-rarc="N317"&gt;
  &lt;td class="c-code"&gt;No Denial | Claim Paid&lt;/td&gt;
  &lt;td class="c-code"&gt;Allow Time Payment Posting&lt;/td&gt;
  &lt;td class="c-code"&gt;Analyse|Web|Call&lt;/td&gt;
  &lt;td&gt;&lt;span class="chip chip-green"&gt;✔ Jorie Resolved&lt;/span&gt;&lt;/td&gt;
  &lt;td class="c-code"&gt;Paid&lt;/td&gt;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t>
  </si>
  <si>
    <t>No deductible may be collected as patient is a Medicaid/Qualified Medicare Beneficiary</t>
  </si>
  <si>
    <t>&lt;tr data-status="No Denial | Claim Paid" data-action="Allow Time Payment Posting" data-source="Analyse|Web|Call" data-category="Jorie Resolved" data-sub="Paid" data-reason="No deductible may be collected as patient is a Medicaid/Qualified Medicare Beneficiary" data-carc="CO 45" data-rarc="N781"&gt;
  &lt;td class="c-code"&gt;No Denial | Claim Paid&lt;/td&gt;
  &lt;td class="c-code"&gt;Allow Time Payment Posting&lt;/td&gt;
  &lt;td class="c-code"&gt;Analyse|Web|Call&lt;/td&gt;
  &lt;td&gt;&lt;span class="chip chip-green"&gt;✔ Jorie Resolved&lt;/span&gt;&lt;/td&gt;
  &lt;td class="c-code"&gt;Paid&lt;/td&gt;
  &lt;td class="c-wrap"&gt;&lt;span class="deny-text"&gt;No deductible may be collected as patient is a Medicaid/Qualified Medicare Beneficiary&lt;/span&gt;&lt;/td&gt;
  &lt;td&gt;&lt;span class="code-pill carc"&gt;CO 45&lt;/span&gt;&lt;/td&gt;
  &lt;td&gt;&lt;span class="code-pill rarc"&gt;N781&lt;/span&gt;&lt;/td&gt;
&lt;/tr&gt;</t>
  </si>
  <si>
    <t>&lt;tr data-status="No Denial | Claim Paid" data-action="Claim Already Paid | Ignored" data-source="Analyse|Web|Call" data-category="Jorie Resolved" data-sub="Exceeded Units/Visits" data-reason="Payment adjusted because the payer deems the information submitted does not support this many/frequency of services" data-carc="CO 151" data-rarc="N317"&gt;
  &lt;td class="c-code"&gt;No Denial | Claim Paid&lt;/td&gt;
  &lt;td class="c-code"&gt;Claim Already Paid | Ignored&lt;/td&gt;
  &lt;td class="c-code"&gt;Analyse|Web|Call&lt;/td&gt;
  &lt;td&gt;&lt;span class="chip chip-green"&gt;✔ Jorie Resolved&lt;/span&gt;&lt;/td&gt;
  &lt;td class="c-code"&gt;Exceeded Units/Visits&lt;/td&gt;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t>
  </si>
  <si>
    <t>&lt;tr data-status="No Denial | Claim Paid" data-action="Payment Already Posted In CPSI | Ignored" data-source="Analyse|Web|Call" data-category="Jorie Resolved" data-sub="Paid" data-reason="Payment adjusted because the payer deems the information submitted does not support this many/frequency of services" data-carc="CO 151" data-rarc="N317"&gt;
  &lt;td class="c-code"&gt;No Denial | Claim Paid&lt;/td&gt;
  &lt;td class="c-code"&gt;Payment Already Posted In CPSI | Ignored&lt;/td&gt;
  &lt;td class="c-code"&gt;Analyse|Web|Call&lt;/td&gt;
  &lt;td&gt;&lt;span class="chip chip-green"&gt;✔ Jorie Resolved&lt;/span&gt;&lt;/td&gt;
  &lt;td class="c-code"&gt;Paid&lt;/td&gt;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t>
  </si>
  <si>
    <t>Secondary Claim Submission</t>
  </si>
  <si>
    <t>&lt;tr data-status="No Denial | Claim Paid" data-action="Secondary Claim Submission" data-source="Analyse|Web|Call" data-category="Jorie Resolved" data-sub="Paid" data-reason="The benefit for this service is included in the payment/allowance for another service/procedure that has already been adjudicated" data-carc="97" data-rarc="M15"&gt;
  &lt;td class="c-code"&gt;No Denial | Claim Paid&lt;/td&gt;
  &lt;td class="c-code"&gt;Secondary Claim Submission&lt;/td&gt;
  &lt;td class="c-code"&gt;Analyse|Web|Call&lt;/td&gt;
  &lt;td&gt;&lt;span class="chip chip-green"&gt;✔ Jorie Resolved&lt;/span&gt;&lt;/td&gt;
  &lt;td class="c-code"&gt;Paid&lt;/td&gt;
  &lt;td class="c-wrap"&gt;&lt;span class="deny-text"&gt;The benefit for this service is included in the payment/allowance for another service/procedure that has already been adjudicated&lt;/span&gt;&lt;/td&gt;
  &lt;td&gt;&lt;span class="code-pill carc"&gt;97&lt;/span&gt;&lt;/td&gt;
  &lt;td&gt;&lt;span class="code-pill rarc"&gt;M15&lt;/span&gt;&lt;/td&gt;
&lt;/tr&gt;</t>
  </si>
  <si>
    <t>&lt;tr data-status="Non-Covered Service Under Patient" data-action="Sent Back For Reprocessing" data-source="Analyse|Web|Call" data-category="Jorie Resolved" data-sub="Non-Covered Service" data-reason="This drug/service/supply is not included in the fee schedule or contracted/legislated fee arrangement." data-carc="96" data-rarc="N448"&gt;
  &lt;td class="c-code"&gt;Non-Covered Service Under Patient&lt;/td&gt;
  &lt;td class="c-code"&gt;Sent Back For Reprocessing&lt;/td&gt;
  &lt;td class="c-code"&gt;Analyse|Web|Call&lt;/td&gt;
  &lt;td&gt;&lt;span class="chip chip-green"&gt;✔ Jorie Resolved&lt;/span&gt;&lt;/td&gt;
  &lt;td class="c-code"&gt;Non-Covered Service&lt;/td&gt;
  &lt;td class="c-wrap"&gt;&lt;span class="deny-text"&gt;This drug/service/supply is not included in the fee schedule or contracted/legislated fee arrangement.&lt;/span&gt;&lt;/td&gt;
  &lt;td&gt;&lt;span class="code-pill carc"&gt;96&lt;/span&gt;&lt;/td&gt;
  &lt;td&gt;&lt;span class="code-pill rarc"&gt;N448&lt;/span&gt;&lt;/td&gt;
&lt;/tr&gt;</t>
  </si>
  <si>
    <t>NPI Missing in Claim Form</t>
  </si>
  <si>
    <t>Attending Provider NPI Missing</t>
  </si>
  <si>
    <t>&lt;tr data-status="NPI Missing in Claim Form" data-action="Corrected Claim Resubmitted" data-source="Analyse|Web|Call" data-category="Jorie Resolved" data-sub="Attending Provider NPI Missing" data-reason="Claim/service lacks information or has submission/billing error(s) which is needed for adjudication" data-carc="16" data-rarc="M68"&gt;
  &lt;td class="c-code"&gt;NPI Missing in Claim Form&lt;/td&gt;
  &lt;td class="c-code"&gt;Corrected Claim Resubmitted&lt;/td&gt;
  &lt;td class="c-code"&gt;Analyse|Web|Call&lt;/td&gt;
  &lt;td&gt;&lt;span class="chip chip-green"&gt;✔ Jorie Resolved&lt;/span&gt;&lt;/td&gt;
  &lt;td class="c-code"&gt;Attending Provider NPI Missing&lt;/td&gt;
  &lt;td class="c-wrap"&gt;&lt;span class="deny-text"&gt;Claim/service lacks information or has submission/billing error(s) which is needed for adjudication&lt;/span&gt;&lt;/td&gt;
  &lt;td&gt;&lt;span class="code-pill carc"&gt;16&lt;/span&gt;&lt;/td&gt;
  &lt;td&gt;&lt;span class="code-pill rarc"&gt;M68&lt;/span&gt;&lt;/td&gt;
&lt;/tr&gt;</t>
  </si>
  <si>
    <t>&lt;tr data-status="Occurrence Code/Date Related" data-action="Corrected Claim Resubmitted" data-source="Analyse|Web|Call" data-category="Jorie Resolved" data-sub="Occurrence Code/Date Related" data-reason="Claim/service lacks information or has submission/billing error(s) which is needed for adjudication" data-carc="16" data-rarc="MA100"&gt;
  &lt;td class="c-code"&gt;Occurrence Code/Date Related&lt;/td&gt;
  &lt;td class="c-code"&gt;Corrected Claim Resubmitted&lt;/td&gt;
  &lt;td class="c-code"&gt;Analyse|Web|Call&lt;/td&gt;
  &lt;td&gt;&lt;span class="chip chip-green"&gt;✔ Jorie Resolved&lt;/span&gt;&lt;/td&gt;
  &lt;td class="c-code"&gt;Occurrence Code/Date Related&lt;/td&gt;
  &lt;td class="c-wrap"&gt;&lt;span class="deny-text"&gt;Claim/service lacks information or has submission/billing error(s) which is needed for adjudication&lt;/span&gt;&lt;/td&gt;
  &lt;td&gt;&lt;span class="code-pill carc"&gt;16&lt;/span&gt;&lt;/td&gt;
  &lt;td&gt;&lt;span class="code-pill rarc"&gt;MA100&lt;/span&gt;&lt;/td&gt;
&lt;/tr&gt;</t>
  </si>
  <si>
    <t>Paid &amp; Deductible Applied</t>
  </si>
  <si>
    <t>&lt;tr data-status="Paid &amp; Deductible Applied" data-action="Allow Time Payment Posting" data-source="Analyse|Web|Call" data-category="Jorie Resolved" data-sub="Paid" data-reason="Exact duplicate claim/service" data-carc="CO 18" data-rarc="N389"&gt;
  &lt;td class="c-code"&gt;Paid &amp; Deductible Applied&lt;/td&gt;
  &lt;td class="c-code"&gt;Allow Time Payment Posting&lt;/td&gt;
  &lt;td class="c-code"&gt;Analyse|Web|Call&lt;/td&gt;
  &lt;td&gt;&lt;span class="chip chip-green"&gt;✔ Jorie Resolved&lt;/span&gt;&lt;/td&gt;
  &lt;td class="c-code"&gt;Paid&lt;/td&gt;
  &lt;td class="c-wrap"&gt;&lt;span class="deny-text"&gt;Exact duplicate claim/service&lt;/span&gt;&lt;/td&gt;
  &lt;td&gt;&lt;span class="code-pill carc"&gt;CO 18&lt;/span&gt;&lt;/td&gt;
  &lt;td&gt;&lt;span class="code-pill rarc"&gt;N389&lt;/span&gt;&lt;/td&gt;
&lt;/tr&gt;</t>
  </si>
  <si>
    <t>&lt;tr data-status="Patient Cannot be Identified as Our Insured" data-action="Verified | Submitted to Correct Insurance" data-source="Analyse|Web|Call" data-category="Jorie Resolved" data-sub="Eligibility / Coverage" data-reason="Patient cannot be identified as our insured" data-carc="31" data-rarc="MA61"&gt;
  &lt;td class="c-code"&gt;Patient Cannot be Identified as Our Insured&lt;/td&gt;
  &lt;td class="c-code"&gt;Verified | Submitted to Correct Insurance&lt;/td&gt;
  &lt;td class="c-code"&gt;Analyse|Web|Call&lt;/td&gt;
  &lt;td&gt;&lt;span class="chip chip-green"&gt;✔ Jorie Resolved&lt;/span&gt;&lt;/td&gt;
  &lt;td class="c-code"&gt;Eligibility / Coverage&lt;/td&gt;
  &lt;td class="c-wrap"&gt;&lt;span class="deny-text"&gt;Patient cannot be identified as our insured&lt;/span&gt;&lt;/td&gt;
  &lt;td&gt;&lt;span class="code-pill carc"&gt;31&lt;/span&gt;&lt;/td&gt;
  &lt;td&gt;&lt;span class="code-pill rarc"&gt;MA61&lt;/span&gt;&lt;/td&gt;
&lt;/tr&gt;</t>
  </si>
  <si>
    <t>&lt;tr data-status="Payment Reversal" data-action="Claim Already Paid | Ignored" data-source="Analyse|Web|Call" data-category="Jorie Resolved" data-sub="Duplicate Billing" data-reason="Exact duplicate claim/service" data-carc="18" data-rarc="N389"&gt;
  &lt;td class="c-code"&gt;Payment Reversal&lt;/td&gt;
  &lt;td class="c-code"&gt;Claim Already Paid | Ignored&lt;/td&gt;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t>
  </si>
  <si>
    <t>Claim Ignored_Already Paid</t>
  </si>
  <si>
    <t>&lt;tr data-status="POS &amp; Procedure Not Matched" data-action="Claim Ignored_Already Paid" data-source="Analyse|Web|Call" data-category="Jorie Resolved" data-sub="Incorrect/Invalid/Missing POS|TOB" data-reason="The procedure code/bill type is inconsistent with the place of service" data-carc="CO 5" data-rarc="M97"&gt;
  &lt;td class="c-code"&gt;POS &amp; Procedure Not Matched&lt;/td&gt;
  &lt;td class="c-code"&gt;Claim Ignored_Already Paid&lt;/td&gt;
  &lt;td class="c-code"&gt;Analyse|Web|Call&lt;/td&gt;
  &lt;td&gt;&lt;span class="chip chip-green"&gt;✔ Jorie Resolved&lt;/span&gt;&lt;/td&gt;
  &lt;td class="c-code"&gt;Incorrect/Invalid/Missing POS|TOB&lt;/td&gt;
  &lt;td class="c-wrap"&gt;&lt;span class="deny-text"&gt;The procedure code/bill type is inconsistent with the place of service&lt;/span&gt;&lt;/td&gt;
  &lt;td&gt;&lt;span class="code-pill carc"&gt;CO 5&lt;/span&gt;&lt;/td&gt;
  &lt;td&gt;&lt;span class="code-pill rarc"&gt;M97&lt;/span&gt;&lt;/td&gt;
&lt;/tr&gt;</t>
  </si>
  <si>
    <t>&lt;tr data-status="POS &amp; Procedure Not Matched" data-action="Corrected Claim Resubmitted" data-source="Analyse|Web|Call" data-category="Jorie Resolved" data-sub="Incorrect/Invalid/Missing POS|TOB" data-reason="The procedure code/bill type is inconsistent with the place of service" data-carc="CO 5" data-rarc="M97"&gt;
  &lt;td class="c-code"&gt;POS &amp; Procedure Not Matched&lt;/td&gt;
  &lt;td class="c-code"&gt;Corrected Claim Resubmitted&lt;/td&gt;
  &lt;td class="c-code"&gt;Analyse|Web|Call&lt;/td&gt;
  &lt;td&gt;&lt;span class="chip chip-green"&gt;✔ Jorie Resolved&lt;/span&gt;&lt;/td&gt;
  &lt;td class="c-code"&gt;Incorrect/Invalid/Missing POS|TOB&lt;/td&gt;
  &lt;td class="c-wrap"&gt;&lt;span class="deny-text"&gt;The procedure code/bill type is inconsistent with the place of service&lt;/span&gt;&lt;/td&gt;
  &lt;td&gt;&lt;span class="code-pill carc"&gt;CO 5&lt;/span&gt;&lt;/td&gt;
  &lt;td&gt;&lt;span class="code-pill rarc"&gt;M97&lt;/span&gt;&lt;/td&gt;
&lt;/tr&gt;</t>
  </si>
  <si>
    <t>Primary EOB Submitted</t>
  </si>
  <si>
    <t>&lt;tr data-status="Primary Carrier EOB Missing" data-action="Primary EOB Submitted" data-source="Analyse|Web|Call" data-category="Jorie Resolved" data-sub="Eligibility / Coverage" data-reason="An attachment/other documentation is required to adjudicate this claim/service. At least one Remark Code must be provided" data-carc="252" data-rarc="N4"&gt;
  &lt;td class="c-code"&gt;Primary Carrier EOB Missing&lt;/td&gt;
  &lt;td class="c-code"&gt;Primary EOB Submitted&lt;/td&gt;
  &lt;td class="c-code"&gt;Analyse|Web|Call&lt;/td&gt;
  &lt;td&gt;&lt;span class="chip chip-green"&gt;✔ Jorie Resolved&lt;/span&gt;&lt;/td&gt;
  &lt;td class="c-code"&gt;Eligibility / Coverage&lt;/td&gt;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t>
  </si>
  <si>
    <t>&lt;tr data-status="Primary Carrier EOB Missing" data-action="Primary EOB Submitted" data-source="Analyse|Web|Call" data-category="Jorie Resolved" data-sub="Eligibility / Coverage" data-reason="Claim/service lacks information or has submission/billing error(s) which is needed for adjudication" data-carc="16" data-rarc="MA04"&gt;
  &lt;td class="c-code"&gt;Primary Carrier EOB Missing&lt;/td&gt;
  &lt;td class="c-code"&gt;Primary EOB Submitted&lt;/td&gt;
  &lt;td class="c-code"&gt;Analyse|Web|Call&lt;/td&gt;
  &lt;td&gt;&lt;span class="chip chip-green"&gt;✔ Jorie Resolved&lt;/span&gt;&lt;/td&gt;
  &lt;td class="c-code"&gt;Eligibility / Coverage&lt;/td&gt;
  &lt;td class="c-wrap"&gt;&lt;span class="deny-text"&gt;Claim/service lacks information or has submission/billing error(s) which is needed for adjudication&lt;/span&gt;&lt;/td&gt;
  &lt;td&gt;&lt;span class="code-pill carc"&gt;16&lt;/span&gt;&lt;/td&gt;
  &lt;td&gt;&lt;span class="code-pill rarc"&gt;MA04&lt;/span&gt;&lt;/td&gt;
&lt;/tr&gt;</t>
  </si>
  <si>
    <t>&lt;tr data-status="Primary Carrier EOB Missing" data-action="Verified | Submitted to Correct Insurance" data-source="Analyse|Web|Call" data-category="Jorie Resolved" data-sub="Eligibility / Coverage" data-reason="Claim/service lacks information or has submission/billing error(s) which is needed for adjudication" data-carc="16" data-rarc="MA04"&gt;
  &lt;td class="c-code"&gt;Primary Carrier EOB Missing&lt;/td&gt;
  &lt;td class="c-code"&gt;Verified | Submitted to Correct Insurance&lt;/td&gt;
  &lt;td class="c-code"&gt;Analyse|Web|Call&lt;/td&gt;
  &lt;td&gt;&lt;span class="chip chip-green"&gt;✔ Jorie Resolved&lt;/span&gt;&lt;/td&gt;
  &lt;td class="c-code"&gt;Eligibility / Coverage&lt;/td&gt;
  &lt;td class="c-wrap"&gt;&lt;span class="deny-text"&gt;Claim/service lacks information or has submission/billing error(s) which is needed for adjudication&lt;/span&gt;&lt;/td&gt;
  &lt;td&gt;&lt;span class="code-pill carc"&gt;16&lt;/span&gt;&lt;/td&gt;
  &lt;td&gt;&lt;span class="code-pill rarc"&gt;MA04&lt;/span&gt;&lt;/td&gt;
&lt;/tr&gt;</t>
  </si>
  <si>
    <t>&lt;tr data-status="Primary Carrier EOB Missing" data-action="Verified | Submitted to Correct Insurance" data-source="Analyse|Web|Call" data-category="Jorie Resolved" data-sub="Eligibility / Coverage" data-reason="An attachment/other documentation is required to adjudicate this claim/service. At least one Remark Code must be provided" data-carc="252" data-rarc="N4"&gt;
  &lt;td class="c-code"&gt;Primary Carrier EOB Missing&lt;/td&gt;
  &lt;td class="c-code"&gt;Verified | Submitted to Correct Insurance&lt;/td&gt;
  &lt;td class="c-code"&gt;Analyse|Web|Call&lt;/td&gt;
  &lt;td&gt;&lt;span class="chip chip-green"&gt;✔ Jorie Resolved&lt;/span&gt;&lt;/td&gt;
  &lt;td class="c-code"&gt;Eligibility / Coverage&lt;/td&gt;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t>
  </si>
  <si>
    <t>Procedure Postponed, Canceled, or Delayed</t>
  </si>
  <si>
    <t>Denial Ignored</t>
  </si>
  <si>
    <t>Claim Voided</t>
  </si>
  <si>
    <t>CO 115</t>
  </si>
  <si>
    <t>&lt;tr data-status="Procedure Postponed, Canceled, or Delayed" data-action="Denial Ignored" data-source="Analyse|Web|Call" data-category="Jorie Resolved" data-sub="Claim Voided" data-reason="Procedure postponed, canceled, or delayed." data-carc="CO 115" data-rarc="N650"&gt;
  &lt;td class="c-code"&gt;Procedure Postponed, Canceled, or Delayed&lt;/td&gt;
  &lt;td class="c-code"&gt;Denial Ignored&lt;/td&gt;
  &lt;td class="c-code"&gt;Analyse|Web|Call&lt;/td&gt;
  &lt;td&gt;&lt;span class="chip chip-green"&gt;✔ Jorie Resolved&lt;/span&gt;&lt;/td&gt;
  &lt;td class="c-code"&gt;Claim Voided&lt;/td&gt;
  &lt;td class="c-wrap"&gt;&lt;span class="deny-text"&gt;Procedure postponed, canceled, or delayed.&lt;/span&gt;&lt;/td&gt;
  &lt;td&gt;&lt;span class="code-pill carc"&gt;CO 115&lt;/span&gt;&lt;/td&gt;
  &lt;td&gt;&lt;span class="code-pill rarc"&gt;N650&lt;/span&gt;&lt;/td&gt;
&lt;/tr&gt;</t>
  </si>
  <si>
    <t>&lt;tr data-status="Referral absent" data-action="Corrected Claim Resubmitted" data-source="Analyse|Web|Call" data-category="Jorie Resolved" data-sub="Authorization/Referral" data-reason="Referral absent" data-carc="CO 288" data-rarc="N630"&gt;
  &lt;td class="c-code"&gt;Referral absent&lt;/td&gt;
  &lt;td class="c-code"&gt;Corrected Claim Resubmitted&lt;/td&gt;
  &lt;td class="c-code"&gt;Analyse|Web|Call&lt;/td&gt;
  &lt;td&gt;&lt;span class="chip chip-green"&gt;✔ Jorie Resolved&lt;/span&gt;&lt;/td&gt;
  &lt;td class="c-code"&gt;Authorization/Referral&lt;/td&gt;
  &lt;td class="c-wrap"&gt;&lt;span class="deny-text"&gt;Referral absent&lt;/span&gt;&lt;/td&gt;
  &lt;td&gt;&lt;span class="code-pill carc"&gt;CO 288&lt;/span&gt;&lt;/td&gt;
  &lt;td&gt;&lt;span class="code-pill rarc"&gt;N630&lt;/span&gt;&lt;/td&gt;
&lt;/tr&gt;</t>
  </si>
  <si>
    <t>Documents Submitted</t>
  </si>
  <si>
    <t>&lt;tr data-status="Requested MR/Itemized Bill" data-action="Documents Submitted" data-source="Analyse|Web|Call" data-category="Jorie Resolved" data-sub="Document Requested Itemized Bill | MR" data-reason="The attachment/other documentation is not required for adjudication of this claim/service" data-carc="CO 251" data-rarc="N29"&gt;
  &lt;td class="c-code"&gt;Requested MR/Itemized Bill&lt;/td&gt;
  &lt;td class="c-code"&gt;Documents Submitted&lt;/td&gt;
  &lt;td class="c-code"&gt;Analyse|Web|Call&lt;/td&gt;
  &lt;td&gt;&lt;span class="chip chip-green"&gt;✔ Jorie Resolved&lt;/span&gt;&lt;/td&gt;
  &lt;td class="c-code"&gt;Document Requested Itemized Bill | MR&lt;/td&gt;
  &lt;td class="c-wrap"&gt;&lt;span class="deny-text"&gt;The attachment/other documentation is not required for adjudication of this claim/service&lt;/span&gt;&lt;/td&gt;
  &lt;td&gt;&lt;span class="code-pill carc"&gt;CO 251&lt;/span&gt;&lt;/td&gt;
  &lt;td&gt;&lt;span class="code-pill rarc"&gt;N29&lt;/span&gt;&lt;/td&gt;
&lt;/tr&gt;</t>
  </si>
  <si>
    <t>Services not Provided By Network</t>
  </si>
  <si>
    <t>&lt;tr data-status="Services not Provided By Network" data-action="Procedure Already Paid | Waiting Payment Posting" data-source="Analyse|Web|Call" data-category="Jorie Resolved" data-sub="Bundled" data-reason="Services not provided by network/primary care providers" data-carc="242" data-rarc="M15"&gt;
  &lt;td class="c-code"&gt;Services not Provided By Network&lt;/td&gt;
  &lt;td class="c-code"&gt;Procedure Already Paid | Waiting Payment Posting&lt;/td&gt;
  &lt;td class="c-code"&gt;Analyse|Web|Call&lt;/td&gt;
  &lt;td&gt;&lt;span class="chip chip-green"&gt;✔ Jorie Resolved&lt;/span&gt;&lt;/td&gt;
  &lt;td class="c-code"&gt;Bundled&lt;/td&gt;
  &lt;td class="c-wrap"&gt;&lt;span class="deny-text"&gt;Services not provided by network/primary care providers&lt;/span&gt;&lt;/td&gt;
  &lt;td&gt;&lt;span class="code-pill carc"&gt;242&lt;/span&gt;&lt;/td&gt;
  &lt;td&gt;&lt;span class="code-pill rarc"&gt;M15&lt;/span&gt;&lt;/td&gt;
&lt;/tr&gt;</t>
  </si>
  <si>
    <t>Unable to Connect Call/Email/Web</t>
  </si>
  <si>
    <t>Left Voice Message</t>
  </si>
  <si>
    <t>Left Voice Mail</t>
  </si>
  <si>
    <t>&lt;tr data-status="Unable to Connect Call/Email/Web" data-action="Left Voice Message" data-source="Analyse|Web|Call" data-category="Jorie Resolved" data-sub="Left Voice Mail" data-reason="An attachment/other documentation is required to adjudicate this claim/service. At least one Remark Code must be provided" data-carc="252" data-rarc="N4"&gt;
  &lt;td class="c-code"&gt;Unable to Connect Call/Email/Web&lt;/td&gt;
  &lt;td class="c-code"&gt;Left Voice Message&lt;/td&gt;
  &lt;td class="c-code"&gt;Analyse|Web|Call&lt;/td&gt;
  &lt;td&gt;&lt;span class="chip chip-green"&gt;✔ Jorie Resolved&lt;/span&gt;&lt;/td&gt;
  &lt;td class="c-code"&gt;Left Voice Mail&lt;/td&gt;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t>
  </si>
  <si>
    <t>&lt;tr data-status="Unable to Connect Call/Email/Web" data-action="Left Voice Message" data-source="Analyse|Web|Call" data-category="Jorie Resolved" data-sub="Left Voice Mail" data-reason="Claim/service not covered by this payer/contractor. You must send the claim/service to the correct payer/contractor" data-carc="109" data-rarc="N103"&gt;
  &lt;td class="c-code"&gt;Unable to Connect Call/Email/Web&lt;/td&gt;
  &lt;td class="c-code"&gt;Left Voice Message&lt;/td&gt;
  &lt;td class="c-code"&gt;Analyse|Web|Call&lt;/td&gt;
  &lt;td&gt;&lt;span class="chip chip-green"&gt;✔ Jorie Resolved&lt;/span&gt;&lt;/td&gt;
  &lt;td class="c-code"&gt;Left Voice Mail&lt;/td&gt;
  &lt;td class="c-wrap"&gt;&lt;span class="deny-text"&gt;Claim/service not covered by this payer/contractor. You must send the claim/service to the correct payer/contractor&lt;/span&gt;&lt;/td&gt;
  &lt;td&gt;&lt;span class="code-pill carc"&gt;109&lt;/span&gt;&lt;/td&gt;
  &lt;td&gt;&lt;span class="code-pill rarc"&gt;N103&lt;/span&gt;&lt;/td&gt;
&lt;/tr&gt;</t>
  </si>
  <si>
    <t>&lt;tr data-status="Work-Related Injury Indicated" data-action="Verified | Submitted to Correct Insurance" data-source="Analyse|Web|Call" data-category="Jorie Resolved" data-sub="Eligibility / Coverage" data-reason="This is a work-related injury/illness and thus the liability of the Worker's Compensation Carrier" data-carc="19" data-rarc="N728"&gt;
  &lt;td class="c-code"&gt;Work-Related Injury Indicated&lt;/td&gt;
  &lt;td class="c-code"&gt;Verified | Submitted to Correct Insurance&lt;/td&gt;
  &lt;td class="c-code"&gt;Analyse|Web|Call&lt;/td&gt;
  &lt;td&gt;&lt;span class="chip chip-green"&gt;✔ Jorie Resolved&lt;/span&gt;&lt;/td&gt;
  &lt;td class="c-code"&gt;Eligibility / Coverage&lt;/td&gt;
  &lt;td class="c-wrap"&gt;&lt;span class="deny-text"&gt;This is a work-related injury/illness and thus the liability of the Worker's Compensation Carrier&lt;/span&gt;&lt;/td&gt;
  &lt;td&gt;&lt;span class="code-pill carc"&gt;19&lt;/span&gt;&lt;/td&gt;
  &lt;td&gt;&lt;span class="code-pill rarc"&gt;N728&lt;/span&gt;&lt;/td&gt;
&lt;/tr&gt;</t>
  </si>
  <si>
    <t>&lt;tr data-status="Wrong Payer Billed" data-action="Already Paid by Correct Insurance | Ignored" data-source="Analyse|Web|Call" data-category="Jorie Resolved" data-sub="Eligibility / Coverage" data-reason="Claim/service not covered by this payer/contractor. You must send the claim/service to the correct payer/contractor" data-carc="109" data-rarc="N103"&gt;
  &lt;td class="c-code"&gt;Wrong Payer Billed&lt;/td&gt;
  &lt;td class="c-code"&gt;Already Paid by Correct Insurance | Ignored&lt;/td&gt;
  &lt;td class="c-code"&gt;Analyse|Web|Call&lt;/td&gt;
  &lt;td&gt;&lt;span class="chip chip-green"&gt;✔ Jorie Resolved&lt;/span&gt;&lt;/td&gt;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rarc"&gt;N103&lt;/span&gt;&lt;/td&gt;
&lt;/tr&gt;</t>
  </si>
  <si>
    <t>&lt;tr data-status="Wrong Payer Billed" data-action="Verified | Submitted to Correct Insurance" data-source="Analyse|Web|Call" data-category="Jorie Resolved" data-sub="Eligibility / Coverage" data-reason="Claim/service not covered by this payer/contractor. You must send the claim/service to the correct payer/contractor" data-carc="109" data-rarc="N193"&gt;
  &lt;td class="c-code"&gt;Wrong Payer Billed&lt;/td&gt;
  &lt;td class="c-code"&gt;Verified | Submitted to Correct Insurance&lt;/td&gt;
  &lt;td class="c-code"&gt;Analyse|Web|Call&lt;/td&gt;
  &lt;td&gt;&lt;span class="chip chip-green"&gt;✔ Jorie Resolved&lt;/span&gt;&lt;/td&gt;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rarc"&gt;N193&lt;/span&gt;&lt;/td&gt;
&lt;/tr&gt;</t>
  </si>
  <si>
    <t>&lt;tr data-status="Wrong Payer Billed" data-action="Verified | Submitted to Correct Insurance" data-source="Analyse|Web|Call" data-category="Jorie Resolved" data-sub="Eligibility / Coverage" data-reason="Claim/service not covered by this payer/contractor. You must send the claim/service to the correct payer/contractor." data-carc="109" data-rarc="N418"&gt;
  &lt;td class="c-code"&gt;Wrong Payer Billed&lt;/td&gt;
  &lt;td class="c-code"&gt;Verified | Submitted to Correct Insurance&lt;/td&gt;
  &lt;td class="c-code"&gt;Analyse|Web|Call&lt;/td&gt;
  &lt;td&gt;&lt;span class="chip chip-green"&gt;✔ Jorie Resolved&lt;/span&gt;&lt;/td&gt;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rarc"&gt;N418&lt;/span&gt;&lt;/td&gt;
&lt;/tr&gt;</t>
  </si>
  <si>
    <t>&lt;tr data-status="Wrong Payer Billed" data-action="Verified | Submitted to Correct Insurance" data-source="Analyse|Web|Call" data-category="Jorie Resolved" data-sub="Eligibility / Coverage" data-reason="Claim/service not covered by this payer/contractor. You must send the claim/service to the correct payer/contractor" data-carc="109" data-rarc="N418"&gt;
  &lt;td class="c-code"&gt;Wrong Payer Billed&lt;/td&gt;
  &lt;td class="c-code"&gt;Verified | Submitted to Correct Insurance&lt;/td&gt;
  &lt;td class="c-code"&gt;Analyse|Web|Call&lt;/td&gt;
  &lt;td&gt;&lt;span class="chip chip-green"&gt;✔ Jorie Resolved&lt;/span&gt;&lt;/td&gt;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rarc"&gt;N418&lt;/span&gt;&lt;/td&gt;
&lt;/tr&gt;</t>
  </si>
  <si>
    <t>Pending</t>
  </si>
  <si>
    <t>&lt;tr data-status="Pending" data-action="Pending" data-source="Pending" data-category="Pending" data-sub="Pending" data-reason="-" data-carc="-" data-rarc="-"&gt;
  &lt;td class="c-code"&gt;Pending&lt;/td&gt;
  &lt;td class="c-code"&gt;Pending&lt;/td&gt;
  &lt;td class="c-code"&gt;Pending&lt;/td&gt;
  &lt;td&gt;&lt;span class="chip chip-green"&gt;✔ Pending&lt;/span&gt;&lt;/td&gt;
  &lt;td class="c-code"&gt;Pending&lt;/td&gt;
  &lt;td class="c-wrap"&gt;&lt;span class="deny-text"&gt;-&lt;/span&gt;&lt;/td&gt;
  &lt;td&gt;&lt;span class="code-pill carc"&gt;-&lt;/span&gt;&lt;/td&gt;
  &lt;td&gt;&lt;span class="code-pill rarc"&gt;-&lt;/span&gt;&lt;/td&gt;
&lt;/tr&gt;</t>
  </si>
  <si>
    <t>Queue Not Found</t>
  </si>
  <si>
    <t>&lt;tr data-status="Queue Not Found" data-action="Queue Not Found" data-source="Queue Not Found" data-category="Queue Not Found" data-sub="Queue Not Found" data-reason="-" data-carc="-" data-rarc="-"&gt;
  &lt;td class="c-code"&gt;Queue Not Found&lt;/td&gt;
  &lt;td class="c-code"&gt;Queue Not Found&lt;/td&gt;
  &lt;td class="c-code"&gt;Queue Not Found&lt;/td&gt;
  &lt;td&gt;&lt;span class="chip chip-green"&gt;✔ Queue Not Found&lt;/span&gt;&lt;/td&gt;
  &lt;td class="c-code"&gt;Queue Not Found&lt;/td&gt;
  &lt;td class="c-wrap"&gt;&lt;span class="deny-text"&gt;-&lt;/span&gt;&lt;/td&gt;
  &lt;td&gt;&lt;span class="code-pill carc"&gt;-&lt;/span&gt;&lt;/td&gt;
  &lt;td&gt;&lt;span class="code-pill rarc"&gt;-&lt;/span&gt;&lt;/td&gt;
&lt;/tr&gt;</t>
  </si>
  <si>
    <t>Claim Forwarded to Correct Payer</t>
  </si>
  <si>
    <t>&lt;tr data-status="Claim Forwarded to Correct Payer" data-action="Allow Time Payment Posting" data-source="Call" data-category="Jorie Resolved" data-sub="Paid" data-reason="The claim/service has been transferred to the proper payer/processor for processing. Claim/service not covered by this payer/processor." data-carc="B11" data-rarc="-"&gt;
  &lt;td class="c-code"&gt;Claim Forwarded to Correct Payer&lt;/td&gt;
  &lt;td class="c-code"&gt;Allow Time Payment Posting&lt;/td&gt;
  &lt;td class="c-code"&gt;Call&lt;/td&gt;
  &lt;td&gt;&lt;span class="chip chip-green"&gt;✔ Jorie Resolved&lt;/span&gt;&lt;/td&gt;
  &lt;td class="c-code"&gt;Paid&lt;/td&gt;
  &lt;td class="c-wrap"&gt;&lt;span class="deny-text"&gt;The claim/service has been transferred to the proper payer/processor for processing. Claim/service not covered by this payer/processor.&lt;/span&gt;&lt;/td&gt;
  &lt;td&gt;&lt;span class="code-pill carc"&gt;B11&lt;/span&gt;&lt;/td&gt;
  &lt;td&gt;&lt;span class="code-pill rarc"&gt;-&lt;/span&gt;&lt;/td&gt;
&lt;/tr&gt;</t>
  </si>
  <si>
    <t>The claim was rejected because the name and/or address of the responsible party or primary payer was missing, incomplete, invalid, or not recognized. This information is required to establish coordination of benefits (COB), determine the correct payer sequence, and ensure proper routing of the claim.
On the CMS-1500 claim form, primary payer and responsible party information is reported in Box 1 — Insurance Type, Box 1a — Insured’s ID Number, Box 9–9d — Other Insured Information, and Box 11 — Insured’s Policy Information. On the UB-04 claim form, this information is reported in Form Locator (FL) 50 — Payer Name, FL 58 — Insured’s Name, and FL 59 — Patient Relationship, along with related fields up to FL 60 — Insured’s Unique ID.</t>
  </si>
  <si>
    <t>• Primary insurance name missing on claim → rejected.
• Incorrect payer address or payer ID submitted → denial applied.
• COB indicates another payer but details not provided → rejection issued.
• Responsible party information incomplete for secondary billing → claim unprocessable.
• System mapping error omitted payer details → claim denied.</t>
  </si>
  <si>
    <t>• Incomplete or incorrect insurance information during registration.
• Failure to capture primary payer details for COB.
Outdated payer information not updated in system.
• Data entry or transmission errors.
• Staff unfamiliar with COB requirements.
• Incomplete patient insurance documentation.</t>
  </si>
  <si>
    <t>• Verify primary payer name, address, and policy details via eligibility check.
• Update responsible party and insurance information in billing system.
• Ensure correct payer sequencing (primary vs secondary).
• Correct claim with complete and accurate payer details.
• Resubmit claim as a new submission.
• Confirm acceptance through clearinghouse or payer portal.</t>
  </si>
  <si>
    <t>Invalid IDE Number or Clinical Trial Number</t>
  </si>
  <si>
    <t>Invalid Name/Address of Responsible Party or Primary Payer</t>
  </si>
  <si>
    <t>The claim was rejected because the required Investigational Device Exemption (IDE) number and/or Clinical Trial number was missing, incomplete, invalid, or not recognized.
On the CMS-1500 claim form, the IDE or Clinical Trial number is typically reported in Box 19 — Additional Claim Information, along with clinical trial indicators when applicable. On the UB-04 claim form, this information is reported in Form Locator (FL) 80 — Remarks, and when required, supported by FL 39–41 — Value Codes (e.g., clinical trial-related codes), along with service details in FL 44 — HCPCS/Rate/HIPPS Code.</t>
  </si>
  <si>
    <t>Clinical trial service billed without NCT number → rejected.
IDE number missing for investigational device → denial applied.
Invalid or expired clinical trial identifier submitted → rejection issued.
Clinical trial indicator present but supporting number absent → claim unprocessable.
System transmission dropped IDE/clinical trial field → denied.</t>
  </si>
  <si>
    <t>IDE or clinical trial number not entered during claim creation.
Incorrect or outdated identifier used.
Staff unaware of clinical trial billing requirements.
Mismatch between research documentation and claim data.
System mapping or clearinghouse errors.
Lack of coordination between research and billing teams.</t>
  </si>
  <si>
    <t>Verify correct IDE and/or clinical trial (NCT) number from research documentation.
Confirm validity and applicability for date of service.
Update claim with accurate identifier in appropriate field.
Attach supporting documentation if required by payer.
Resubmit corrected claim.
Appeal if denial applied incorrectly with proper documentation.</t>
  </si>
  <si>
    <t>The claim was rejected because the required Competitive Bidding Demonstration Project identification was missing, incomplete, invalid, or not recognized. Certain services (especially DMEPOS items) fall under Medicare Competitive Bidding Programs, where suppliers must be properly identified as contract suppliers and include the appropriate project or contract identification on the claim.
On the CMS-1500 claim form, competitive bidding or supplier identification details are typically reported in Box 23 — Prior Authorization Number or Box 19 — Additional Claim Information, along with supplier information in Box 33 — Billing Provider. On the UB-04 claim form, related identifiers may be reported in Form Locator (FL) 80 — Remarks or through associated supplier enrollment data linked to FL 56 — NPI, depending on payer requirements.</t>
  </si>
  <si>
    <t>DME supplier bills item under competitive bidding area without contract ID → rejected.
Non-contracted supplier submits claim for competitively bid item → denial applied.
Invalid or outdated competitive bidding identifier entered → rejection issued.
Supplier eligible but identification not included on claim → claim unprocessable.
System mapping error omitted bidding project ID → denied.</t>
  </si>
  <si>
    <t>Missing competitive bidding project or contract identifier.
Supplier not enrolled or not contracted under program.
Incorrect or expired bidding identification number.
Staff unaware of competitive bidding billing requirements.
Mismatch between supplier enrollment and billing data.
System or clearinghouse data transmission errors.</t>
  </si>
  <si>
    <t>Verify whether item falls under Competitive Bidding Program.
Confirm supplier contract status and correct project identification.
Update claim with valid competitive bidding identifier.
Ensure supplier enrollment aligns with billed services.
Resubmit corrected claim.
Appeal if supplier is eligible and denial was applied incorrectly.</t>
  </si>
  <si>
    <t>Invalid Competitive Bidding Demonstration Project Identification</t>
  </si>
  <si>
    <t>The claim was denied because the required physician certification and/or patient hospice election consent was not obtained or submitted within the required timeframe. Medicare hospice services require timely certification by a physician confirming terminal illness and a signed election statement by the patient (or representative) choosing hospice care.
On the UB-04 claim form, hospice services are billed using Form Locator (FL) 4 — Type of Bill (e.g., 81X for hospice), with patient and service details in FL 12 — Admission Date, FL 67 — Principal Diagnosis, and supporting documentation maintained outside the claim but required for compliance. The CMS-1500 form may reflect physician involvement through Box 17 — Referring/Certifying Provider, but hospice certification is primarily documentation-driven rather than a specific claim field.</t>
  </si>
  <si>
    <t>Hospice services initiated but physician certification signed after allowed timeframe → denied.
Patient election form missing or delayed → rejection issued.
Certification not renewed timely for subsequent benefit period → denial applied.
Incomplete or unsigned hospice election statement → claim unprocessable.
Documentation exists but not dated correctly → payer rejects claim.</t>
  </si>
  <si>
    <t>Delay in obtaining physician certification.
Patient election form not completed at admission.
Lack of tracking for certification timelines.
Incomplete or improperly documented forms.
Staff unaware of hospice documentation requirements.
Poor coordination between clinical and billing teams.</t>
  </si>
  <si>
    <t>Verify physician certification and election consent dates.
Confirm compliance with Medicare timing requirements.
Obtain corrected or updated documentation if allowable.
Resubmit claim if documentation meets criteria.
If timing requirements not met → adjust claim per non-covered rules.
Appeal if documentation was timely but not recognized by payer.</t>
  </si>
  <si>
    <t>Physician Certification or Hospice Election Consent Not Received Timely</t>
  </si>
  <si>
    <t>Religious Non-Medical Health Care Election Revoked Due to Receipt of Medical Services</t>
  </si>
  <si>
    <t>The claim was denied because the patient had elected to receive religious non-medical health care services (e.g., care in a religious non-medical health care institution), but subsequently received medical health care services, which automatically revokes that election under Medicare rules.
Facility and service details are reported on the UB-04 Form Locator (FL) 4 — Type of Bill, FL 12 — Admission Date, and FL 67 — Principal Diagnosis, which are used to determine the type of care and eligibility. The CMS-1500 form may reflect related services through Box 24D — Procedure Code</t>
  </si>
  <si>
    <t>Patient elects religious non-medical care but receives hospital treatment → election revoked → denied.
Services billed under religious facility after patient receives medical intervention → rejection issued.
Patient transitions from non-medical to medical care without proper update → denial applied.
Facility unaware patient received covered medical services elsewhere → claim denied.
Overlap between medical and non-medical services → payer rejects claim.</t>
  </si>
  <si>
    <t>Patient received medical services after electing non-medical care.
Failure to track benefit election status changes.
Lack of coordination between medical and non-medical providers.
Billing submitted under incorrect benefit category.
Staff unaware of automatic revocation rules.
Incomplete documentation of care transition.</t>
  </si>
  <si>
    <t>The claim was denied because the provider has opted out of Medicare and entered into a private contract with the patient, agreeing not to bill Medicare for services rendered. Therefore, Medicare cannot issue payment. However, unlike standard non-participating scenarios, this alert also specifies that the provider cannot charge the patient more than the limiting charge amount defined under Federal law (where applicable). The patient is responsible for payment within these regulatory limits.</t>
  </si>
  <si>
    <t>Provider opted out but submits claim to Medicare → denied with patient responsibility.
Private contract in place but billing staff unaware → claim rejected.
Provider attempts to charge patient above limiting charge → compliance issue identified.
Group bills under opted-out physician NPI → denial applied.
Services rendered during active opt-out period → payer rejects claim.</t>
  </si>
  <si>
    <t>Provider enrolled as opted-out with Medicare.
Private contract agreement executed with patient.
Billing system not updated to reflect opt-out status.
Staff unaware of limiting charge regulations.
Misalignment between credentialing and billing systems.
Misunderstanding of participation vs opt-out rules.</t>
  </si>
  <si>
    <t>Verify provider’s Medicare opt-out status and contract agreement.
Do not resubmit claim to Medicare if opt-out is active.
Bill patient directly per private contract terms.
Ensure charges comply with limiting charge requirements.
Update billing system to prevent future Medicare submissions.
Consult compliance team if billing exceeds allowable limits.</t>
  </si>
  <si>
    <t>Verify patient’s benefit election status and service history.
Confirm whether medical services were received during the period.
Adjust claim if services fall outside allowable non-medical coverage.
Bill under appropriate benefit category if applicable.
Appeal only if revocation was incorrectly applied.
Coordinate with patient and providers to clarify coverage status.</t>
  </si>
  <si>
    <t>Patient Revoked Election for Religious Non-Medical</t>
  </si>
  <si>
    <t>This alert indicates that the patient has submitted a written request to revoke their election for religious non-medical health care services. Once the election is revoked, coverage under the religious non-medical benefit ends, and services billed under that category after the revocation date are no longer eligible for payment.</t>
  </si>
  <si>
    <t>Patient revokes religious non-medical election and transitions to medical care → subsequent claims denied under prior benefit.
Services billed after revocation date under non-medical category → rejection issued.
Facility unaware of revocation request → incorrect billing submitted.
Overlap of services before and after revocation not split correctly → denial applied.
Revocation documented but not updated in billing system → claim denied.</t>
  </si>
  <si>
    <t>Failure to update patient election status in billing system.
Lack of communication between patient, clinical team, and billing.
Billing services under incorrect benefit category post-revocation.
Incomplete tracking of revocation effective date.
Staff unaware of revocation impact on coverage.</t>
  </si>
  <si>
    <t>Verify revocation request and effective date.
Identify services rendered before and after revocation.
Adjust claim to reflect correct benefit category.
Rebill eligible services under appropriate coverage (if applicable).
Resubmit corrected claim.</t>
  </si>
  <si>
    <t>Invalid Release of Information (ROI) Indicator</t>
  </si>
  <si>
    <t>The claim was rejected because the Release of Information (ROI) indicator was missing, incomplete, invalid, or not properly reported.
On the CMS-1500 claim form, the ROI indicator is reported in Box 12 — Patient’s or Authorized Person’s Signature.</t>
  </si>
  <si>
    <t>ROI indicator left blank on CMS-1500 Box 12 → rejected.
Invalid or incorrect indicator value submitted → denial applied.
Missing patient signature authorization → claim unprocessable.
Electronic claim missing ROI flag due to mapping issue → rejected.
Authorization expired or not valid for date of service → claim denied.</t>
  </si>
  <si>
    <t>ROI field not populated during claim entry.
Missing or incomplete patient authorization documentation.
Incorrect indicator value selected.
System mapping or EDI transmission error.
Staff unaware of ROI requirements.
Expired or invalid consent on file.</t>
  </si>
  <si>
    <t>Verify patient authorization for release of information.
Ensure correct ROI indicator is selected in billing system.
Update claim with valid authorization details.
Confirm signature and date are properly documented.
Resubmit corrected claim.
Maintain documentation for audit purposes.</t>
  </si>
  <si>
    <t>Patient Overpayment — Refund Required Within 30 Days</t>
  </si>
  <si>
    <t>OA 45</t>
  </si>
  <si>
    <r>
      <t xml:space="preserve">This alert indicates that the </t>
    </r>
    <r>
      <rPr>
        <sz val="11"/>
        <color theme="1"/>
        <rFont val="Aptos Narrow"/>
        <family val="2"/>
        <scheme val="minor"/>
      </rPr>
      <t>patient has overpaid for the services, and the provider is required to refund the excess amount within 30 days.</t>
    </r>
  </si>
  <si>
    <t>Patient paid full amount upfront but insurance later adjudicated lower responsibility → refund required.
Duplicate patient payment collected → excess identified.
Incorrect estimate of patient responsibility at time of service → overcollection occurred.
Secondary insurance reduced patient liability → refund needed.
Manual posting error resulted in excess patient balance → adjustment required.</t>
  </si>
  <si>
    <t>Inaccurate upfront patient responsibility estimation.
Failure to verify insurance benefits before collection.
Duplicate or incorrect payment posting.
Delayed insurance adjudication.
Lack of reconciliation between patient payments and payer remittance.
Staff unaware of refund compliance timelines.</t>
  </si>
  <si>
    <t>Review remittance advice to confirm correct patient responsibility.
Identify amount overpaid by patient.
Process refund to patient within 30 days.
Adjust patient account balance accordingly.
Document refund transaction for audit purposes.
Communicate with patient regarding refund details if necessary.</t>
  </si>
  <si>
    <t>—</t>
  </si>
  <si>
    <t>Missing/incomplete/invalid information on the prescriber</t>
  </si>
  <si>
    <t>Expenses incurred prior to coverage</t>
  </si>
  <si>
    <t>Non-covered charge(s). At least one Remark Code must be provided</t>
  </si>
  <si>
    <t>Eligibility</t>
  </si>
  <si>
    <t>MA16 — Claim must be submitted to the Federal Black Lung Program.</t>
  </si>
  <si>
    <t>MA17 — This payer is primary; other payer paid in error.</t>
  </si>
  <si>
    <t>MA18 — Claim forwarded to supplemental insurer.</t>
  </si>
  <si>
    <t>The claim was denied because the service must be billed by the practitioner’s employer or the entity that holds the billing rights (such as a group practice, hospital, or organization). The claim was incorrectly submitted by an individual provider or incorrect billing entity. Payers require proper reassignment of benefits and billing under the correct organizational NPI.
On the CMS-1500 claim form, billing provider is reported in Box 33 and rendering provider in Box 24J. On the UB-04 claim form, billing provider is reported in FL 1 and NPI in FL 56.</t>
  </si>
  <si>
    <t>1.Website
2.Calling
3.Review</t>
  </si>
  <si>
    <t>1.Claim Submitted to Correct Payer
2.First Level Appeal Submitted.
3.Patient Need to Updated COB.
4.Bill Patient
5.Resubmission/Reopen Through Web Portal.
6.Required Client Assistance</t>
  </si>
  <si>
    <t>• Employed physician bills under individual NPI → denied.
• Provider under hospital contract bills directly → rejected.
• Facility services billed by individual → denied.
• Locum provider without reassignment → rejected.
• Type 1 vs Type 2 NPI mismatch → denial.</t>
  </si>
  <si>
    <t>• Incorrect billing provider selected.
• Reassignment not established.
• Lack of awareness of billing rules.
• Credentialing incomplete.
• System NPI mapping errors.</t>
  </si>
  <si>
    <t>• Verify employment status.
• Confirm reassignment enrollment.
• Correct billing provider.
• Complete credentialing.
• Resubmit claim.
• Appeal if required.</t>
  </si>
  <si>
    <t>The claim was denied because the patient is covered under the Federal Black Lung Program. Services related to this condition must be billed to the Department of Labor instead of the current payer.
On CMS-1500, payer info is in Box 11 and 9. On UB-04, payer details are in FL 50–60.</t>
  </si>
  <si>
    <t>• Black lung services billed to Medicare → denied.
• Pneumoconiosis services billed to commercial payer → rejected.
• Federal coverage not identified → denial.</t>
  </si>
  <si>
    <t>• Incorrect payer selection.
• Eligibility not verified.
• Registration gap.</t>
  </si>
  <si>
    <t>• Verify eligibility.
• Submit to Department of Labor.
• Update insurance records.</t>
  </si>
  <si>
    <t>MA14 — Patient covered under employer-sponsored prepaid plan</t>
  </si>
  <si>
    <t>The claim was denied because the patient is enrolled in an employer-sponsored prepaid (HMO) plan and services rendered outside the network are not covered by this payer.
On CMS-1500, insurance info is in Box 11. On UB-04, payer details are in FL 50.</t>
  </si>
  <si>
    <t>Out-of-network visit → denied.
No referral under HMO → rejected.
Unauthorized specialist visit → denial.</t>
  </si>
  <si>
    <t>Eligibility verification failure.
HMO rules not followed.</t>
  </si>
  <si>
    <t>Verify network.
Redirect claim.
Obtain authorization.</t>
  </si>
  <si>
    <t>The claim was denied because coordination of benefits was incorrect and another payer was billed as primary instead of this payer.
CMS-1500 uses Box 9–11 for COB. UB-04 uses FL 50–60.</t>
  </si>
  <si>
    <t>Secondary billed first → denied.
Medicare should be primary → error.</t>
  </si>
  <si>
    <t>Incorrect COB sequence.
Outdated insurance data.</t>
  </si>
  <si>
    <t>Verify COB.
Bill correct payer.
Reprocess claim.</t>
  </si>
  <si>
    <t>The claim was forwarded to a supplemental insurer as part of coordination of benefits processing. No additional action may be required unless payment is not received.</t>
  </si>
  <si>
    <t>Medicare crossover → processed.
Primary forwards to secondary.</t>
  </si>
  <si>
    <t>Normal COB workflow.</t>
  </si>
  <si>
    <t>Wait for secondary payment.
Follow up if needed.</t>
  </si>
  <si>
    <t>22—Reversal of Previous Payment</t>
  </si>
  <si>
    <t>242—Services not provided by network/primary care providers</t>
  </si>
  <si>
    <t>275—Prior payer's (or payers') patient responsibility (deductible, coinsurance, co-payment) not covered. (Use only with Group Code PR)</t>
  </si>
  <si>
    <t>M1—X-ray not taken within the past 12 months or near enough to the start of treatment</t>
  </si>
  <si>
    <t>M10—Alert: This patient was not found in our records as an active Medicare beneficiary</t>
  </si>
  <si>
    <t>M101—Missing/incomplete/invalid provider identifier for this place of service</t>
  </si>
  <si>
    <t>M102—Service not covered when furnished by this provider at this facility/location</t>
  </si>
  <si>
    <t>M103—Information received supports the therapy break. However, the medical need for the billed item has not been substantiated.</t>
  </si>
  <si>
    <t>M106—Missing/incomplete/invalid attending physician or provider information</t>
  </si>
  <si>
    <t>M107—Payment reduced for an ESRD patient whose 90-day average hematocrit level exceeds 36.5%</t>
  </si>
  <si>
    <t>M108—Missing/incomplete/invalid provider or supplier information for the ordering/referring physician</t>
  </si>
  <si>
    <t>M109—Alert: This teleconsultation payment is bundled. You must send 25% of the payment to the referring practitioner.</t>
  </si>
  <si>
    <t>M11—DME, orthotics and prosthetics must be billed to the DME carrier who services the patient's zip code</t>
  </si>
  <si>
    <t>M110—Missing/incomplete/invalid information regarding whether the ordering physician is also the performing physician</t>
  </si>
  <si>
    <t>M111—Not covered unless the provider accepts assignment of chiropractic x-ray services</t>
  </si>
  <si>
    <t>M115—This claim/service was processed as a Medicare Replacement Plan claim</t>
  </si>
  <si>
    <t>M118—Physician certification or physician order is required for this service</t>
  </si>
  <si>
    <t>M119—Missing/incomplete/invalid/ National Drug Code</t>
  </si>
  <si>
    <t>M12—Diagnostic tests performed by a physician who also provided the interpretation must indicate whether the test was purchased or performed</t>
  </si>
  <si>
    <t>M121—Paid only when performed in conjunction with a covered cryosurgical ablation</t>
  </si>
  <si>
    <t>M122—Missing/incomplete/invalid subluxation level</t>
  </si>
  <si>
    <t>M123—Missing/incomplete/invalid name, strength, or dosage of the drug furnished</t>
  </si>
  <si>
    <t>M124—Missing/incomplete/invalid indication of whether the patient owns the equipment that requires the part or supply</t>
  </si>
  <si>
    <t>M125—Missing/incomplete/invalid information on how long the patient has needed the service/item</t>
  </si>
  <si>
    <t>M126—Missing/incomplete/invalid individual lab codes included in the panel</t>
  </si>
  <si>
    <t>M127—Missing/incomplete/invalid patient medical record for this service</t>
  </si>
  <si>
    <t>M128—Missing/incomplete/invalid date of the patient's last physician visit</t>
  </si>
  <si>
    <t>M129—Missing/incomplete/invalid indicator of x-ray availability for review</t>
  </si>
  <si>
    <t>M13—Alert: Only a portion of the payment for this service has been made on this claim</t>
  </si>
  <si>
    <t>M131—Missing/incomplete/invalid physician financial relationship form</t>
  </si>
  <si>
    <t>M134—Service was furnished by a facility having a financial relationship with the referring provider</t>
  </si>
  <si>
    <t>M135—Missing/incomplete/invalid plan of treatment</t>
  </si>
  <si>
    <t>M136—Missing/incomplete/invalid indication of whether the physician supervised or personally evaluated the service</t>
  </si>
  <si>
    <t>M14—The patient has a condition previously denied for this procedure/service</t>
  </si>
  <si>
    <t>M141—Missing/incomplete/invalid physician-certified plan of care</t>
  </si>
  <si>
    <t>M143—The provider needs to update their license information with the payer for claims processing</t>
  </si>
  <si>
    <t>M144—Payment for pre/post-operative care is included in the payment for the surgery/procedure and is not paid separately</t>
  </si>
  <si>
    <t>M15—Separately billed services/tests have been bundled as they are considered components of the same procedure</t>
  </si>
  <si>
    <t>M17—Alert: Payment approved, awaiting mailing of check</t>
  </si>
  <si>
    <t>M18—Certain fields in this claim are inconsistent with information we have on file. Please verify this information and resubmit</t>
  </si>
  <si>
    <t>M19—Missing/incomplete/invalid oxygen certification/re-certification</t>
  </si>
  <si>
    <t>M2—Not paid separately when the patient is an inpatient</t>
  </si>
  <si>
    <t>M21—Missing/incomplete/invalid place of residence for this service/item provided in a home</t>
  </si>
  <si>
    <t>M23—Missing invoice</t>
  </si>
  <si>
    <t>M24—Missing/incomplete/invalid number of doses per vial</t>
  </si>
  <si>
    <t>M25—The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the patient agreed in writing to pay, ask us to review your claim within 30 days of the date of this notice. If you do not request an appeal, we will, upon application from the patient, reimburse the patient for the amount you have collected from the patient in excess of any deductible and coinsurance amounts. At that time we will also recover the amount of any payment made to you.</t>
  </si>
  <si>
    <t>M26—The information furnished does not substantiate the need for this level of service. If you have collected any amount from the patient for this level of service/any amount that exceeds the limiting charge for the less extensive service, the law requires you to refund that amount to the patient within 30 days of receiving this notice.</t>
  </si>
  <si>
    <t>M27—Alert: The patient has been relieved of liability of payment of these items and services under the limitation of liability provision of the law</t>
  </si>
  <si>
    <t>M28—This does not qualify for payment under Part B when Part A coverage is exhausted or not otherwise available</t>
  </si>
  <si>
    <t>M29—Missing/incomplete/invalid operative note/report</t>
  </si>
  <si>
    <t>M3—Equipment is the same or similar to equipment already being used</t>
  </si>
  <si>
    <t>M37—Attach an Advance Beneficiary Notice (ABN)</t>
  </si>
  <si>
    <t>M38—The patient is liable for the charges for this service as you informed the patient in writing before the services were furnished that we would not pay for this level of service and the patient agreed to pay</t>
  </si>
  <si>
    <t>M39—The patient is not liable for payment of this service as the advance notice of non-coverage you provided the patient did not comply with program requirements</t>
  </si>
  <si>
    <t>M40—Claim must be assigned and must be filed by the practitioner's employer</t>
  </si>
  <si>
    <t>M41—We do not pay for this as the patient has no legal obligation to pay for this service</t>
  </si>
  <si>
    <t>M44—Missing/incomplete/invalid condition code(s)</t>
  </si>
  <si>
    <t>M45—Missing/incomplete/invalid occurrence code(s) and/or date(s)</t>
  </si>
  <si>
    <t>M46—Missing/incomplete/invalid occurrence span code(s) and/or date(s)</t>
  </si>
  <si>
    <t>M47—Missing/incomplete/invalid value code(s) and/or amount(s)</t>
  </si>
  <si>
    <t>M48—Alert: Missing/incomplete/invalid revenue code(s)</t>
  </si>
  <si>
    <t>M49—Missing/incomplete/invalid procedure code(s) and/or rates</t>
  </si>
  <si>
    <t>M50—Missing/incomplete/invalid revenue code(s)</t>
  </si>
  <si>
    <t>M51—Missing/incomplete/invalid procedure code(s)</t>
  </si>
  <si>
    <t>M52—Missing/incomplete/invalid from" date(s) of service"</t>
  </si>
  <si>
    <t>M53—Missing/incomplete/invalid through" date(s) of service"</t>
  </si>
  <si>
    <t>M54—Missing/incomplete/invalid other diagnosis</t>
  </si>
  <si>
    <t>M57—Missing/incomplete/invalid dates of service</t>
  </si>
  <si>
    <t>M58—Missing/incomplete/invalid units of service</t>
  </si>
  <si>
    <t>M59—Missing/incomplete/invalid total charges</t>
  </si>
  <si>
    <t>M60—Missing/incomplete/invalid non-covered charges</t>
  </si>
  <si>
    <t>M61—Missing/incomplete/invalid principal diagnosis</t>
  </si>
  <si>
    <t>M62—Missing/incomplete/invalid treatment authorization code</t>
  </si>
  <si>
    <t>M63—Missing/incomplete/invalid payer name/identifier</t>
  </si>
  <si>
    <t>M64—Missing/incomplete/invalid other insured name</t>
  </si>
  <si>
    <t>M65—Missing/incomplete/invalid assignment of benefits indicator</t>
  </si>
  <si>
    <t>M66—Missing/incomplete/invalid release of information indicator</t>
  </si>
  <si>
    <t>M67—Missing/incomplete/invalid other procedure code(s)</t>
  </si>
  <si>
    <t>M68—Missing/incomplete/invalid attending, ordering, operating, or referring physician identification</t>
  </si>
  <si>
    <t>M69—Paid at the regular rate as you did not submit documentation to justify the modified/unusual procedure code</t>
  </si>
  <si>
    <t>M7—Claim/service not covered when the patient is in a Skilled Nursing Facility (SNF)/swing bed</t>
  </si>
  <si>
    <t>M70—Missing/incomplete/invalid provider address</t>
  </si>
  <si>
    <t>M71—Missing/incomplete/invalid provider code</t>
  </si>
  <si>
    <t>M74—Missing/incomplete/invalid provider phone number</t>
  </si>
  <si>
    <t>M75—Multiple claims for the same service and the same date of service</t>
  </si>
  <si>
    <t>M76—Missing/incomplete/invalid diagnosis or condition</t>
  </si>
  <si>
    <t>M78—Missing/incomplete/invalid provider certification</t>
  </si>
  <si>
    <t>M79—Missing/incomplete/invalid charge</t>
  </si>
  <si>
    <t>M80—Not covered when performed during the same session/date as a previously processed service for the patient</t>
  </si>
  <si>
    <t>M81—You are required to code to the highest level of specificity</t>
  </si>
  <si>
    <t>M82—Service is not covered when patient is under age 35</t>
  </si>
  <si>
    <t>M83—Service is not covered unless the patient has been determined to be at high risk</t>
  </si>
  <si>
    <t>M84—Medical codes must be valid on the date of service for the claim to be accepted</t>
  </si>
  <si>
    <t>M85—Physician evaluation and management services billed with the incorrect level of service</t>
  </si>
  <si>
    <t>M86—Service denied because payment already made for same/similar procedure within a set time frame</t>
  </si>
  <si>
    <t>M88—Missing/incomplete/invalid provider name</t>
  </si>
  <si>
    <t>M89—Not covered more than once under the same benefit period when performed on the same date</t>
  </si>
  <si>
    <t>M90—Not covered when performed more than once within a 12-month period</t>
  </si>
  <si>
    <t>M91—Missing/incomplete/invalid provider specialty/taxonomy</t>
  </si>
  <si>
    <t>M92—Missing/incomplete/invalid provider taxonomy code</t>
  </si>
  <si>
    <t>M96—The technical component of a service furnished to an inpatient may only be billed by that inpatient facility. You must contact the inpatient facility for technical component reimbursement. If not already billed you should bill us for the professional component only.</t>
  </si>
  <si>
    <t>M97—Not paid to practitioner when provided to patient in this place of service. Payment included in the reimbursement issued the facility.</t>
  </si>
  <si>
    <t>M99—Missing/incomplete/invalid Universal Product Number/Serial Number</t>
  </si>
  <si>
    <t>MA04—Secondary payment cannot be considered without the identity of or payment information from the primary payer. The information was either not reported or was illegible.</t>
  </si>
  <si>
    <t>MA07—Alert: The claim information is also being forwarded to the patient's supplemental insurer. Send any questions regarding supplemental benefits to them.</t>
  </si>
  <si>
    <t>MA08—Alert: Information is being forwarded to the patient's supplemental insurer</t>
  </si>
  <si>
    <t>MA09—Alert: Claim information was not forwarded because the supplemental coverage is not with a Medigap plan or the patient did not provide sufficient information to determine the supplemental insurer.</t>
  </si>
  <si>
    <t>MA10—Alert: The patient's payment was combined with another patient's payment. Verify the identity of all patients.</t>
  </si>
  <si>
    <t>MA100—Missing/incomplete/invalid date of current illness or symptom</t>
  </si>
  <si>
    <t>MA107—Not covered unless rent-to-purchase or rent threshold is met</t>
  </si>
  <si>
    <t>MA108—Claim was processed in accordance with claims processing guidelines</t>
  </si>
  <si>
    <t>MA111—Missing/incomplete/invalid provider of service information</t>
  </si>
  <si>
    <t>MA112—Missing/incomplete/invalid link to the prior claim for this service</t>
  </si>
  <si>
    <t>MA113—Missing/incomplete/invalid date of the prior service</t>
  </si>
  <si>
    <t>MA114—Missing/incomplete/invalid information regarding the service provider's malpractice insurance</t>
  </si>
  <si>
    <t>MA115—Missing/incomplete/invalid provider or supplier billing number</t>
  </si>
  <si>
    <t>MA116—The total of the patient responsibility amounts exceeds the contracted amount</t>
  </si>
  <si>
    <t>MA118—Alert: This claim was approved for a partial month supply. Verify the supply amount and resubmit for the remaining supply.</t>
  </si>
  <si>
    <t>MA12—Alert: You may be subject to penalties if you bill the patient for amounts not reported with the PR group code.</t>
  </si>
  <si>
    <t>MA121—Missing/incomplete/invalid clinical trial registry number</t>
  </si>
  <si>
    <t>MA122—Missing/incomplete/invalid secondary insurance carrier code</t>
  </si>
  <si>
    <t>MA15—Alert: Separately billed claim/service was processed as part of a combined claim. Expect another notice for the remaining services.</t>
  </si>
  <si>
    <t>MA18—Alert: The claim information is also being forwarded to the patient's supplemental insurer</t>
  </si>
  <si>
    <t>MA19—Alert: This claim was not forwarded to the patient's Medigap insurer due to incorrect insurer information. Verify and resubmit directly.</t>
  </si>
  <si>
    <t>MA20—Covered charges have been adjusted. See the attached or enclosed explanation.</t>
  </si>
  <si>
    <t>MA21—Alert: This claim has been processed by the payer</t>
  </si>
  <si>
    <t>MA24—Missing/incomplete/invalid number of treated or untreated blood</t>
  </si>
  <si>
    <t>MA25—Alert: A patient may not be billed for this service when an appropriate refund to the patient was not made</t>
  </si>
  <si>
    <t>MA30—Missing/incomplete/invalid type of bill</t>
  </si>
  <si>
    <t>MA31—Missing/incomplete/invalid beginning and ending dates of the period billed</t>
  </si>
  <si>
    <t>MA32—Missing/incomplete/invalid DRG code</t>
  </si>
  <si>
    <t>MA33—Missing/incomplete/invalid date of discharge</t>
  </si>
  <si>
    <t>MA34—Missing/incomplete/invalid admission date</t>
  </si>
  <si>
    <t>MA35—Missing/incomplete/invalid patient status</t>
  </si>
  <si>
    <t>MA36—Missing/incomplete/invalid insured's name and/or relationship to patient</t>
  </si>
  <si>
    <t>MA37—Alert: The patient overpaid you for these assigned services. You must issue the patient a refund within 30 days for the difference between his/her payment to you and the total of the amount shown as patient responsibility on this notice and the deductible and coinsurance amounts.</t>
  </si>
  <si>
    <t>MA38—Alert: The patient is liable for the charges for this service as the advance notice of non-coverage was provided</t>
  </si>
  <si>
    <t>MA39—Alert: The patient overpaid you. You must issue the patient a refund within 30 days.</t>
  </si>
  <si>
    <t>MA40—Alert: The patient overpaid you for these unassigned services. You must issue the patient a refund within 30 days for the amount paid that exceeds the charges.</t>
  </si>
  <si>
    <t>MA42—Alert: This is not a Medicare-approved ambulance service area.</t>
  </si>
  <si>
    <t>MA43—Physician already provided to the patient by another provider/physician.</t>
  </si>
  <si>
    <t>MA46—The new code for this service was not effective at the time the service was rendered</t>
  </si>
  <si>
    <t>MA47—Our records show you have opted out of Medicare and agreed with the patient not to bill Medicare for this service.</t>
  </si>
  <si>
    <t>MA48—Missing/incomplete/invalid name, address, or phone number of the responsible party or the primary payer</t>
  </si>
  <si>
    <t>MA50—Missing/incomplete/invalid Investigational Device Exemption number for FDA-approved clinical trial services</t>
  </si>
  <si>
    <t>MA53—Missing/incomplete/invalid Competitive Bidding Demonstration Project ID</t>
  </si>
  <si>
    <t>MA54—Alert: Physician/Supplier is out of the Competitive Bidding Demonstration Project area.</t>
  </si>
  <si>
    <t>MA55—Not covered as the FDA has not approved the device for this indication.</t>
  </si>
  <si>
    <t>MA56—Alert: This service is not covered when performed by this provider.</t>
  </si>
  <si>
    <t>MA57—Missing/incomplete/invalid provider ID for this claim.</t>
  </si>
  <si>
    <t>MA58—Missing/incomplete/invalid provider information</t>
  </si>
  <si>
    <t>MA59—Alert: The patient overpaid you for these services. You must issue the patient a refund within 30 days.</t>
  </si>
  <si>
    <t>MA61—Missing/incomplete/invalid social security number.</t>
  </si>
  <si>
    <t>MA63—Missing/incomplete/invalid principal diagnosis</t>
  </si>
  <si>
    <t>MA64—Alert: Denied services/items resubmitted with the same codes will be denied</t>
  </si>
  <si>
    <t>MA65—Missing/incomplete/invalid admission source code</t>
  </si>
  <si>
    <t>MA68—Alert: We did not crossover this claim because the Medigap or supplemental policy is not on file</t>
  </si>
  <si>
    <t>MA76—Missing/incomplete/invalid diagnosis or condition</t>
  </si>
  <si>
    <t>MA78—Missing/incomplete/invalid CLIA number for laboratory services</t>
  </si>
  <si>
    <t>MA83—Did not indicate whether we are the primary or secondary payer</t>
  </si>
  <si>
    <t>MA84—Patient identified as a Medicare beneficiary</t>
  </si>
  <si>
    <t>MA86—Alert: A claim has been received for a beneficiary enrolled in a Medicare Advantage plan</t>
  </si>
  <si>
    <t>MA87—Missing/incomplete/invalid provider or facility primary identifier for the place of service</t>
  </si>
  <si>
    <t>MA88—Missing/incomplete/invalid precertification/authorization/notification/pre-treatment number</t>
  </si>
  <si>
    <t>MA91—Alert: An adjustment was made because a more specific procedure code should have been billed</t>
  </si>
  <si>
    <t>MA92—Missing plan information for other insurance.</t>
  </si>
  <si>
    <t>MA94—Service not covered/paid by this payer when performed on this date of service</t>
  </si>
  <si>
    <t>MA95—Missing/incomplete/invalid disaster-related state or county code</t>
  </si>
  <si>
    <t>MA98—Missing/incomplete/invalid date of hospice election or revocation</t>
  </si>
  <si>
    <t>MA99—Missing/incomplete/invalid Medigap information</t>
  </si>
  <si>
    <t>N100—Missing/incomplete/invalid date of the prior placement</t>
  </si>
  <si>
    <t>N101—Alert: Payment for this procedure code has been adjusted based on the procedure's multiple procedure payment reduction rules</t>
  </si>
  <si>
    <t>N102—This claim has been denied without reviewing the medical record because the requested records were not received</t>
  </si>
  <si>
    <t>N106—Patient has not met the required eligibility requirements</t>
  </si>
  <si>
    <t>N107—Services billed are not covered by this plan/policy</t>
  </si>
  <si>
    <t>N108—Missing/incomplete/invalid EPO certification conditions</t>
  </si>
  <si>
    <t>N111—Missing/incomplete/invalid Coordination of Benefits information</t>
  </si>
  <si>
    <t>N112—Claim must be filed within the specified time period</t>
  </si>
  <si>
    <t>N113—Missing/incomplete/invalid attending provider information</t>
  </si>
  <si>
    <t>N114—Missing/incomplete/invalid reason for absence from treatment</t>
  </si>
  <si>
    <t>N115—This decision was based on a Local Coverage Determination (LCD)</t>
  </si>
  <si>
    <t>N116—Alert: This payment is being made conditionally because the service was provided in an emergency setting</t>
  </si>
  <si>
    <t>N12—Policy provides coverage supplemental to Medicare. Accept payment from Medicare then submit claim to this plan.</t>
  </si>
  <si>
    <t>N122—Missing/incomplete/invalid length of transport</t>
  </si>
  <si>
    <t>N126—Missing/incomplete/invalid period of care dates</t>
  </si>
  <si>
    <t>N127—This service/claim is not covered by this plan/payer</t>
  </si>
  <si>
    <t>N128—Alert: Newborn's services are covered in the mother's Allowance</t>
  </si>
  <si>
    <t>N129—Alert: Payment adjusted based on the diagnosis-related group (DRG)</t>
  </si>
  <si>
    <t>N13—Missing/incomplete/invalid/deleted procedure code(s) for the service/item. Check for updated code(s).</t>
  </si>
  <si>
    <t>N130—Consult plan benefit documents/provider manual for information about restrictions for this service</t>
  </si>
  <si>
    <t>N131—Alert: Total payments under this benefit have reached the benefit maximum. Submit future claims to the next plan tier.</t>
  </si>
  <si>
    <t>N132—Alert: Payments will cease for this benefit upon the expiration of this payment cycle.</t>
  </si>
  <si>
    <t>N133—Alert: Services for this member may be subject to pre-payment review</t>
  </si>
  <si>
    <t>N135—Alert: Payments for this service are limited to one per day</t>
  </si>
  <si>
    <t>N136—Missing/incomplete/invalid indication of whether the service was an emergency</t>
  </si>
  <si>
    <t>N14—Missing/incomplete/invalid information regarding the place of residence at the time the service was rendered</t>
  </si>
  <si>
    <t>N142—Missing/incomplete/invalid payer claim number referenced in the coordination of benefits</t>
  </si>
  <si>
    <t>N145—Missing/incomplete/invalid provider network information</t>
  </si>
  <si>
    <t>N146—Missing/incomplete/invalid diagnosis date</t>
  </si>
  <si>
    <t>N147—Missing/incomplete/invalid secondary diagnosis</t>
  </si>
  <si>
    <t>N148—Missing/incomplete/invalid billing date</t>
  </si>
  <si>
    <t>N149—Missing/incomplete/invalid claim/service identification number</t>
  </si>
  <si>
    <t>N15—Missing/incomplete/invalid Medicare patient identifier</t>
  </si>
  <si>
    <t>N150—Missing/incomplete/invalid subscriber's date of birth</t>
  </si>
  <si>
    <t>N154—Alert: Incorrect patient identifier</t>
  </si>
  <si>
    <t>N155—Missing/incomplete/invalid diagnosis</t>
  </si>
  <si>
    <t>N156—Alert: A component of the basic benefit has been paid as a covered service</t>
  </si>
  <si>
    <t>N157—Missing/incomplete/invalid patient account number</t>
  </si>
  <si>
    <t>N158—Missing/incomplete/invalid provider/facility primary identifier</t>
  </si>
  <si>
    <t>N160—The provider/facility is not eligible to bill for the service.</t>
  </si>
  <si>
    <t>N161—Missing/incomplete/invalid tax ID</t>
  </si>
  <si>
    <t>N162—Missing/incomplete/invalid provider/facility address</t>
  </si>
  <si>
    <t>N171—Payment for this service is included in the allowance given for another service</t>
  </si>
  <si>
    <t>N172—The patient is not eligible for the service as a dependent</t>
  </si>
  <si>
    <t>N173—Not covered unless specific criteria are met. See plan benefit documents.</t>
  </si>
  <si>
    <t>N176—Services are not covered by this plan/policy</t>
  </si>
  <si>
    <t>N178—Missing/incomplete/invalid dental treatment plan</t>
  </si>
  <si>
    <t>N179—Services for this claim are not payable as the patient is an inmate of a public institution</t>
  </si>
  <si>
    <t>N180—Missing/incomplete/invalid medical or dental pre-authorization</t>
  </si>
  <si>
    <t>N181—Missing/incomplete/invalid clinical indication for the service/procedure</t>
  </si>
  <si>
    <t>N188—The submitted provider information does not match our enrollment records</t>
  </si>
  <si>
    <t>N189—Alert: This claim has been adjusted based on the ambulatory payment classification (APC)</t>
  </si>
  <si>
    <t>N19—Procedure code incidental to primary procedure</t>
  </si>
  <si>
    <t>N190—Missing/incomplete/invalid date of appliance placement</t>
  </si>
  <si>
    <t>N191—The provider is not eligible to be paid for this service/procedure</t>
  </si>
  <si>
    <t>N193—Specific federal/state/local program may cover this service through another payer.</t>
  </si>
  <si>
    <t>N194—Anesthesia time exceeds the established maximum for this procedure</t>
  </si>
  <si>
    <t>N197—Alert: A prior claim for this drug/service has been adjudicated</t>
  </si>
  <si>
    <t>N199—Missing/incomplete/invalid anesthesia time/units</t>
  </si>
  <si>
    <t>N20—Service not payable with the billed revenue code</t>
  </si>
  <si>
    <t>N200—Missing/incomplete/invalid anesthesia start/end time</t>
  </si>
  <si>
    <t>N201—Missing/incomplete/invalid Anesthesia Physical Status modifier/modifying units.</t>
  </si>
  <si>
    <t>N202—Missing/incomplete/invalid service date information</t>
  </si>
  <si>
    <t>N203—Missing/incomplete/invalid identification number of the referring provider</t>
  </si>
  <si>
    <t>N204—Services are inconsistent with the diagnosis. Please check and resubmit.</t>
  </si>
  <si>
    <t>N206—Missing/incomplete/invalid rendering provider information</t>
  </si>
  <si>
    <t>N215—Alert: Under your applicable benefit plan, benefits have been exhausted for this service</t>
  </si>
  <si>
    <t>N218—Missing/incomplete/invalid date of accident</t>
  </si>
  <si>
    <t>N221—Missing/incomplete/invalid information on the dependent</t>
  </si>
  <si>
    <t>N222—Missing/incomplete/invalid secondary coverage information</t>
  </si>
  <si>
    <t>N223—Missing/incomplete/invalid coordination of benefits information</t>
  </si>
  <si>
    <t>N232—Institutional claim lacks indication that the service was provided on an emergency basis.</t>
  </si>
  <si>
    <t>N234—This procedure is not paid separately. Payment is included in the allowance for another procedure/service.</t>
  </si>
  <si>
    <t>N235—This service has already been paid</t>
  </si>
  <si>
    <t>N236—We have deducted the amount you owe from this claim and applied it to the balance due on another claim.</t>
  </si>
  <si>
    <t>N238—Services not authorized by the network/primary care provider</t>
  </si>
  <si>
    <t>N243—Missing/incomplete/invalid certification type</t>
  </si>
  <si>
    <t>N246—The service is not covered for this diagnosis or condition</t>
  </si>
  <si>
    <t>N250—Missing/incomplete/invalid documentation supporting the need for this level of service</t>
  </si>
  <si>
    <t>N252—An attachment is required to adjudicate this claim/service.</t>
  </si>
  <si>
    <t>N253—Sequence of dates of service does not follow plan guidelines.</t>
  </si>
  <si>
    <t>N255—This denial is the result of a post-payment review</t>
  </si>
  <si>
    <t>N256—Service not covered unless the patient has certain conditions</t>
  </si>
  <si>
    <t>N257—Missing/incomplete/invalid post-operative period information</t>
  </si>
  <si>
    <t>N259—Missing/incomplete/invalid servicing facility primary identifier</t>
  </si>
  <si>
    <t>N26—Missing/incomplete/invalid Onset of Current Symptoms or Illness date</t>
  </si>
  <si>
    <t>N260—Missing/incomplete/invalid amount due from the primary payer</t>
  </si>
  <si>
    <t>N264—Missing/incomplete/invalid other insured's identification number</t>
  </si>
  <si>
    <t>N265—Missing/incomplete/invalid ordering provider address</t>
  </si>
  <si>
    <t>N27—Missing/incomplete/invalid date of last menstrual period</t>
  </si>
  <si>
    <t>N270—Missing/incomplete/invalid claim information from another provider for this service/claim</t>
  </si>
  <si>
    <t>N271—Patient does not meet incurred expense/spend-down requirements</t>
  </si>
  <si>
    <t>N273—Claim spans eligible and ineligible periods of coverage</t>
  </si>
  <si>
    <t>N274—Missing/incomplete/invalid NPI</t>
  </si>
  <si>
    <t>N276—Services denied based on applicable statutory or regulatory requirements</t>
  </si>
  <si>
    <t>N278—Missing/incomplete/invalid prior payer EOB information</t>
  </si>
  <si>
    <t>N279—Missing/incomplete/invalid service authorization exception code</t>
  </si>
  <si>
    <t>N28—Claim has been denied because the original claim was not adjudicated as a covered service</t>
  </si>
  <si>
    <t>N280—Missing/incomplete/invalid pre-authorization number</t>
  </si>
  <si>
    <t>N282—Missing/incomplete/invalid treatment plan</t>
  </si>
  <si>
    <t>N289—Payment adjusted/denied because coverage/program guidelines were not met.</t>
  </si>
  <si>
    <t>N290—Missing/incomplete/invalid rendering provider identifier</t>
  </si>
  <si>
    <t>N291—Missing/incomplete/invalid facility primary identifier</t>
  </si>
  <si>
    <t>N292—Missing/incomplete/invalid supervising provider information</t>
  </si>
  <si>
    <t>N293—Missing/incomplete/invalid date of service</t>
  </si>
  <si>
    <t>N295—Missing/incomplete/invalid subscriber information</t>
  </si>
  <si>
    <t>N298—Missing/incomplete/invalid information regarding ambulatory surgical center (ASC) procedures</t>
  </si>
  <si>
    <t>N299—Missing/incomplete/invalid report of clinical/laboratory findings</t>
  </si>
  <si>
    <t>N30—Patient ineligible for this service</t>
  </si>
  <si>
    <t>N308—Missing/incomplete/invalid physician progress notes</t>
  </si>
  <si>
    <t>N31—Preauthorization/prior authorization/pre-certification/notification absent or insufficient</t>
  </si>
  <si>
    <t>N311—Not covered unless the diagnosis reported requires treatment</t>
  </si>
  <si>
    <t>N314—Alert: Payment based on a negotiated rate for this service</t>
  </si>
  <si>
    <t>N317—Missing/incomplete/invalid/absent/exceeded exercise time/number/frequency/institution/program</t>
  </si>
  <si>
    <t>N319—Missing/incomplete/invalid treatment dates</t>
  </si>
  <si>
    <t>N32—Claim must be billed with the line item charges</t>
  </si>
  <si>
    <t>N320—Home health visits are covered/limited as certified by the physician</t>
  </si>
  <si>
    <t>N321—Missing/incomplete/invalid date of birth for the insured</t>
  </si>
  <si>
    <t>N322—Missing/incomplete/invalid pregnancy indicator</t>
  </si>
  <si>
    <t>N325—Missing/incomplete/invalid patient's relationship to the subscriber/insured</t>
  </si>
  <si>
    <t>N327—Missing/incomplete/invalid payer claim number for the secondary/tertiary payer</t>
  </si>
  <si>
    <t>N33—No record of prior authorization/preauthorization/referral</t>
  </si>
  <si>
    <t>N331—Patient does not qualify for this service based on diagnosis or condition</t>
  </si>
  <si>
    <t>N334—Missing/incomplete/invalid medical record number</t>
  </si>
  <si>
    <t>N339—Missing/incomplete/invalid prior authorization number.</t>
  </si>
  <si>
    <t>N34—Incorrect billing code for this service</t>
  </si>
  <si>
    <t>N344—Adjustment based on a maximum frequency limitation</t>
  </si>
  <si>
    <t>N345—Missing/incomplete/invalid date of prior authorization</t>
  </si>
  <si>
    <t>N346—Missing/incomplete/invalid number of authorized visits/services</t>
  </si>
  <si>
    <t>N35—Incorrect modifier(s) for this service</t>
  </si>
  <si>
    <t>N351—Missing/incomplete/invalid health care provider taxonomy code</t>
  </si>
  <si>
    <t>N362—The number of Days or Units of Service exceeds our acceptable maximum</t>
  </si>
  <si>
    <t>N365—This benefit has been exhausted</t>
  </si>
  <si>
    <t>N375—Missing/incomplete/invalid questionnaire/assessment form</t>
  </si>
  <si>
    <t>N376—Missing/incomplete/invalid related procedure code for the service billed</t>
  </si>
  <si>
    <t>N379—Missing/incomplete/invalid assignment of benefits indicator</t>
  </si>
  <si>
    <t>N380—The original claim has been processed, submit a corrected claim.</t>
  </si>
  <si>
    <t>N381—Alert: Consult the payer's published payment policies for this service/procedure</t>
  </si>
  <si>
    <t>N382—Missing/incomplete/invalid patient identifier.</t>
  </si>
  <si>
    <t>N383—Missing/incomplete/invalid the number of patients in this transport</t>
  </si>
  <si>
    <t>N384—Missing/incomplete/invalid prior authorization or certification number</t>
  </si>
  <si>
    <t>N386—This decision was based on a National Coverage Determination (NCD). An NCD provides a coverage determination as to whether a particular item or service is covered.</t>
  </si>
  <si>
    <t>N388—Missing/incomplete/invalid claim type indicator</t>
  </si>
  <si>
    <t>N389—Duplicate of a service already adjudicated</t>
  </si>
  <si>
    <t>N39—Procedure code is not compatible with tooth number/letter</t>
  </si>
  <si>
    <t>N390—Missing/incomplete/invalid period of care dates or information</t>
  </si>
  <si>
    <t>N391—Missing/incomplete/invalid comprehensive assessment</t>
  </si>
  <si>
    <t>N392—Missing/incomplete/invalid Certification of Medical Necessity (CMN)</t>
  </si>
  <si>
    <t>N397—Missing/incomplete/invalid discharge plan</t>
  </si>
  <si>
    <t>N4—Missing/incomplete/invalid prior insurance carrier(s) Explanation of Benefits (EOB) or denial</t>
  </si>
  <si>
    <t>N401—Missing/incomplete/invalid provider's primary or secondary identifier at an additional payer</t>
  </si>
  <si>
    <t>N403—Missing/incomplete/invalid facility code qualifier</t>
  </si>
  <si>
    <t>N404—Services not related to the hospital admission</t>
  </si>
  <si>
    <t>N410—Not covered unless performed by the appropriate provider type</t>
  </si>
  <si>
    <t>N412—Missing/incomplete/invalid plan of care</t>
  </si>
  <si>
    <t>N417—Missing/incomplete/invalid re-certification/re-authorization</t>
  </si>
  <si>
    <t>N418—Misrouted claim. See the payer's claim submission instructions.</t>
  </si>
  <si>
    <t>N419—Claim denied/adjusted because the condition was pre-existing</t>
  </si>
  <si>
    <t>N421—Missing/incomplete/invalid documentation that the physician or allowed non-physician practitioner certified the patient's eligibility for services</t>
  </si>
  <si>
    <t>N423—Missing/incomplete/invalid documentation of medical review</t>
  </si>
  <si>
    <t>N425—Additional documentation is needed to process this claim. At a minimum, send the information identified in this notice.</t>
  </si>
  <si>
    <t>N428—Not covered when performed in this setting</t>
  </si>
  <si>
    <t>N43—Missing/incomplete/invalid pre-operative and post-operative images</t>
  </si>
  <si>
    <t>N431—Alert: This provider type is required to submit claims electronically.</t>
  </si>
  <si>
    <t>N434—Missing/incomplete/invalid date of last seen</t>
  </si>
  <si>
    <t>N438—Missing/incomplete/invalid payer identifier.</t>
  </si>
  <si>
    <t>N439—Missing/incomplete/invalid billing provider NPI.</t>
  </si>
  <si>
    <t>N443—Missing/incomplete/invalid primary diagnosis on the claim from the other payer</t>
  </si>
  <si>
    <t>N445—Missing/incomplete/invalid admission type</t>
  </si>
  <si>
    <t>N448—This drug/service has a maximum allowable cost (MAC) that has been exceeded</t>
  </si>
  <si>
    <t>N461—Missing/incomplete/invalid Zip/Postal code for the service location</t>
  </si>
  <si>
    <t>N462—Missing/incomplete/invalid or duplicated procedure code for the covered service</t>
  </si>
  <si>
    <t>N473—Missing/incomplete/invalid documentation that the services meet medical necessity criteria</t>
  </si>
  <si>
    <t>N475—Missing/incomplete/invalid prior claims information</t>
  </si>
  <si>
    <t>N478—Missing/incomplete/invalid operative report</t>
  </si>
  <si>
    <t>N479—Missing Explanation of Benefits (Coordination of Benefits or Medicare Secondary Payer).</t>
  </si>
  <si>
    <t>N48—Missing/incomplete/invalid admission hour</t>
  </si>
  <si>
    <t>N488—Missing/incomplete/invalid documentation for medical necessity.</t>
  </si>
  <si>
    <t>N489—Missing/incomplete/invalid documentation for prior authorization.</t>
  </si>
  <si>
    <t>N49—Missing/incomplete/invalid statement date range</t>
  </si>
  <si>
    <t>N490—Missing/incomplete/invalid clinical documentation.</t>
  </si>
  <si>
    <t>N492—Missing/incomplete/invalid pathology report.</t>
  </si>
  <si>
    <t>N494—Missing/incomplete/invalid progress notes.</t>
  </si>
  <si>
    <t>N495—Missing/incomplete/invalid discharge summary.</t>
  </si>
  <si>
    <t>N496—Missing/incomplete/invalid treatment plan.</t>
  </si>
  <si>
    <t>N497—Missing/incomplete/invalid therapy documentation.</t>
  </si>
  <si>
    <t>N499—Missing/incomplete/invalid immunization record.</t>
  </si>
  <si>
    <t>N5—EOB received from the prior insurance carrier(s) reflects a payment. Resubmit this claim with a copy of the prior carrier's EOB or payment information.</t>
  </si>
  <si>
    <t>N50—Missing/incomplete/invalid discharge/end of care information</t>
  </si>
  <si>
    <t>N505—Missing/incomplete/invalid procedure code for a related service</t>
  </si>
  <si>
    <t>N507—Missing/incomplete/invalid other payer patient responsibility amount</t>
  </si>
  <si>
    <t>N51—Electronic interchange agreement not on file for provider/submitter</t>
  </si>
  <si>
    <t>N510—Missing/incomplete/invalid date of service for this order</t>
  </si>
  <si>
    <t>N511—Missing/incomplete/invalid date of previous replacement</t>
  </si>
  <si>
    <t>N517—Payment/Reduction is based on qualification of the provider</t>
  </si>
  <si>
    <t>N519—Alert: Payment adjusted based on utilization management review</t>
  </si>
  <si>
    <t>N52—Patient not enrolled in the billing provider's managed care plan on the date of service.</t>
  </si>
  <si>
    <t>N520—Resubmit this claim/service with the correct Revenue Code</t>
  </si>
  <si>
    <t>N525—Missing/incomplete/invalid certification for therapeutic leave</t>
  </si>
  <si>
    <t>N530—Missing/incomplete/invalid credential or enrollment information for this provider</t>
  </si>
  <si>
    <t>N534—Missing/incomplete/invalid quantity</t>
  </si>
  <si>
    <t>N535—Missing/incomplete/invalid date of service or period of coverage</t>
  </si>
  <si>
    <t>N54—Missing/incomplete/invalid point of drop-off information</t>
  </si>
  <si>
    <t>N542—Claim not covered or payable by this plan</t>
  </si>
  <si>
    <t>N545—Payment is adjusted when procedure/service is provided in this place of service</t>
  </si>
  <si>
    <t>N548—Missing/incomplete/invalid name and/or address of the responsible payer</t>
  </si>
  <si>
    <t>N551—Alert: Payment adjusted based on a penalty for late filing</t>
  </si>
  <si>
    <t>N554—Missing/incomplete/invalid claim frequency/type code</t>
  </si>
  <si>
    <t>N557—Missing/incomplete/invalid clinical trial documentation.</t>
  </si>
  <si>
    <t>N558—Missing/incomplete/invalid documentation of medical justification.</t>
  </si>
  <si>
    <t>N56—Procedure code billed is not correct/valid for the services billed or the date of service billed</t>
  </si>
  <si>
    <t>N560—Missing/incomplete/invalid documentation of homebound status.</t>
  </si>
  <si>
    <t>N561—Missing/incomplete/invalid certification of terminal illness.</t>
  </si>
  <si>
    <t>N563—Missing/incomplete/invalid hospice revocation.</t>
  </si>
  <si>
    <t>N564—Missing/incomplete/invalid discharge planning documentation.</t>
  </si>
  <si>
    <t>N565—Missing/incomplete/invalid interdisciplinary team notes.</t>
  </si>
  <si>
    <t>N567—Missing/incomplete/invalid volunteer documentation.</t>
  </si>
  <si>
    <t>N569—Adjustment based on peer review</t>
  </si>
  <si>
    <t>N57—Missing/incomplete/invalid date of birth</t>
  </si>
  <si>
    <t>N572—Alert: Payment adjusted based on the patient's age, sex, or diagnosis</t>
  </si>
  <si>
    <t>N575—Missing/incomplete/invalid explanation for late filing</t>
  </si>
  <si>
    <t>N586—Missing/incomplete/invalid date of death</t>
  </si>
  <si>
    <t>N590—Missing/incomplete/invalid date of last service</t>
  </si>
  <si>
    <t>N591—Payment adjusted based on information received from another payer</t>
  </si>
  <si>
    <t>N60—Missing/incomplete/invalid number of units</t>
  </si>
  <si>
    <t>N605—Alert: Payment adjusted to the equivalent generic drug rate</t>
  </si>
  <si>
    <t>N61—Missing/incomplete/invalid place of service</t>
  </si>
  <si>
    <t>N612—Alert: Payment adjusted based on a medication therapy management program.</t>
  </si>
  <si>
    <t>N616—Missing/incomplete/invalid documentation of the drug administered.</t>
  </si>
  <si>
    <t>N62—Missing/incomplete/invalid referring provider identification</t>
  </si>
  <si>
    <t>N626—Missing/incomplete/invalid documentation of the medical device used.</t>
  </si>
  <si>
    <t>N627—Missing/incomplete/invalid documentation of implant details.</t>
  </si>
  <si>
    <t>N63—Missing/incomplete/invalid ordering provider identification</t>
  </si>
  <si>
    <t>N647—Alert: Payment adjusted based on a Medicare-dependent hospital provision.</t>
  </si>
  <si>
    <t>N65—Missing/incomplete/invalid procedure code for this service</t>
  </si>
  <si>
    <t>N67—Missing/incomplete/invalid other diagnosis</t>
  </si>
  <si>
    <t>N670—This service code has been identified as the primary procedure code subject to the Medicare Multiple Procedure Payment Reduction (MPPR) rule.</t>
  </si>
  <si>
    <t>N674—Not covered unless a pre-requisite procedure/service has been provided.</t>
  </si>
  <si>
    <t>N68—Missing/incomplete/invalid rendering provider primary identifier</t>
  </si>
  <si>
    <t>N699—Payment adjusted based on Physician Quality Reporting System (PQRS) incentive program</t>
  </si>
  <si>
    <t>N701—Alert: Payment adjusted based on Meaningful Use requirements</t>
  </si>
  <si>
    <t>N725—Alert: Payment adjusted based on a payment policy indicator.</t>
  </si>
  <si>
    <t>N727—Alert: Payment adjusted based on a transmittal update.</t>
  </si>
  <si>
    <t>N728—A workers' compensation insurer has reported having ongoing responsibility for medical services (ORM) for this diagnosis.</t>
  </si>
  <si>
    <t>N74—Missing/incomplete/invalid CLIA certification number for laboratory services</t>
  </si>
  <si>
    <t>N75—Missing/incomplete/invalid identity of the subscriber</t>
  </si>
  <si>
    <t>N752—Alert: Payment adjusted based on program integrity review</t>
  </si>
  <si>
    <t>N760—Alert: Payment adjusted based on a federal district court decision.</t>
  </si>
  <si>
    <t>N761—Alert: Payment adjusted based on a reopening.</t>
  </si>
  <si>
    <t>N769—Alert: Payment adjusted based on an automated review.</t>
  </si>
  <si>
    <t>N781—No deductible may be collected as patient is a Medicaid/Qualified Medicare Beneficiary. Review your records for any wrongfully collected deductible.</t>
  </si>
  <si>
    <t>N782—No coinsurance may be collected as patient is a Medicaid/Qualified Medicare Beneficiary. Review your records for any wrongfully collected coinsurance.</t>
  </si>
  <si>
    <t>N79—Claim level information does not match line level information.</t>
  </si>
  <si>
    <t>N8—Missing/incomplete/invalid patient weight</t>
  </si>
  <si>
    <t>N82—Missing/incomplete/invalid rendering/referring/supervising provider identifier</t>
  </si>
  <si>
    <t>N822—Alert: Payment adjusted based on the applicable balance billing protections</t>
  </si>
  <si>
    <t>N823—Adjusted based on the primary payer's payment</t>
  </si>
  <si>
    <t>N837—Alert: Payment adjusted based on a late enrollment penalty provision.</t>
  </si>
  <si>
    <t>N86—Missing/incomplete/invalid charge(s)</t>
  </si>
  <si>
    <t>N88—Missing/incomplete/invalid initial treatment date</t>
  </si>
  <si>
    <t>N89—Missing/incomplete/invalid frequency of treatment information</t>
  </si>
  <si>
    <t>N9—Missing/incomplete/invalid date of initial treatment</t>
  </si>
  <si>
    <t>N90—Services are not covered when billed with this procedure code, modifier, or revenue code</t>
  </si>
  <si>
    <t>N91—Missing/incomplete/invalid ordering provider information</t>
  </si>
  <si>
    <t>N92—Missing/incomplete/invalid group name/number</t>
  </si>
  <si>
    <t>N93—Missing/incomplete/invalid operating physician name/identifier</t>
  </si>
  <si>
    <t>N94—Missing/incomplete/invalid facility information</t>
  </si>
  <si>
    <t>N95—This benefit/service is not covered unless specific criteria are met</t>
  </si>
  <si>
    <t>N97—The benefit for this service is included in the payment/allowance for another service/procedure that has already been adjudicated</t>
  </si>
  <si>
    <t>N99—Missing/incomplete/invalid date of medical event</t>
  </si>
  <si>
    <t>P12—Workers' compensation jurisdictional fee schedule adjustment.</t>
  </si>
  <si>
    <t>The claim or service line payment was reversed by the payer, meaning a previously issued payment has been taken back.
On the CMS-1500 claim form, payment details are reflected in Box 29 — Amount Paid and adjusted via remittance advice. On the UB-04 claim form, payment and reversal details are reflected in Form Locator (FL) 54 — Prior Payments and remittance transactions.</t>
  </si>
  <si>
    <t>Duplicate claim processed and paid → later reversed.
Corrected claim submitted → original claim payment reversed.
Overpayment identified during audit → recoupment initiated.
Coordination of Benefits updated → prior payment reversed and reprocessed.
Claim processed under incorrect patient or policy → payment taken back.
System or payer processing error → reversal issued.</t>
  </si>
  <si>
    <t>Duplicate claim submission.
Submission of corrected or replacement claim.
Payer audit or overpayment recovery.
Incorrect initial adjudication.
COB updates after payment.
Billing errors or incorrect patient/insurance information.</t>
  </si>
  <si>
    <t>Review remittance advice to identify reason for reversal.
Check if a corrected or replacement claim has been processed.
Validate whether payment was reissued under a new claim number.
If reversal is incorrect → submit appeal with supporting documentation.
If valid → post adjustment and reconcile account balance.
Avoid rebilling duplicate claims unless necessary.</t>
  </si>
  <si>
    <t>Invalid Certification for Therapeutic Leave</t>
  </si>
  <si>
    <t>The claim was rejected because the required certification for therapeutic leave was missing, incomplete, invalid, or not properly documented. Therapeutic leave (commonly in SNF or long-term care settings) allows a patient to temporarily leave the facility (e.g., home visit) while maintaining their bed hold status under specific payer guidelines.</t>
  </si>
  <si>
    <t>SNF patient goes on home leave but certification not documented → denied.
Therapeutic leave days billed without physician authorization → rejection issued.
Leave exceeds allowable duration but not properly justified → denial applied.
Documentation missing for bed hold or leave approval → claim unprocessable.
System failed to capture therapeutic leave certification → rejected.</t>
  </si>
  <si>
    <t>Missing physician or facility certification.
Incomplete documentation of therapeutic leave.
Failure to follow payer-specific leave policies.
Staff unaware of certification requirements.
Mismatch between billed days and documented leave.
Lack of coordination between clinical and billing teams.</t>
  </si>
  <si>
    <t>Verify therapeutic leave documentation and certification.
Obtain proper physician authorization if missing.
Ensure leave dates align with billed services.
Update claim with accurate supporting details.
Resubmit corrected claim.
Appeal if documentation exists but was not considered.</t>
  </si>
  <si>
    <t>Services Not Provided by Network/Primary Care Providers</t>
  </si>
  <si>
    <t>The claim was denied because the services were not rendered by a provider who is part of the patient’s network or designated primary care provider (PCP) as required by the health plan. Many managed care plans (such as HMOs) require that services be performed or coordinated through an in-network provider or PCP.
On the CMS-1500 claim form, provider details are reported in Box 24J — Rendering Provider NPI and Box 33 — Billing Provider, while referral information (if applicable) is in Box 17 — Referring Provider. On the UB-04 claim form, provider and facility details are reported in Form Locator (FL) 56 — NPI and FL 1 — Billing Provider, which are used to validate network participation.</t>
  </si>
  <si>
    <t>Patient visits out-of-network specialist without referral → denied.
Services performed by non-contracted provider under HMO plan → rejection issued.
PCP referral required but not obtained → denial applied.
Emergency not documented but billed as out-of-network service → claim denied.
Provider not credentialed with payer network → claim rejected.</t>
  </si>
  <si>
    <t>Patient eligibility or plan type (HMO/PPO) not verified.
Provider not in payer network.
Missing PCP referral or prior authorization.
Lack of awareness of plan restrictions.
Incorrect provider selection during scheduling.
Credentialing gaps or inactive provider status.</t>
  </si>
  <si>
    <t>Verify patient’s plan type and network requirements.
Check if provider is in-network and properly credentialed.
Obtain retro authorization or referral if allowed.
Redirect claim to correct in-network provider if applicable.
Appeal if services qualify under emergency or special provisions.
Educate patient regarding network restrictions if needed.</t>
  </si>
  <si>
    <t>Prior Payer’s Patient Responsibility Not Covered</t>
  </si>
  <si>
    <t>The claim was processed indicating that the amount applied by a prior payer as patient responsibility (deductible, coinsurance, or copayment) is not covered by the current payer.</t>
  </si>
  <si>
    <t>Primary insurance applies deductible → secondary does not cover → patient responsible.
Coinsurance left by Medicare → supplemental plan does not cover → denied.
Copay amount from primary payer not eligible under secondary plan → patient billed.
Secondary payer excludes coverage for patient liability → claim adjusted.
COB processed but remaining balance assigned to patient → no additional payment.</t>
  </si>
  <si>
    <t>Secondary payer plan does not cover patient responsibility amounts.
COB rules limit payment beyond primary payer coverage.
Plan exclusions for deductible/coinsurance coverage.
Incorrect expectation that secondary will cover all balances.
Benefits not verified prior to service.
Misinterpretation of coordination of benefits policies.</t>
  </si>
  <si>
    <t>Review primary payer EOB to confirm patient responsibility.
Verify secondary payer benefits for deductible/coinsurance coverage.
Post adjustment correctly in billing system.
Bill patient for remaining balance per plan rules.
Appeal only if secondary payer should have covered the amount.
Educate patient regarding coverage limitations if needed.</t>
  </si>
  <si>
    <t>Invalid Provider Identifier for This Place of Service</t>
  </si>
  <si>
    <t>The claim was rejected because the provider identifier associated with the place of service (POS) was missing, incomplete, invalid, or not recognized by the payer.
On the CMS-1500 claim form, provider identifiers are reported in Box 24J — Rendering Provider NPI, Box 33 — Billing Provider NPI, and service location in Box 32 — Service Facility Location Information,</t>
  </si>
  <si>
    <t>Rendering provider not enrolled for the billed location → claim rejected.
Incorrect NPI used for facility-based services → denial applied.
Service billed under office POS but provider credentialed only for hospital → mismatch.
Missing service facility information (Box 32) → claim unprocessable.
Group NPI used instead of individual NPI for rendering provider → rejected.</t>
  </si>
  <si>
    <t>Provider not credentialed for the specific place of service.
Incorrect or missing NPI entered on claim.
Mismatch between POS and provider enrollment.
Incomplete service facility information.
System mapping or data entry errors.
Lack of coordination between credentialing and billing teams.</t>
  </si>
  <si>
    <t>Verify correct provider identifier (NPI) for the service location.
Confirm provider is enrolled and credentialed for the POS billed.
Update claim with accurate rendering, billing, and facility information.
Ensure Box 32 (CMS-1500) reflects correct service location.
Resubmit corrected claim.
Appeal if denial occurred despite valid enrollment.</t>
  </si>
  <si>
    <t>Invalid Attending Physician or Provider Information</t>
  </si>
  <si>
    <t>The claim was rejected because the attending physician or provider information was missing, incomplete, invalid, or not properly reported.
On the UB-04 claim form, the attending provider is reported in Form Locator (FL) 76 — Attending Provider Name and Identifiers (including NPI), On the CMS-1500 claim form, while there is no specific “attending” field, related provider roles are reported in Box 24J — Rendering Provider NPI and Box 17 — Referring/Ordering Provider, depending on the service context.</t>
  </si>
  <si>
    <t>Attending physician NPI missing in FL 76 → claim rejected.
Invalid or inactive provider identifier submitted → denial applied.
Incorrect provider listed as attending (e.g., consulting instead of attending) → rejection issued.
System failed to populate attending provider field → claim unprocessable.
Mismatch between attending provider and medical records → denied.</t>
  </si>
  <si>
    <t>Attending provider field left blank during claim creation.
Incorrect or outdated provider information.
Provider not enrolled or inactive with payer.
Staff unaware of attending provider requirements.
System mapping or interface errors.
Mismatch between clinical documentation and billing data.</t>
  </si>
  <si>
    <t>Verify correct attending provider from medical records.
Ensure valid NPI and provider details are entered in FL 76.
Confirm provider is enrolled and active with payer.
Update claim with accurate attending provider information.
Resubmit corrected claim.
Appeal if denial occurred despite correct information.</t>
  </si>
  <si>
    <t>Invalid Ordering/Referring Physician Information</t>
  </si>
  <si>
    <t>The claim was rejected because the ordering or referring physician/provider information was missing, incomplete, invalid, or not properly reported.
On the CMS-1500 claim form, the ordering/referring provider is reported in Box 17 — Name of Referring Provider and Box 17b — NPI, which are required for applicable services. On the UB-04 claim form, ordering provider information is reported in Form Locator (FL) 78 — Other Provider (Ordering/Referring), depending on service type.</t>
  </si>
  <si>
    <t>Referring physician NPI missing in Box 17b → claim rejected.
Invalid or inactive NPI submitted → denial applied.
Lab services billed without ordering provider → rejection issued.
DME claim missing ordering physician details → denied.
System failed to populate referring provider field → claim unprocessable.</t>
  </si>
  <si>
    <t>Missing ordering/referring provider information.
Incorrect or outdated NPI entered.
Provider not enrolled with payer.
Staff unaware of referral requirements.
System mapping or interface errors.
Mismatch between documentation and claim data.</t>
  </si>
  <si>
    <t>Verify correct ordering/referring provider from medical records.
Ensure valid NPI is entered in Box 17/17b.
Confirm provider enrollment with payer.
Update claim with accurate provider details.
Resubmit corrected claim.
Appeal if denial occurred despite valid information.</t>
  </si>
  <si>
    <t>Invalid Information on Whether Ordering Physician is Also the Performing Physician</t>
  </si>
  <si>
    <t>The claim was rejected because the information indicating whether the ordering physician is the same as the performing physician was missing, incomplete, invalid, or not properly reported.
On the CMS-1500 claim form, the ordering/referring provider is reported in Box 17 and 17b, and the performing/rendering provider is reported in Box 24J.On the UB-04 claim form, provider roles are reported in Form Locator (FL) 76 — Attending Provider and FL 78–79 — Other Providers (including ordering/performing).</t>
  </si>
  <si>
    <t>Lab test ordered by one physician but performed by another without proper indication → denied.
Same physician both ordered and performed service but not indicated → rejection issued.
Purchased diagnostic test billed without identifying performing provider → denial applied.
Mismatch between ordering and rendering provider data → claim unprocessable.
System failed to distinguish provider roles → rejected.</t>
  </si>
  <si>
    <t>Missing distinction between ordering and performing provider.
Incorrect or incomplete provider role data entry.
Staff unaware of billing requirements for purchased or diagnostic services.
System mapping or interface errors.
Mismatch between clinical documentation and claim submission.</t>
  </si>
  <si>
    <t>Verify ordering and performing provider details from medical records.
Ensure correct provider roles are reflected on the claim.
Update Box 17/17b and Box 24J (CMS-1500) appropriately.
Confirm consistency between documentation and billing data.
Resubmit corrected claim.
Appeal if denial occurred despite proper reporting.</t>
  </si>
  <si>
    <t>Invalid Physician Certification or Order</t>
  </si>
  <si>
    <t>The claim was rejected because a physician certification or physician order is required for the billed service but was missing, incomplete, invalid, or not properly documented.</t>
  </si>
  <si>
    <t>DME billed without physician order → denied.
Home health services initiated without certification → rejection issued.
Therapy services billed without signed plan of care → denial applied.
Diagnostic test performed without documented physician order → claim rejected.
Certification present but missing signature/date → claim unprocessable.</t>
  </si>
  <si>
    <t>Verify if physician order or certification exists.
Obtain valid signed and dated documentation if missing.
Ensure documentation meets payer requirements.
Update claim or resubmit with proper supporting records.
Appeal if documentation was available but not considered.</t>
  </si>
  <si>
    <t>Invalid Date of Patient’s Last Physician Visit</t>
  </si>
  <si>
    <t>The claim was rejected because the date of the patient’s last physician visit was missing, incomplete, invalid, or not properly reported. Certain services (such as home health, DME, and other certification-based services) require documentation of a recent face-to-face physician encounter to establish medical necessity and compliance with payer guidelines.</t>
  </si>
  <si>
    <t>Home health services billed without documenting last physician visit date → denied.
DME claim missing face-to-face encounter date → rejection issued.
Invalid or future date entered for last visit → denial applied.
Visit date does not meet required timeframe before service → claim rejected.
System failed to transmit visit date information → claim unprocessable.</t>
  </si>
  <si>
    <t>Last physician visit date not captured during documentation.
Incorrect or invalid date entry.
Failure to meet face-to-face encounter requirements.
Staff unaware of service-specific documentation rules.
Mismatch between clinical documentation and claim submission.
System or EDI mapping errors.</t>
  </si>
  <si>
    <t>Service Furnished by Facility with Financial Relationship to Referring Provider</t>
  </si>
  <si>
    <t>The claim was denied because the service was provided by a facility that has a financial relationship with the referring provider, which may violate regulatory requirements such as the Stark Law (Physician Self-Referral Law) or payer-specific compliance rules.</t>
  </si>
  <si>
    <t>Physician refers patient to imaging center they own → denied.
Lab services performed at facility with financial ties to ordering provider → rejection issued.
Therapy services referred internally without meeting Stark exception → denial applied.
Improper self-referral identified during payer review → claim rejected.
Missing documentation for allowed exception → claim unprocessable.</t>
  </si>
  <si>
    <t>Violation of Stark Law or payer self-referral rules.
Failure to meet exception criteria (e.g., in-office ancillary services).
Lack of disclosure of financial relationship.
Incomplete compliance documentation.
Staff unaware of regulatory restrictions.
Improper referral practices.</t>
  </si>
  <si>
    <t>Invalid Revenue Code(s)</t>
  </si>
  <si>
    <t>The claim was rejected because the revenue code(s) were missing, incomplete, invalid, or not appropriate for the services billed. Revenue codes are required on institutional (UB-04) claims to identify the department or type of service.
On the UB-04 claim form, revenue codes are reported in Form Locator (FL) 42 — Revenue Code and must align with FL 44 — HCPCS/Rate/HIPPS Code, FL 46 — Units, and FL 47 — Total Charges. The CMS-1500 claim form does not use revenue codes</t>
  </si>
  <si>
    <t>Revenue code field left blank on UB-04 → claim rejected.
Invalid or non-existent revenue code submitted → denial applied.
Revenue code does not match HCPCS/service billed → rejection issued.
Multiple services billed under incorrect single revenue code → denied.
System mapping error assigns wrong revenue code → claim unprocessable.</t>
  </si>
  <si>
    <t>Verify correct revenue code based on service provided.
Ensure alignment between FL 42 and HCPCS in FL 44.
Update claim with valid and appropriate revenue codes.
Correct any mapping or system issues.
Resubmit corrected claim.
Appeal if denial occurred despite correct coding.</t>
  </si>
  <si>
    <t>Invalid Dates of Service</t>
  </si>
  <si>
    <t>The claim was rejected because the dates of service (DOS) were missing, incomplete, invalid, or not properly reported. Accurate service dates are essential for determining coverage eligibility, benefit periods, timely filing limits, and reimbursement.</t>
  </si>
  <si>
    <t>Dates of service field left blank → claim rejected.
Invalid date format submitted (e.g., future date) → denial applied.
From date later than To date → rejection issued.
Service dates do not match documentation → claim denied.
Mismatch between service dates and billing period → claim unprocessable.</t>
  </si>
  <si>
    <t>Missing or incorrect date entry.
Data entry or formatting errors.
Mismatch between clinical documentation and billing.
Staff unfamiliar with date field requirements.
System or EDI transmission errors.
Incomplete claim data validation.</t>
  </si>
  <si>
    <t>Invalid Units of Service</t>
  </si>
  <si>
    <t>The claim was rejected because the units of service were missing, incomplete, invalid, or not appropriate for the service billed.
On the CMS-1500 claim form, units are reported in Box 24G — Days or Units and must align with Box 24D — Procedure Code and Box 24A — Dates of Service. On the UB-04 claim form, units are reported in Form Locator (FL) 46 — Service Units and must align with FL 42 — Revenue Code and FL 44 — HCPCS/Rate/HIPPS Code.</t>
  </si>
  <si>
    <t>Units field left blank → claim rejected.
Excess units billed beyond payer limit → denial applied.
Units do not match time-based service (e.g., therapy minutes) → rejection issued.
Mismatch between units and dates of service → claim denied.
System error populates incorrect unit count → claim unprocessable.</t>
  </si>
  <si>
    <t>Missing unit entry during billing.
Incorrect unit calculation (e.g., time-based services).
Staff unfamiliar with unit requirements.
Mismatch between documentation and billing.
System or mapping errors.
Failure to apply payer-specific unit limits.</t>
  </si>
  <si>
    <t>Invalid Principal Diagnosis</t>
  </si>
  <si>
    <t>Invalid Provider Address</t>
  </si>
  <si>
    <t>Invalid Provider Phone Number</t>
  </si>
  <si>
    <t>Invalid Provider Certification</t>
  </si>
  <si>
    <t>Invalid Provider Name</t>
  </si>
  <si>
    <t>Invalid Provider Taxonomy Code</t>
  </si>
  <si>
    <t>The claim was rejected because the principal diagnosis was missing, incomplete, invalid, or not properly reported. The principal diagnosis is the main condition responsible for the patient’s admission or encounter.
On the UB-04 claim form, the principal diagnosis is reported in Form Locator (FL) 67 — Principal Diagnosis Code, which must align with the services billed and supporting documentation. On the CMS-1500 claim form, diagnosis codes are reported in Box 21 — Diagnosis or Nature of Illness/Injury, and must support the procedures listed in Box 24D — Procedure Codes.</t>
  </si>
  <si>
    <t>Principal diagnosis field left blank → claim rejected.
Invalid or outdated ICD code submitted → denial applied.
Diagnosis does not support medical necessity → rejection issued.
Mismatch between diagnosis and procedure → claim denied.
System truncates diagnosis code → claim unprocessable.</t>
  </si>
  <si>
    <t>Verify principal diagnosis from medical records.
Ensure correct and valid ICD code is selected.
Align diagnosis with procedures and documentation.
Update claim with accurate diagnosis.
Resubmit corrected claim.
Appeal if denial occurred despite correct coding.</t>
  </si>
  <si>
    <t>The claim was rejected because the payer name and/or payer identifier (such as payer ID, insurance company name, or plan identifier) was missing.
The claim was rejected because the payer name and/or payer identifier (such as payer ID, insurance company name, or plan identifier) was missing.</t>
  </si>
  <si>
    <t>Payer name field left blank → claim rejected.
Invalid payer ID submitted → denial applied.
Incorrect insurance company selected → claim routed incorrectly.
Mismatch between payer ID and plan → rejection issued.
System mapping error populates wrong payer → claim unprocessable.</t>
  </si>
  <si>
    <t>Verify correct payer name and identifier from insurance card or eligibility portal.
Update claim with accurate payer information.
Ensure payer ID matches the plan and submission channel.
Resubmit corrected claim.
Confirm acceptance through clearinghouse or payer portal.</t>
  </si>
  <si>
    <t>Invalid Attending, Ordering, Operating, or Referring Physician Identification</t>
  </si>
  <si>
    <t>The claim was rejected because the identification details (such as name, NPI, or other required identifiers) for one or more provider roles—attending, ordering, operating, or referring physician—were missing, incomplete.
On the CMS-1500 claim form, provider information is reported in Box 17 — Referring/Ordering Provider, Box 17b — NPI, and Box 24J — Rendering Provider NPI. On the UB-04 claim form, provider roles are reported in Form Locator (FL) 76 — Attending Provider, FL 77 — Operating Physician, and FL 78–79 — Other Providers (including ordering/referring), which must be accurately completed.</t>
  </si>
  <si>
    <t>Attending provider NPI missing in FL 76 → claim rejected.
Ordering physician not listed for lab/radiology service → denial applied.
Operating physician field blank for surgical procedure → rejection issued.
Invalid or inactive NPI submitted → claim denied.
Mismatch between provider roles and documentation → claim unprocessable.</t>
  </si>
  <si>
    <t>Missing provider identifiers during claim entry.
Incorrect or outdated NPI used.
Provider not enrolled or inactive with payer.
Staff unaware of required provider roles.
System or EDI mapping errors.
Mismatch between clinical documentation and billing data.</t>
  </si>
  <si>
    <t>Verify correct provider roles from medical records.
Ensure valid NPIs are entered for all required providers.
Confirm provider enrollment and active status with payer.
Update claim with accurate provider information.
Resubmit corrected claim.
Appeal if denial occurred despite valid data.</t>
  </si>
  <si>
    <t>The claim was rejected because the provider’s address (billing, rendering, or service facility address) was missing, incomplete, invalid, or not properly reported.
On the CMS-1500 claim form, the provider address is reported in Box 33 — Billing Provider Info &amp; Address and Box 32 — Service Facility Location Information. On the UB-04 claim form, provider address details are reported in Form Locator (FL) 1 — Billing Provider Name and Address, which must match enrollment records associated with FL 56 — NPI.</t>
  </si>
  <si>
    <t>Billing provider address missing in Box 33 → claim rejected.
Invalid ZIP code or incomplete address → denial applied.
Service facility address missing in Box 32 → rejection issued.
Mismatch between provider address and enrollment records → claim denied.
System truncates address fields during submission → claim unprocessable.</t>
  </si>
  <si>
    <t>Missing or incomplete provider address during claim creation.
Incorrect or outdated address information.
Failure to update provider enrollment details.
Staff unaware of address field requirements.
System or EDI mapping errors.
Mismatch between billing system and payer records.</t>
  </si>
  <si>
    <t>Verify correct provider address from enrollment records.
Update claim with complete and accurate address (including ZIP code).
Ensure consistency between billing and service facility address.
Resubmit corrected claim.
Confirm acceptance through clearinghouse or payer portal.</t>
  </si>
  <si>
    <t>The claim was rejected because the provider’s phone number was missing, incomplete, invalid, or not properly reported.
On the CMS-1500 claim form, the provider phone number is reported in Box 33 — Billing Provider Info &amp; Phone Number and may also be included in Box 32 — Service Facility Location if applicable. On the UB-04 claim form, provider contact information is reported in Form Locator (FL) 1 — Billing Provider Name and Address (including phone number).</t>
  </si>
  <si>
    <t>Provider phone number field left blank → claim rejected.
Invalid or incomplete phone number entered → denial applied.
Mismatch between submitted phone number and enrollment records → rejection issued.
System truncates phone number during EDI transmission → claim denied.
Outdated contact information used → claim unprocessable.</t>
  </si>
  <si>
    <t>Missing provider phone number during claim entry.
Incorrect or outdated contact information.
Failure to update provider enrollment records.
Staff unaware of required contact fields.
System or EDI mapping errors.
Data formatting issues (incorrect number format).</t>
  </si>
  <si>
    <t>Verify correct provider phone number from enrollment records.
Update claim with complete and valid phone number.
Ensure proper formatting (area code + number).
Resubmit corrected claim.
Confirm claim acceptance through clearinghouse or payer portal.</t>
  </si>
  <si>
    <t>The claim was rejected because the required provider certification was missing, incomplete, invalid, or not properly documented.
On the UB-04 claim form, certification is typically associated with Form Locator (FL) 76 — Attending Provider, FL 67 — Diagnosis Codes,</t>
  </si>
  <si>
    <t>Inpatient admission billed without physician certification → denied.
SNF services missing required certification → rejection issued.
Home health episode without signed certification → denial applied.
Certification present but missing signature or date → claim rejected.
Expired or invalid certification used → claim unprocessable.</t>
  </si>
  <si>
    <t>Missing provider certification.
Incomplete or unsigned certification documentation.
Failure to obtain certification prior to service.
Staff unaware of certification requirements.
Mismatch between documentation and billed services.
Poor documentation management or storage.</t>
  </si>
  <si>
    <t>Verify whether certification exists in medical records.
Obtain valid signed and dated certification if missing.
Ensure certification meets payer requirements.
Update claim or attach supporting documentation if required.
Resubmit corrected claim.
Appeal if certification was available but not considered.</t>
  </si>
  <si>
    <t>Service Not Covered When Patient is in a Skilled Nursing Facility (SNF)</t>
  </si>
  <si>
    <t>The claim was denied because the service is not separately payable when the patient is in a Skilled Nursing Facility (SNF) or swing bed. Under Medicare and many payer rules, certain services are included in the SNF consolidated billing and must be billed by the SNF rather than by an outside provider.
On the CMS-1500 claim form, services billed by external providers are reported in Box 24D — Procedure Code and Box 24A — Dates of Service, but may be denied if included under SNF consolidated billing. On the UB-04 claim form, SNF services are billed under Form Locator (FL) 4 — Type of Bill (e.g., 21X, 22X, 23X) and FL 42 — Revenue Code.</t>
  </si>
  <si>
    <t>Lab services billed by external provider while patient is in SNF → denied.
Radiology services billed separately instead of through SNF → rejection issued.
Therapy services provided during SNF stay billed by outside provider → denied.
Patient in swing bed facility receives bundled services → claim rejected.
Provider unaware patient is in SNF during service → claim unprocessable.</t>
  </si>
  <si>
    <t>Lack of awareness of SNF consolidated billing rules.
Services billed by wrong entity (external provider instead of SNF).
Failure to verify patient status (SNF inpatient).
Misinterpretation of bundled vs separately billable services.
Coordination gap between SNF and external providers.</t>
  </si>
  <si>
    <t>Verify if patient was in SNF or swing bed during service.
Determine if service falls under consolidated billing.
If bundled → coordinate billing through SNF.
If separately billable → verify eligibility and modifiers (if applicable).
Resubmit claim if billing was incorrect.
Appeal if service qualifies as excluded from SNF consolidated billing.</t>
  </si>
  <si>
    <t>Incorrect Level of Service</t>
  </si>
  <si>
    <t>The claim was denied or adjusted because the evaluation and management (E/M) service was billed with an incorrect level of service. This means the CPT code submitted (e.g., office visit level 3, 4, or 5) does not match the documentation, medical necessity, or coding guidelines.</t>
  </si>
  <si>
    <t>Level 4 visit billed but documentation supports only level 2 → downcoded/denied.
High-level E/M billed without sufficient MDM complexity → rejection issued.
Time-based billing not supported by documentation → denial applied.
Incorrect E/M code selected for visit type (new vs established patient) → denied.
Template-based documentation not supporting billed level → claim adjusted.</t>
  </si>
  <si>
    <t>Upcoding or incorrect E/M level selection.
Insufficient or incomplete clinical documentation.
Misunderstanding of E/M coding guidelines.
Failure to apply 2021/2023 E/M rules (MDM/time-based).
Use of incorrect patient type (new vs established).
Lack of coding audit or validation process.</t>
  </si>
  <si>
    <t>Review clinical documentation to validate correct E/M level.
Compare billed code with MDM or time-based criteria.
Correct E/M code if overcoded or undercoded.
Resubmit corrected claim.
Educate provider on proper documentation requirements.
Appeal if denial occurred despite appropriate documentation.</t>
  </si>
  <si>
    <t>The claim was rejected because the provider name (billing, rendering, attending, ordering, or referring provider) was missing, incomplete, invalid, or not properly reported.
On the CMS-1500 claim form, provider names are reported in Box 33 — Billing Provider Name, Box 24J — Rendering Provider, and Box 17 — Referring/Ordering Provider. On the UB-04 claim form, provider names are reported in Form Locator (FL) 1 — Billing Provider Name, FL 76 — Attending Provider, and FL 78–79 — Other Providers, which must align with FL 56 — NPI.</t>
  </si>
  <si>
    <t>Provider name field left blank → claim rejected.
Mismatch between provider name and NPI → denial applied.
Misspelled or truncated provider name → rejection issued.
Group name used instead of individual provider (or vice versa) → denied.
System failed to populate provider name field → claim unprocessable.</t>
  </si>
  <si>
    <t>Missing provider name during claim entry.
Mismatch between provider name and NPI records.
Outdated or incorrect provider information.
Staff unaware of naming conventions.
System or EDI mapping errors.
Incomplete provider enrollment data</t>
  </si>
  <si>
    <t>Verify correct provider name from enrollment records.
Ensure provider name matches NPI exactly.
Update claim with accurate provider name.
Resubmit corrected claim.
Confirm acceptance through clearinghouse or payer portal.</t>
  </si>
  <si>
    <t>The claim was rejected because the provider’s taxonomy code—an alphanumeric code designating the provider’s specialty—was missing, incomplete, invalid, or did not match payer records.
On the CMS-1500 claim form, the provider taxonomy code is reported in Box 33b (shaded area), typically with a “ZZ” qualifier. On the UB-04 claim form, the taxonomy code is often submitted through electronic fields or under the billing provider details (often linked to the NPI record in FL 56).</t>
  </si>
  <si>
    <t>Taxonomy code field left blank in Box 33b → claim rejected.
Incorrect taxonomy code submitted (does not match provider’s specialty) → denial applied.
Taxonomy code not updated after specialty change → claim rejected.
Mismatch between taxonomy code and service billed → claim denied.
System failed to transmit taxonomy code → claim unprocessable.</t>
  </si>
  <si>
    <t>Missing taxonomy code during claim creation.
Incorrect taxonomy code for the provider’s specialty.
Outdated taxonomy code not updated in billing system.
Provider enrollment not aligned with billed taxonomy.
System or EDI mapping issues preventing transmission of taxonomy.</t>
  </si>
  <si>
    <t>Verify correct taxonomy code from the provider’s NPI registry or payer enrollment.
Ensure taxonomy matches the specialty or service billed.
Update the claim with the valid taxonomy code in Box 33b (CMS-1500) or appropriate UB-04 field.
Resubmit the corrected claim.
Ensure provider enrollment records are updated with payers if needed.</t>
  </si>
  <si>
    <t>Claim Already Paid | Waiting Payment</t>
  </si>
  <si>
    <t>&lt;tr data-status="Duplicate Claim" data-action="Claim Already Paid | Waiting Payment" data-source="Analyse|Web|Call" data-category="Jorie Resolved" data-sub="Duplicate Billing" data-reason="Exact duplicate claim/service" data-carc="18" data-rarc="N389"&gt;
  &lt;td class="c-code"&gt;Duplicate Claim&lt;/td&gt;
  &lt;td class="c-code"&gt;Claim Already Paid | Waiting Payment&lt;/td&gt;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t>
  </si>
  <si>
    <t>Supplemental Claim Not Forwarded</t>
  </si>
  <si>
    <t>The claim was not forwarded to a supplemental insurer because either the secondary coverage is not a Medigap plan eligible for automatic crossover or the patient did not provide sufficient or valid information to identify the supplemental insurer.</t>
  </si>
  <si>
    <t>Medicare claim not crossed over because secondary plan is not Medigap → not forwarded.
Secondary insurance details missing on claim → rejection issued.
Invalid policy number for supplemental insurer → claim not routed.
Patient has commercial secondary but not identified properly → provider must bill manually.
System missing crossover indicator due to incomplete data → claim unprocessed for secondary.</t>
  </si>
  <si>
    <t>Incomplete or missing secondary insurance information.
Secondary plan not eligible for automatic crossover (non-Medigap).
Incorrect or invalid policy/member ID.
Failure to capture COB details during registration.
Staff unaware of crossover requirements.
System or EDI mapping errors.</t>
  </si>
  <si>
    <t>Verify patient’s secondary insurance details.
Confirm whether plan is eligible for automatic crossover.
Update claim with complete and accurate secondary payer information.
Submit claim directly to secondary insurer if not Medigap.
Resubmit or bill secondary as required.
Follow up on payment after submission.</t>
  </si>
  <si>
    <t>Patient Payment Misapplied</t>
  </si>
  <si>
    <t>Multi-line claim submitted → payer processes some lines separately → multiple remittances issued.
Claim includes services with different processing rules (e.g., professional vs technical) → split occurs.
High-volume claim divided for faster adjudication → partial payment received first.
Services requiring additional review processed separately → secondary notice follows.
System-driven claim splitting by payer → multiple EOBs generated.</t>
  </si>
  <si>
    <t>Payer internal processing rules for claim splitting.
Mixed service types within a single claim.
Services requiring different adjudication workflows.
High-volume or complex claims.
System-based claim segmentation by payer.</t>
  </si>
  <si>
    <t>Review remittance advice for processed service lines.
Track claim using claim number and service dates.
Wait for additional remittance for remaining services.
Reconcile all payments once all notices are received.
Follow up with payer if remaining services are not processed timely.</t>
  </si>
  <si>
    <t>his alert indicates that the payment received has been combined or applied across multiple patient accounts, resulting in a potential misapplication of funds. The payer is advising the provider to verify patient identity and payment allocation to ensure that payments are correctly associated with the appropriate patient and claim.</t>
  </si>
  <si>
    <t>Payment posted to wrong patient account → identified during remittance processing.
Multiple patients’ payments grouped under a single transaction → allocation error.
Same name or similar demographics caused misposting → payment confusion.
Clearinghouse or ERA posting error combined payments → reconciliation issue.
Manual posting error applied payment to incorrect patient → discrepancy detected.</t>
  </si>
  <si>
    <t>Patient identity mismatch (same/similar names or demographics).
Incorrect posting of ERA/EOB payments.
Manual posting or data entry errors.
System auto-posting logic issues.
Lack of patient account validation during payment posting.
Inadequate reconciliation processes.</t>
  </si>
  <si>
    <t>Review remittance advice and payment details.
Verify patient identity (name, DOB, member ID).
Identify correct patient accounts for each payment.
Reverse incorrect postings and reapply payments accurately.
Document corrections for audit trail.
Reconcile account balances to ensure accuracy.</t>
  </si>
  <si>
    <t>This alert indicates that the submitted claim or service line was separated and processed as part of a combined claim, typically to facilitate more efficient adjudication. The payer has processed a portion of the services and will issue a separate remittance notice for the remaining services.</t>
  </si>
  <si>
    <t>Claim/Service Split and Processed as Part of Combined Claim</t>
  </si>
  <si>
    <t>Invalid Diagnosis-Related Group (DRG) Code</t>
  </si>
  <si>
    <t>The claim was rejected because the Diagnosis-Related Group (DRG) code was missing, incomplete, invalid, or not properly reported.
On the UB-04 claim form, the DRG code is reported in Form Locator (FL) 71 — Prospective Payment System (PPS) Code (DRG) and must align with FL 67 — Principal Diagnosis, FL 72–75 — Secondary Diagnoses, and FL 74 — Procedures. The CMS-1500 claim form does not use DRG codes, as they apply to institutional inpatient billing.</t>
  </si>
  <si>
    <t>DRG field left blank on inpatient claim → claim rejected.
Invalid or outdated DRG code submitted → denial applied.
DRG does not match diagnosis/procedure combination → rejection issued.
Coding error leads to incorrect DRG assignment → claim denied.
System failed to populate DRG during claim generation → claim unprocessable.</t>
  </si>
  <si>
    <t>Missing DRG assignment during coding.
Incorrect grouping due to coding errors (ICD mismatch).
Use of outdated DRG grouper/version.
Incomplete clinical documentation affecting DRG assignment.
System or interface errors in DRG population.
Lack of validation before claim submission.</t>
  </si>
  <si>
    <t>Review medical records and coding for accurate DRG assignment.
Regroup claim using correct DRG grouper/version.
Ensure alignment between DRG, diagnoses, and procedures.
Update claim with valid DRG code in FL 71.
Resubmit corrected claim.
Appeal if denial occurred despite correct DRG assignment.</t>
  </si>
  <si>
    <t>Invalid Date of Discharge</t>
  </si>
  <si>
    <t>The claim was rejected because the date of discharge was missing, incomplete, invalid, or not properly reported. The discharge date is a critical data element for inpatient and institutional claims.
On the UB-04 claim form, the discharge date is reported in Form Locator (FL) 6 — Statement Covers Period (Through Date) and must align with FL 17 — Patient Discharge Status and FL 12 — Admission Date. The CMS-1500 claim form does not typically include discharge date.</t>
  </si>
  <si>
    <t>Discharge date field left blank → claim rejected.
Invalid or future discharge date entered → denial applied.
Mismatch between admission and discharge dates → rejection issued.
Discharge date does not align with patient status → claim denied.
System failed to populate discharge date → claim unprocessable.</t>
  </si>
  <si>
    <t>Missing discharge date during claim entry.
Incorrect or invalid date format.
Mismatch between clinical documentation and billing data.
Staff unfamiliar with UB-04 requirements.
System or EDI mapping errors.
Incomplete validation before submission.</t>
  </si>
  <si>
    <t>Verify correct discharge date from medical records.
Ensure logical sequence (admission ≤ discharge).
Align discharge date with patient status and billing period.
Update claim with accurate discharge date.
Resubmit corrected claim.
Appeal if denial occurred despite correct data.</t>
  </si>
  <si>
    <t>The claim was rejected because the admission date was missing, incomplete, invalid, or not properly reported. The admission date is a critical element for institutional (inpatient/outpatient) claims.
On the UB-04 claim form, the admission date is reported in Form Locator (FL) 12 — Admission Date and must align with FL 6 — Statement Covers Period, FL 17 — Discharge Status, and other service details.</t>
  </si>
  <si>
    <t>Admission date field left blank → claim rejected.
Invalid or future admission date entered → denial applied.
Admission date later than discharge date → rejection issued.
Mismatch between admission date and statement covers period → claim denied.
System failed to populate admission date → claim unprocessable.</t>
  </si>
  <si>
    <t>Missing admission date during claim entry.
Incorrect or invalid date format.
Mismatch between clinical documentation and billing data.
Staff unfamiliar with UB-04 requirements.
System or EDI mapping errors.
Incomplete validation before submission.</t>
  </si>
  <si>
    <t>Verify correct admission date from medical records.
Ensure logical sequence (admission ≤ discharge).
Align admission date with statement covers period and services billed.
Update claim with accurate admission date.
Resubmit corrected claim.
Appeal if denial occurred despite correct data.</t>
  </si>
  <si>
    <t>Patient Liability Due to Advance Notice of Non-Coverage (ABN Issued)</t>
  </si>
  <si>
    <t>This alert indicates that the patient is financially responsible for the service because an Advance Beneficiary Notice (ABN) or equivalent notice of non-coverage was properly provided prior to service delivery.</t>
  </si>
  <si>
    <t>ABN issued for non-covered diagnostic test → patient responsible → claim denied.
Service exceeds frequency limits and ABN obtained → patient billed.
Experimental or non-covered procedure with prior patient consent → denial applied.
Medical necessity not met but ABN signed → liability shifts to patient.
Screening service not covered under plan → ABN used → patient responsible.</t>
  </si>
  <si>
    <t>Service not covered under payer policy.
Medical necessity criteria not met.
Frequency limitations exceeded.
Use of non-covered or experimental services.
Proper ABN obtained shifting liability to patient.</t>
  </si>
  <si>
    <t>Verify that ABN or equivalent notice was properly completed and signed.
Ensure documentation supports that patient was informed prior to service.
Post patient responsibility to account.
Bill patient for the applicable amount.
Do not appeal unless ABN was incorrectly applied or payer error occurred.
Maintain ABN documentation for audit purposes.</t>
  </si>
  <si>
    <t>New Procedure Code Not Valid for Date of Service</t>
  </si>
  <si>
    <t>The claim was rejected because the procedure or service code submitted was not effective on the date of service (DOS). Coding systems such as CPT/HCPCS are updated periodically, and each code has an effective and termination date.
On the CMS-1500 claim form, procedure codes are reported in Box 24D — CPT/HCPCS Code, which must be valid for the DOS in Box 24A — Date(s) of Service. On the UB-04 claim form, codes are reported in Form Locator (FL) 44 — HCPCS/Rate/HIPPS Code, which must align with the billing period in FL 6 — Statement Covers Period.</t>
  </si>
  <si>
    <t>New CPT code used before its effective date → claim rejected.
Deleted/obsolete HCPCS code used after termination → denial applied.
Annual code update not implemented in billing system → rejection issued.
Incorrect code selected instead of valid historical code → claim denied.
System auto-updated codes but DOS falls in prior year → claim unprocessable.</t>
  </si>
  <si>
    <t>Use of code not valid for the date of service.
Failure to update coding system with effective dates.
Staff unaware of annual CPT/HCPCS updates.
Incorrect code selection during billing.
System mapping errors or outdated code library.</t>
  </si>
  <si>
    <t>Invalid Social Security Number (SSN)</t>
  </si>
  <si>
    <t>The claim was rejected because the patient’s Social Security Number (SSN) or Medicare Beneficiary Identifier (MBI, where applicable) was missing, incomplete.
On the CMS-1500 claim form, patient identifiers are reported in Box 1a — Insured’s ID Number. On the UB-04 claim form, patient identifiers are reported in Form Locator (FL) 60 — Insured’s Unique ID</t>
  </si>
  <si>
    <t>SSN/MBI field left blank → claim rejected.
Invalid or incorrectly formatted SSN/MBI → denial applied.
Mismatch between SSN/MBI and patient name → rejection issued.
Old SSN used instead of updated MBI for Medicare → claim denied.
System truncates or alters identifier during submission → claim unprocessable.</t>
  </si>
  <si>
    <t>Missing patient identifier during registration.
Incorrect or outdated SSN/MBI entered.
Failure to update Medicare transition from SSN to MBI.
Data entry or formatting errors.
System or EDI mapping issues.
Mismatch between patient demographics and payer records.</t>
  </si>
  <si>
    <t>Verify correct SSN/MBI from patient records or eligibility portal.
Update claim with accurate and properly formatted identifier.
Ensure alignment with patient name and demographics.
Resubmit corrected claim.
Confirm claim acceptance through clearinghouse or payer portal.</t>
  </si>
  <si>
    <t>Resubmission of Previously Denied Services with Same Codes</t>
  </si>
  <si>
    <t>This alert indicates that the services or items previously denied will continue to be denied if resubmitted using the same codes and information</t>
  </si>
  <si>
    <t>Claim denied for non-covered service and resubmitted unchanged → denied again.
Incorrect CPT/HCPCS code used and resubmitted without correction → repeated denial.
Missing documentation not addressed before resubmission → claim rejected again.
Bundled service billed separately again → denial repeated.
Authorization missing and claim resubmitted without it → denied again.</t>
  </si>
  <si>
    <t>Resubmission without correcting original denial reason.
Incorrect coding not updated.
Missing or insufficient documentation.
Lack of understanding of denial reason.
Workflow gaps in denial management process.
Failure to review remittance advice before resubmission.</t>
  </si>
  <si>
    <t>Review original denial reason and remittance advice.
Identify and correct the issue (coding, documentation, authorization, etc.).
Update claim with accurate and compliant information.
Resubmit corrected claim.
Appeal if denial is incorrect and supporting documentation exists.</t>
  </si>
  <si>
    <t>Claim Not Crossed Over Due to Missing Medigap</t>
  </si>
  <si>
    <t>This alert indicates that the claim was not automatically forwarded (crossed over) to the Medigap or supplemental insurer because the supplemental policy information is not on file or not available in the payer’s system.</t>
  </si>
  <si>
    <t>Medicare claim processed but not crossed over due to missing Medigap policy → provider must bill secondary manually.
Secondary insurance not captured during registration → no crossover occurred.
Incorrect or incomplete Medigap policy number → claim not forwarded.
Patient has supplemental plan but not on file with Medicare → no automatic routing.
System lacks crossover indicator due to missing data → claim not transmitted.</t>
  </si>
  <si>
    <t>Missing Medigap or supplemental insurance information.
Incomplete or incorrect policy/member ID.
Failure to capture secondary insurance at intake.
Patient did not provide supplemental insurance details.
System or payer database does not have policy on file.
COB information not updated or validated.</t>
  </si>
  <si>
    <t>Verify patient’s supplemental/Medigap insurance details.
Update billing system with accurate secondary payer information.
Submit claim directly to supplemental insurer.
Ensure policy number and payer ID are correct.
Follow up on secondary payment after submission.</t>
  </si>
  <si>
    <t>Invalid Diagnosis or Condition</t>
  </si>
  <si>
    <t>The claim was rejected because the diagnosis or condition information was missing, incomplete, invalid, or not properly reported. Diagnosis codes are essential to establish medical necessity, coverage eligibility, and appropriate reimbursement.
On the CMS-1500 claim form, diagnosis codes are reported in Box 21 — Diagnosis or Nature of Illness/Injury and must support the procedures listed in Box 24D — CPT/HCPCS Codes. On the UB-04 claim form, diagnosis information is reported in Form Locator (FL) 67 — Principal Diagnosis Code and FL 72–75 — Secondary Diagnoses, which must align with billed services.</t>
  </si>
  <si>
    <t>Diagnosis field left blank → claim rejected.
Invalid or non-billable ICD code submitted → denial applied.
Diagnosis does not support procedure billed → rejection issued.
Incomplete diagnosis (missing required specificity) → claim denied.
System mapping error truncates diagnosis code → claim unprocessable.</t>
  </si>
  <si>
    <t>Missing diagnosis during claim creation.
Incorrect or outdated ICD coding.
Insufficient specificity in diagnosis code.
Mismatch between documentation and billed services.
Staff unfamiliar with coding guidelines.
System or EDI transmission errors.</t>
  </si>
  <si>
    <t>Verify correct diagnosis from medical records.
Ensure use of valid and specific ICD codes.
Align diagnosis with procedures and documentation.
Update claim with accurate diagnosis information.
Resubmit corrected claim.
Appeal if denial occurred despite correct coding.</t>
  </si>
  <si>
    <t>nvalid CLIA Number for Laboratory Services</t>
  </si>
  <si>
    <t>The claim was rejected because the Clinical Laboratory Improvement Amendments (CLIA) number was missing, incomplete, invalid, or not properly reported for laboratory services.
On the CMS-1500 claim form, the CLIA number is reported in Box 23 — Prior Authorization Number (or CLIA number field with appropriate qualifier). On the UB-04 claim form, the CLIA number is typically associated with Form Locator (FL) 56 — NPI</t>
  </si>
  <si>
    <t>Lab test billed without CLIA number → claim rejected.
Invalid or expired CLIA number submitted → denial applied.
CLIA number does not match performing laboratory → rejection issued.
Multiple lab services billed but CLIA not included → claim denied.
System failed to transmit CLIA number in EDI → claim unprocessable.</t>
  </si>
  <si>
    <t>Missing CLIA number during claim entry.
Incorrect or outdated CLIA certification.
Mismatch between performing lab and reported CLIA number.
Staff unaware of CLIA reporting requirements.
System or EDI mapping errors.
Failure to validate lab compliance before billing.</t>
  </si>
  <si>
    <t>Verify correct CLIA number for performing laboratory.
Ensure CLIA number is active and valid.
Update claim with accurate CLIA number.
Confirm alignment between lab provider and CLIA certification.
Resubmit corrected claim.
Appeal if denial occurred despite valid certification.</t>
  </si>
  <si>
    <t>Missing Indication of Primary or Secondary Payer (COB Status Not Specified)</t>
  </si>
  <si>
    <t>The claim was rejected because it did not clearly indicate whether the payer is acting as the primary or secondary payer under Coordination of Benefits (COB).
On the CMS-1500 claim form, COB and payer sequencing are reported in Box 1 — Insurance Type, Box 9–9d — Other Insured Information, and Box 11 — Insured’s Policy/Group Information, which indicate primary vs secondary coverage. On the UB-04 claim form, this is reported in Form Locator (FL) 50 — Payer Name (sequence order), along with FL 58–60 — Insured Information,</t>
  </si>
  <si>
    <t>Claim submitted without indicating primary or secondary payer → rejected.
Medicare secondary claim submitted without primary EOB → denial issued.
Multiple insurances listed but sequence not defined → rejection applied.
COB fields left blank or inconsistent → claim unprocessable.
System failed to assign payer order → claim denied.</t>
  </si>
  <si>
    <t>Missing COB information during registration or billing.
Incorrect or incomplete insurance sequencing.
Failure to capture primary payer details.
Staff unfamiliar with COB requirements.
System or EDI mapping errors.
Incomplete eligibility verification.</t>
  </si>
  <si>
    <t>Verify patient’s insurance coverage and payer sequence.
Identify correct primary and secondary payer.
Update claim with accurate COB information.
Include primary payer EOB if billing secondary.
Resubmit corrected claim.
Confirm acceptance through clearinghouse or payer portal.</t>
  </si>
  <si>
    <t>Patient Identified as Medicare Beneficiary</t>
  </si>
  <si>
    <t>This alert indicates that the patient has been identified as a Medicare beneficiary, which may impact payer sequencing, billing requirements, and coverage determination. The provider must ensure that Medicare is billed appropriately as primary or secondary payer based on Coordination of Benefits (COB) rules.</t>
  </si>
  <si>
    <t>Patient has Medicare but claim submitted only to commercial payer → incorrect routing.
Medicare should be primary but billed as secondary → processing issue.
Medicare eligibility discovered after claim submission → payer flags claim.
COB not updated after patient becomes Medicare eligible → claim impacted.
Dual eligibility (Medicare + Medicaid) not properly reflected → billing error.</t>
  </si>
  <si>
    <t>Failure to verify Medicare eligibility.
Incorrect payer sequencing under COB rules.
Missing or outdated Medicare Beneficiary Identifier (MBI).
Incomplete insurance information during registration.
Staff unaware of Medicare billing requirements.
System not updated with Medicare status.</t>
  </si>
  <si>
    <t>Verify Medicare eligibility and effective dates.
Determine correct payer sequence (primary vs secondary).
Update claim with accurate Medicare information (MBI).
Submit claim to Medicare if required.
Resubmit or coordinate with secondary payer after Medicare adjudication.
Follow up on claim processing and payment.</t>
  </si>
  <si>
    <t>Claim Submitted for Patient Enrolled in Medicare Advantage Plan</t>
  </si>
  <si>
    <t>This alert indicates that the beneficiary is enrolled in a Medicare Advantage (Part C) plan, and therefore claims should be submitted to the Medicare Advantage plan rather than traditional Medicare (Fee-for-Service).</t>
  </si>
  <si>
    <t>Claim submitted to traditional Medicare for patient enrolled in Medicare Advantage → denied.
Patient switched to Medicare Advantage but system still shows Medicare FFS → incorrect billing.
Provider unaware of patient’s MA enrollment → claim rejected.
Medicare Advantage plan requires authorization but not obtained → denial applied.
Dual eligibility confusion leads to incorrect payer submission → claim impacted.</t>
  </si>
  <si>
    <t>Failure to verify current insurance coverage.
Outdated patient insurance information in system.
Incorrect assumption that Medicare is primary payer.
Lack of awareness of Medicare Advantage enrollment.
COB or eligibility verification not performed.</t>
  </si>
  <si>
    <t>Verify patient’s current insurance and confirm Medicare Advantage enrollment.
Identify correct Medicare Advantage plan and payer ID.
Submit claim to the appropriate Medicare Advantage payer.
Obtain authorization if required by the plan.
Resubmit corrected claim.
Follow up on claim processing with MA plan.</t>
  </si>
  <si>
    <t>Invalid Provider/Facility Primary Identifier for Place of Service</t>
  </si>
  <si>
    <t>The claim was rejected because the primary identifier of the provider or facility associated with the place of service (POS)—such as the NPI or facility identifier—was missing, incomplete, invalid, or not properly reported.</t>
  </si>
  <si>
    <t>Service facility NPI missing in Box 32 → claim rejected.
Invalid or inactive facility identifier submitted → denial applied.
Mismatch between provider NPI and place of service → rejection issued.
Group NPI used incorrectly for facility-based services → claim denied.
System failed to populate service location identifier → claim unprocessable.</t>
  </si>
  <si>
    <t>Missing provider/facility identifier during claim entry.
Incorrect or outdated NPI used.
Provider not enrolled for the specific place of service.
Mismatch between POS and provider credentials.
System or EDI mapping errors.
Lack of coordination between credentialing and billing teams.</t>
  </si>
  <si>
    <t>Verify correct provider/facility identifier (NPI) for the place of service.
Confirm provider/facility enrollment with payer.
Update claim with accurate identifier information.
Ensure consistency between billing, rendering, and service facility fields.
Resubmit corrected claim.
Appeal if denial occurred despite valid enrollment.</t>
  </si>
  <si>
    <t>Invalid Precertification/Authorization/Notification Number</t>
  </si>
  <si>
    <t>The claim was rejected because the required precertification, prior authorization, notification, or pre-treatment number was missing, incomplete, invalid, or not properly reported.
On the CMS-1500 claim form, authorization numbers are reported in Box 23 — Prior Authorization Number. On the UB-04 claim form, authorization or treatment authorization codes are reported in Form Locator (FL) 63 — Treatment Authorization Codes.</t>
  </si>
  <si>
    <t>Authorization required for surgery but not included on claim → denied.
Invalid or expired authorization number submitted → rejection issued.
Precertification obtained but not entered in claim → denial applied.
Authorization number does not match service or dates → claim rejected.
System failed to transmit authorization number → claim unprocessable.</t>
  </si>
  <si>
    <t>Missing prior authorization during claim submission.
Incorrect or expired authorization number.
Mismatch between authorization and billed services/dates.
Failure to obtain authorization before service.
Staff unaware of authorization requirements.
System or EDI mapping errors.</t>
  </si>
  <si>
    <t>Verify if prior authorization was obtained.
Confirm authorization number, validity, and service coverage.
Update claim with correct authorization number.
Resubmit corrected claim.
If authorization was not obtained → request retro authorization (if allowed).
Appeal if denial occurred despite valid authorization.</t>
  </si>
  <si>
    <t>Adjustment Due to Use of Non-Specific Procedure Code</t>
  </si>
  <si>
    <t>This alert indicates that the claim was adjusted because a more specific procedure code should have been billed. The submitted CPT/HCPCS code was considered too general, non-specific, or not the most appropriate code for the service rendered.</t>
  </si>
  <si>
    <t>Unlisted or generic CPT code used when a specific code exists → claim adjusted.
Broad procedure code billed instead of detailed code → reduced payment.
Incorrect code selection despite available specific HCPCS → denial applied.
Use of miscellaneous code without justification → claim rejected.
Coding not updated to reflect current CPT specificity → adjustment issued.</t>
  </si>
  <si>
    <t>Use of non-specific or generic procedure codes.
Lack of awareness of updated CPT/HCPCS codes.
Incomplete coding knowledge or training.
Failure to review coding guidelines.
System defaults to general codes.
Insufficient documentation to support specific code selection.</t>
  </si>
  <si>
    <t>Review clinical documentation for accurate coding.
Identify the most specific CPT/HCPCS code applicable.
Replace generic or incorrect code with appropriate specific code.
Resubmit corrected claim if necessary.
Appeal if correct code was used and supported by documentation.</t>
  </si>
  <si>
    <t>The claim was rejected because the required plan information for other insurance (secondary payer) was missing, incomplete, or invalid. When a patient has multiple insurance coverages, payers require complete Coordination of Benefits (COB).</t>
  </si>
  <si>
    <t>Secondary insurance listed but plan details missing → claim rejected.
Medicare secondary claim submitted without primary plan information → denial applied.
Incomplete policy number or payer ID for other insurance → rejection issued.
COB indicates other coverage but no plan details provided → claim unprocessable.
System failed to transmit secondary insurance information → claim denied.</t>
  </si>
  <si>
    <t>Incomplete capture of secondary insurance information during registration.
Missing or invalid policy number or payer ID.
Failure to verify COB details.
Staff unaware of required other insurance fields.
System or EDI mapping errors.
Patient did not provide complete insurance information.</t>
  </si>
  <si>
    <t>Verify patient’s other insurance details (plan name, policy number, payer ID).
Update claim with complete and accurate COB information.
Ensure correct payer sequence (primary vs secondary).
Resubmit corrected claim.
Include primary payer EOB if billing secondary.
Confirm claim acceptance through clearinghouse or payer portal.</t>
  </si>
  <si>
    <t>Service Not Covered on Submitted Date of Service</t>
  </si>
  <si>
    <t>The claim was denied because the service is not covered or payable by the payer on the specific date of service (DOS) submitted. Coverage for certain services may depend on policy effective dates, benefit periods, eligibility status, frequency limits, or regulatory guidelines.</t>
  </si>
  <si>
    <t>Service performed before insurance effective date → denied.
Service rendered after policy termination → not covered.
Preventive service billed outside allowed frequency period → denial applied.
Coverage policy changed and service no longer covered on that date → rejected.
Patient not eligible on date of service → claim denied.</t>
  </si>
  <si>
    <t>Service outside coverage effective dates.
Patient ineligible on date of service.
Policy or benefit limitations based on timing.
Frequency or timing restrictions not met.
Incorrect date of service submitted.
Failure to verify eligibility prior to service.</t>
  </si>
  <si>
    <t>Verify patient eligibility and coverage for the date of service.
Confirm service is covered under payer policy for that date.
Correct date of service if entered incorrectly.
Resubmit claim if error identified.
Bill patient if service is non-covered.
Appeal if denial is incorrect and coverage applies.</t>
  </si>
  <si>
    <t>Invalid Disaster-Related State or County Code</t>
  </si>
  <si>
    <t>The claim was rejected because the disaster-related state or county code was missing, incomplete, invalid, or not properly reported. During declared disaster situations (e.g., hurricanes, floods, public health emergencies), payers may require specific geographic identifiers to apply special coverage rules, waivers, or reimbursement adjustments.
On the UB-04 claim form, such information may be reported in Form Locator (FL) 39–41 — Value Codes or FL 80 — Remarks, depending on payer requirements.</t>
  </si>
  <si>
    <t>Disaster-related claim submitted without state/county code → rejected.
Invalid or non-recognized disaster location code → denial applied.
Service billed under disaster waiver but location not specified → rejection issued.
Mismatch between disaster declaration area and submitted code → claim denied.
System failed to transmit disaster-related data → claim unprocessable.</t>
  </si>
  <si>
    <t>Missing disaster-related geographic information.
Incorrect or invalid state/county code selection.
Lack of awareness of disaster billing requirements.
Failure to apply disaster-related modifiers or codes.
System or EDI mapping errors.
Incomplete documentation of service location during disaster.</t>
  </si>
  <si>
    <t>Verify if service qualifies under a declared disaster/emergency.
Identify correct state and county code per payer guidelines.
Update claim with accurate disaster-related information.
Ensure proper placement of codes in claim fields.
Resubmit corrected claim.
Appeal if denial occurred despite correct disaster designation.</t>
  </si>
  <si>
    <t>Invalid Date of Hospice Election</t>
  </si>
  <si>
    <t>The claim was rejected because the date of hospice election or revocation was missing, incomplete, invalid, or not properly reported. Hospice services require clear documentation of when a patient elects hospice care (beginning of hospice benefit) or revokes hospice care (termination of hospice benefit).
On the UB-04 claim form, hospice-related dates are reported using Form Locator (FL) 12 — Admission Date, FL 17 — Patient Discharge Status, and condition/value codes (e.g., hospice indicators) where applicable. Additional details may be included in FL 80 — Remarks.</t>
  </si>
  <si>
    <t>Hospice claim submitted without election date → claim rejected.
Revocation date missing when patient exits hospice → denial applied.
Invalid or future hospice election date entered → rejection issued.
Mismatch between hospice dates and billing period → claim denied.
System failed to capture hospice election/revocation date → claim unprocessable.</t>
  </si>
  <si>
    <t>Missing hospice election or revocation date.
Incorrect or invalid date entry.
Mismatch between clinical documentation and billing data.
Staff unaware of hospice billing requirements.
System or EDI mapping errors.
Incomplete documentation of hospice status changes.</t>
  </si>
  <si>
    <t>Verify hospice election or revocation date from medical records.
Ensure dates align with billing period and services rendered.
Update claim with accurate hospice dates.
Resubmit corrected claim.
Appeal if denial occurred despite correct documentation.</t>
  </si>
  <si>
    <t>Invalid Medigap Information</t>
  </si>
  <si>
    <t>Invalid Prior Payer Information</t>
  </si>
  <si>
    <t>Invalid Attending Provider Information</t>
  </si>
  <si>
    <t>Invalid Certification Revision Date</t>
  </si>
  <si>
    <t>The claim was rejected because the Medigap (Medicare supplemental insurance) information was missing.</t>
  </si>
  <si>
    <t>Medigap policy not included on claim → rejection issued.
Invalid or incorrect Medigap policy number → denial applied.
Medicare crossover fails due to missing supplemental info → claim not forwarded.
Patient has Medigap but not captured during registration → billing issue.
System failed to transmit Medigap details → claim unprocessable.</t>
  </si>
  <si>
    <t>Missing Medigap insurance information during registration.
Incorrect or outdated policy/member ID.
Failure to verify secondary coverage.
Staff unaware of Medigap requirements.
System or EDI mapping errors.
Incomplete COB documentation.</t>
  </si>
  <si>
    <t>Verify patient’s Medigap policy details (plan name, policy number, payer ID).
Update claim with complete and accurate supplemental information.
Ensure proper COB sequencing.
Resubmit corrected claim.
Submit claim directly to Medigap insurer if crossover is not applicable.
Confirm claim acceptance and follow up for payment.</t>
  </si>
  <si>
    <t>Invalid Date of Prior Placement</t>
  </si>
  <si>
    <t>The claim was rejected because the date of prior placement (e.g., previous facility admission, transfer, or level of care placement) was missing, incomplete, invalid, or not properly reported.
On the UB-04 claim form, prior placement or related dates are reflected through Form Locator (FL) 6 — Statement Covers Period, FL 12 — Admission Date</t>
  </si>
  <si>
    <t>Transfer from hospital to SNF without prior placement date → claim rejected.
Home health episode billed without prior facility discharge date → denial applied.
Invalid or missing prior placement date for continuity of care → rejection issued.
Mismatch between prior placement date and admission date → claim denied.
System failed to capture transfer/placement date → claim unprocessable.</t>
  </si>
  <si>
    <t>Missing prior placement date during claim entry.
Incorrect or invalid date format.
Failure to capture transfer or placement information.
Mismatch between clinical documentation and billing data.
Staff unaware of prior placement reporting requirements.
System or EDI mapping errors.</t>
  </si>
  <si>
    <t>Verify prior placement date from medical records.
Ensure date aligns with admission and service dates.
Update claim with accurate prior placement information.
Resubmit corrected claim.
Appeal if denial occurred despite correct documentation.</t>
  </si>
  <si>
    <t>Multiple Procedure Payment Reduction</t>
  </si>
  <si>
    <t>This alert indicates that the payment for the procedure has been adjusted based on Multiple Procedure Payment Reduction (MPPR) rules. When multiple procedures are performed on the same patient, same day, and often by the same provider.</t>
  </si>
  <si>
    <t>Multiple surgical procedures performed in one session → secondary procedures reduced.
Bilateral or multiple imaging services billed → MPPR applied.
Therapy services (PT/OT) billed together → reduction applied to subsequent services.
Multiple diagnostic tests performed same day → partial payment reduction.
Procedures billed without appropriate modifiers → automatic reduction applied.</t>
  </si>
  <si>
    <t>Standard payer MPPR policy application.
Multiple procedures billed on same date of service.
Lack of awareness of MPPR impact on reimbursement.
Missing or incorrect modifiers.
Services inherently subject to bundling/reduction rules.</t>
  </si>
  <si>
    <t>Review remittance advice to identify reduced lines.
Verify correct coding and modifier usage.
Ensure procedures are distinct and properly documented.
Appeal if reduction was applied incorrectly.
Accept adjustment if MPPR rules were correctly applied.</t>
  </si>
  <si>
    <t>Missing Requested Medical Records</t>
  </si>
  <si>
    <t>The claim was denied because the payer requested medical records to support the claim (e.g., for medical necessity or audit review), but the records were not received within the required timeframe.</t>
  </si>
  <si>
    <t>Payer requests records for high-cost procedure → no response submitted → claim denied.
ADR letter issued but missed by provider → denial applied.
Documentation sent after deadline → claim already denied.
Incorrect fax/portal submission → payer did not receive records.
Incomplete records submitted → treated as not received → denial issued.</t>
  </si>
  <si>
    <t>Failure to respond to ADR request.
Missed submission deadline.
Incorrect submission method (fax/portal error).
Lack of tracking for documentation requests.
Incomplete or missing documentation.
Workflow gaps between clinical and billing teams.</t>
  </si>
  <si>
    <t>Check if medical records were requested (ADR/audit notice).
Gather complete and accurate documentation.
Submit records through correct payer channel (portal/fax).
File appeal with supporting medical records.
Track submission and confirm receipt with payer.</t>
  </si>
  <si>
    <t>N103 | N104—This claim/service is not payable under this payer/contractor. Submit the claim to the correct payer</t>
  </si>
  <si>
    <t>Claim Submitted to Incorrect Payer</t>
  </si>
  <si>
    <t>The claim or service was denied because it was submitted to a payer that is not responsible for payment.</t>
  </si>
  <si>
    <t>Claim submitted to commercial payer but patient has Medicare Advantage → denied.
Workers’ compensation case billed to regular health insurance → rejected.
Secondary payer billed without primary payer adjudication → denial issued.
Patient has updated insurance but old payer billed → claim denied.
COB indicates another payer is primary → incorrect submission.</t>
  </si>
  <si>
    <t>Incorrect payer selection during claim submission.
Failure to verify current insurance coverage.
Outdated patient insurance information.
Incorrect coordination of benefits (COB).
Lack of awareness of special payer types (WC, liability, MA plans).
System or registration errors.</t>
  </si>
  <si>
    <t>Verify patient’s current insurance coverage and payer responsibility.
Identify correct primary/secondary payer.
Update claim with accurate payer information.
Submit claim to the correct payer.
Include primary payer EOB if billing secondary.
Follow up to ensure proper claim processing.</t>
  </si>
  <si>
    <t>Patient Does Not Meet Eligibility Requirements</t>
  </si>
  <si>
    <t>The claim was denied because the patient did not meet the payer’s eligibility requirements for the service on the date of service.</t>
  </si>
  <si>
    <t>Patient coverage inactive on date of service → claim denied.
Patient not enrolled in specific benefit program → rejection issued.
Age restriction not met for service → denial applied.
Service requires special eligibility (e.g., hospice, SNF) not met → claim denied.
Plan requires prior enrollment or qualification → patient not eligible.</t>
  </si>
  <si>
    <t>Failure to verify patient eligibility before service.
Inactive or terminated insurance coverage.
Incorrect or outdated insurance information.
Patient does not meet plan-specific criteria.
Misinterpretation of benefit requirements.
System or registration errors.</t>
  </si>
  <si>
    <t>Verify patient eligibility for date of service via payer portal.
Confirm coverage status and benefit requirements.
Update insurance information if incorrect.
Resubmit claim if eligibility issue was due to error.
Bill patient if no active coverage exists.
Appeal if patient meets eligibility but denial was incorrect.</t>
  </si>
  <si>
    <t>Services Not Covered Under Patient’s Plan/Policy</t>
  </si>
  <si>
    <t>The claim was denied because the services billed are not covered under the patient’s insurance plan or policy. This means the service falls outside the plan’s defined benefits, exclusions, or coverage guidelines. Non-covered services may include experimental procedures, cosmetic services, excluded treatments, or services not listed in the patient’s benefit plan.</t>
  </si>
  <si>
    <t>Cosmetic procedure billed under medical plan → denied as non-covered.
Experimental or investigational treatment → not covered by policy.
Service excluded under plan benefits → claim denied.
Screening service not included in plan coverage → rejection issued.
Alternative therapy not recognized by payer → denied.</t>
  </si>
  <si>
    <t>Service not included in patient’s benefit plan.
Payer-specific exclusions or limitations.
Lack of coverage verification prior to service.
Misinterpretation of plan benefits.
Use of non-covered or experimental procedures.
Staff unaware of payer coverage rules.</t>
  </si>
  <si>
    <t>Verify patient’s benefit coverage for the service.
Confirm if service is excluded under plan policy.
Bill patient if service is non-covered (if allowed).
Use ABN or prior notice where applicable.
Appeal if service should be covered under policy.</t>
  </si>
  <si>
    <t>Invalid EPO Certification Conditions</t>
  </si>
  <si>
    <t>The claim was rejected because the required Exclusive Provider Organization (EPO) certification conditions were missing, incomplete, invalid, or not properly met. EPO plans require that services be provided within a defined network and under specific certification or authorization conditions.
On the CMS-1500 claim form, authorization or certification details are reported in Box 23 — Prior Authorization Number, and referring provider information in Box 17/17b must align with EPO requirements. On the UB-04 claim form, certification details are reported in Form Locator (FL) 63 — Treatment Authorization Codes.</t>
  </si>
  <si>
    <t>EPO plan requires referral but none documented → claim denied.
Authorization required under EPO but missing → rejection issued.
Service provided out-of-network without approval → denial applied.
Certification number invalid or does not match service → claim rejected.
System failed to capture EPO authorization details → claim unprocessable.</t>
  </si>
  <si>
    <t>Missing required EPO certification or authorization.
Failure to follow network restrictions of EPO plan.
Invalid or incorrect authorization number.
Staff unaware of EPO-specific requirements.
Lack of eligibility and plan verification.
System or EDI mapping errors.</t>
  </si>
  <si>
    <t>Verify patient’s EPO plan requirements and network rules.
Confirm if authorization or referral was obtained.
Update claim with valid certification/authorization details.
Resubmit corrected claim.
Request retro authorization if allowed.
Appeal if denial occurred despite meeting EPO conditions.</t>
  </si>
  <si>
    <t>The claim was rejected because the prior payer information (such as primary insurance details, payment amount, or Explanation of Benefits (EOB)) was missing.</t>
  </si>
  <si>
    <t>Secondary claim submitted without primary payer EOB → claim rejected.
Prior payment amount missing or incorrect → denial applied.
Invalid or mismatched primary payer information → rejection issued.
COB indicates primary coverage but no details submitted → claim unprocessable.
System failed to transmit prior payer data → claim denied.</t>
  </si>
  <si>
    <t>Missing primary payer information during claim submission.
Incorrect or incomplete prior payment details.
Failure to attach or include EOB for secondary claims.
Incorrect COB sequencing.
Staff unaware of prior payer reporting requirements.
System or EDI mapping errors.</t>
  </si>
  <si>
    <t>Verify primary payer details and payment information.
Obtain and review primary payer EOB.
Update claim with accurate prior payer data.
Ensure correct COB sequencing (primary → secondary).
Resubmit corrected claim.
Confirm claim acceptance through clearinghouse or payer portal.</t>
  </si>
  <si>
    <t>N109 | N110 —Missing/incomplete/invalid prior payer information</t>
  </si>
  <si>
    <t>Invalid Coordination of Benefits (COB) Information</t>
  </si>
  <si>
    <t>The claim was rejected because the Coordination of Benefits (COB) information was missing, incomplete, invalid, or not properly reported. COB is required when a patient has multiple insurance coverages to determine the order of payment responsibility (primary, secondary, tertiary).</t>
  </si>
  <si>
    <t>Secondary claim submitted without primary payer details → claim rejected.
Multiple insurances listed but sequence not defined → denial applied.
Prior payment amount missing or incorrect → rejection issued.
COB fields left blank or inconsistent → claim unprocessable.
System failed to transmit COB information → claim denied.</t>
  </si>
  <si>
    <t>Incomplete capture of multiple insurance details.
Missing or incorrect payer sequencing.
Failure to include prior payer payment information.
Staff unaware of COB requirements.
System or EDI mapping errors.
Inadequate eligibility verification.</t>
  </si>
  <si>
    <t>Verify all patient insurance coverages and payer order.
Obtain primary payer EOB and payment details.
Update claim with complete and accurate COB information.
Ensure correct sequencing (primary → secondary → tertiary).
Resubmit corrected claim.
Confirm claim acceptance through clearinghouse or payer portal.</t>
  </si>
  <si>
    <t>Claim Filed Beyond Timely Filing Limit</t>
  </si>
  <si>
    <t>CO 29</t>
  </si>
  <si>
    <t>The claim was denied because it was not submitted within the payer’s specified timely filing limit. Payers enforce strict deadlines (e.g., 90 days, 180 days, 1 year) from the date of service or discharge date.</t>
  </si>
  <si>
    <t>Claim submitted after 180-day filing limit → denied.
Delayed billing due to missing documentation → timely filing exceeded.
Claim resubmitted without proper proof of timely filing → denial applied.
Incorrect initial submission not corrected within timeframe → rejected.
Secondary claim filed late after primary payment delay → denied.</t>
  </si>
  <si>
    <t>Failure to submit claim within payer timeframe.
Delays in coding, documentation, or billing processes.
Lack of tracking for claim submission deadlines.
Missed follow-up on rejected or returned claims.
Incorrect assumption of extended filing limits.
Workflow inefficiencies in revenue cycle process.</t>
  </si>
  <si>
    <t>Verify payer’s timely filing limit and claim submission date.
Check for proof of timely filing (clearinghouse reports, submission logs).
Submit appeal with evidence if claim was filed within timeframe.
If filing truly late → write off or bill patient per policy (if allowed).
Improve internal tracking and resubmission processes.</t>
  </si>
  <si>
    <t>The claim was rejected because the attending provider information (such as name, NPI, or other required identifiers) was missing, incomplete, invalid, or not properly reported.
On the UB-04 claim form, the attending provider is reported in Form Locator (FL) 76 — Attending Provider Name and Identifiers (including NPI), which must be complete and valid. On the CMS-1500 claim form, related provider roles are reported in Box 24J — Rendering Provider NPI and Box 17 — Referring/Ordering Provider, depending on the service context.</t>
  </si>
  <si>
    <t>Attending provider field left blank in FL 76 → claim rejected.
Invalid or inactive attending provider NPI → denial applied.
Incorrect provider listed as attending → rejection issued.
Mismatch between attending provider and medical records → claim denied.
System failed to populate attending provider field → claim unprocessable.</t>
  </si>
  <si>
    <t>Missing attending provider information during claim entry.
Incorrect or outdated provider identifiers.
Provider not enrolled or inactive with payer.
Staff unaware of attending provider requirements.
System or EDI mapping errors.
Mismatch between clinical documentation and billing data.</t>
  </si>
  <si>
    <t>Verify attending provider details from medical records.
Ensure correct and valid NPI is entered in FL 76.
Confirm provider enrollment and active status with payer.
Update claim with accurate attending provider information.
Resubmit corrected claim.
Appeal if denial occurred despite valid information.</t>
  </si>
  <si>
    <t>Invalid Reason for Absence from Treatment</t>
  </si>
  <si>
    <t>The claim was rejected because the reason for the patient’s absence from treatment was missing, incomplete, invalid, or not properly documented. Certain services—particularly in therapy, rehabilitation, SNF, or institutional care settings—require documentation explaining interruptions in treatment (e.g., missed visits, temporary leave, or gaps in care).
On the UB-04 claim form, absence-related information may be reflected through Form Locator (FL) 80 — Remarks, FL 6 — Statement Covers Period.</t>
  </si>
  <si>
    <t>Therapy sessions missed without documented reason → claim rejected.
SNF resident temporarily absent but no explanation provided → denial applied.
Home health visit gap without justification → rejection issued.
Patient leave of absence not documented properly → claim denied.
System failed to capture absence reason → claim unprocessable.</t>
  </si>
  <si>
    <t>Verify reason for absence from clinical documentation.
Ensure reason is valid and meets payer requirements.
Update claim with appropriate remarks or supporting details.
Align absence dates with treatment and billing period.
Resubmit corrected claim.
Appeal if denial occurred despite proper documentation.</t>
  </si>
  <si>
    <t>Conditional Payment Due to Emergency Services</t>
  </si>
  <si>
    <t>CO 201</t>
  </si>
  <si>
    <t>This alert indicates that the payment is being made conditionally because the service was provided in an emergency setting.
On the CMS-1500 claim form, emergency services are indicated in Box 24C — Emergency Indicator, On the UB-04 claim form, emergency services are identified using Form Locator (FL) 14 — Type of Admission (Emergency) and FL 15 — Source of Admission</t>
  </si>
  <si>
    <t>Emergency room visit paid conditionally pending liability insurance determination.
Auto accident-related services paid temporarily while fault is under review.
Workers’ compensation case not yet established → payer issues conditional payment.
Emergency care provided without confirmed primary payer → provisional payment made.
Payer awaiting COB clarification but issues interim payment → subject to adjustment.</t>
  </si>
  <si>
    <t>Emergency services require immediate care regardless of coverage confirmation.
Unclear primary payer responsibility at time of service.
Pending liability, workers’ compensation, or third-party insurance review.
Incomplete COB or accident-related information.
Regulatory requirement to pay emergency services conditionally.</t>
  </si>
  <si>
    <t>Verify if another payer (liability, WC, auto insurance) is responsible.
Monitor claim for future adjustments or recoupments.
Provide additional information to payer if requested.
Coordinate benefits once primary payer is identified.
Refund or reconcile if overpayment is later identified.</t>
  </si>
  <si>
    <t>The claim was rejected because the certification revision date was missing, incomplete, invalid, or not properly reported. Certain services (such as home health, hospice, SNF, or therapy services) require periodic physician certification updates or recertifications to confirm continued medical necessity.
On the UB-04 claim form, certification-related information is supported through Form Locator (FL) 76 — Attending Provider, FL 67 — Diagnosis Codes,</t>
  </si>
  <si>
    <t>Home health recertification date missing → claim rejected.
Therapy plan of care updated but revision date not documented → denial applied.
Hospice recertification not properly recorded → rejection issued.
Invalid or outdated certification revision date submitted → claim denied.
System failed to capture updated certification date → claim unprocessable.</t>
  </si>
  <si>
    <t>Missing certification revision documentation.
Failure to update recertification dates timely.
Incorrect or invalid date entry.
Staff unaware of certification update requirements.
Mismatch between clinical documentation and billing data.
System or EDI mapping errors.</t>
  </si>
  <si>
    <t>Verify certification revision date from medical records.
Ensure recertification meets payer-required timelines.
Update claim with accurate revision date if applicable.
Maintain proper supporting documentation.
Resubmit corrected claim.
Appeal if denial occurred despite valid certification.</t>
  </si>
  <si>
    <t>Invalid Patient Name/Identifier</t>
  </si>
  <si>
    <t>N119—Missing/incomplete/invalid certification revision date.</t>
  </si>
  <si>
    <t>N125—Missing/incomplete/invalid name/identifier of the patient.</t>
  </si>
  <si>
    <t>The claim was rejected because the patient’s name and/or identifier (e.g., member ID, Medicare Beneficiary Identifier (MBI), or policy number) was missing.
On the CMS-1500 claim form, patient and insured details are reported in Box 2 — Patient’s Name and Box 1a — Insured’s ID Number.
On the UB-04 claim form, patient identification is reported in Form Locator (FL) 8 — Patient Name and FL 60 — Insured’s Unique ID.</t>
  </si>
  <si>
    <t>Patient name misspelled → claim rejected.
Member ID incorrect or missing → denial applied.
Mismatch between patient name and insurance records → rejection issued.
Nickname used instead of legal name → claim denied.
System truncates patient name or ID → claim unprocessable.</t>
  </si>
  <si>
    <t>Data entry errors during registration.
Incorrect or outdated patient information.
Failure to verify identity against insurance card.
Mismatch between patient and insured details.
System or EDI mapping errors.
Incomplete demographic capture.</t>
  </si>
  <si>
    <t>Verify patient name and identifier from insurance card or eligibility portal.
Correct demographic and ID information in the billing system.
Ensure consistency between patient name and insured ID.
Update and resubmit corrected claim.
Confirm claim acceptance through clearinghouse or payer portal.</t>
  </si>
  <si>
    <t>Invalid Period of Care Dates</t>
  </si>
  <si>
    <t>Start date of care missing → claim rejected.
End date of treatment not provided → denial applied.
Invalid or illogical date range (end date before start date) → rejection issued.
Mismatch between care period and billed services → claim denied.
System failed to populate care period dates → claim unprocessable.</t>
  </si>
  <si>
    <t>The claim was rejected because the period of care dates (start and/or end dates of treatment or service) were missing, incomplete, invalid, or not properly reported. Period of care dates are critical for determining coverage eligibility, benefit periods, continuity of care, and reimbursement—especially for services such as home health, hospice, therapy, or long-term care.
On the CMS-1500 claim form, care period details may be reflected in Box 24A — Dates of Service and Box 19 — Additional Claim Information when applicable. On the UB-04 claim form, the billing period is reported in Form Locator (FL) 6 — Statement Covers Period (From/Through Dates), which must align with all services billed.</t>
  </si>
  <si>
    <t>Missing care period dates during claim entry.
Incorrect or invalid date formatting.
Mismatch between clinical documentation and billing data.
Staff unaware of period of care requirements.
System or EDI mapping errors.
Incomplete documentation of treatment timeline.</t>
  </si>
  <si>
    <t>Verify period of care dates from medical records.
Ensure logical and accurate start and end dates.
Align care period with services billed.
Update claim with correct dates.
Resubmit corrected claim.
Appeal if denial occurred despite accurate information.</t>
  </si>
  <si>
    <t>Service/Claim Not Covered by Plan/Payer</t>
  </si>
  <si>
    <t>The claim or service was denied because it is not covered under the patient’s insurance plan or by the specific payer.</t>
  </si>
  <si>
    <t>Service explicitly excluded under plan benefits → denied.
Experimental or investigational treatment → not covered.
Cosmetic procedure billed under medical plan → denial applied.
Non-covered screening service → rejection issued.
Service not included in payer contract → claim denied.</t>
  </si>
  <si>
    <t>Service not included in plan benefits.
Payer-specific exclusions or limitations.
Lack of benefit verification prior to service.
Use of non-covered or investigational procedures.
Misinterpretation of coverage guidelines.
Contractual limitations between provider and payer.</t>
  </si>
  <si>
    <t>Verify patient’s plan benefits and coverage details.
Confirm service is excluded under payer policy.
Bill patient if allowed under plan terms.
Use ABN or waiver if applicable.
Appeal if service should be covered under policy.</t>
  </si>
  <si>
    <t>Newborn Services Included Under Mother’s Coverage/Allowance</t>
  </si>
  <si>
    <t>This alert indicates that the newborn’s services are included under the mother’s benefit allowance, and therefore separate reimbursement for the newborn may not be applicable. In many payer policies, routine newborn care (e.g., normal delivery, initial assessments) is bundled into the mother’s global maternity payment.</t>
  </si>
  <si>
    <t>Routine newborn care billed separately → included in mother’s delivery payment → not paid.
Normal delivery with healthy newborn → services bundled under maternal claim.
Newborn not separately enrolled in insurance → services processed under mother.
Duplicate billing for newborn care already included in global maternity package → denied.
Provider bills both mother and newborn for same routine services → adjustment applied.</t>
  </si>
  <si>
    <t>Bundling rules for maternity and newborn services.
Routine newborn care included in global delivery package.
Newborn not separately enrolled in insurance plan.
Incorrect billing of bundled services.
Lack of awareness of payer maternity policies.</t>
  </si>
  <si>
    <t>Review payer policy for newborn and maternity bundling.
Verify whether services qualify for separate newborn billing.
Ensure newborn is enrolled in insurance if separate billing is required.
Adjust billing to reflect bundled services where applicable.
Appeal if services are distinct and meet criteria for separate reimbursement.</t>
  </si>
  <si>
    <t>CO 24</t>
  </si>
  <si>
    <t>Payment Adjustment Based on Diagnosis-Related Group (DRG)</t>
  </si>
  <si>
    <t>This alert indicates that the payment has been adjusted based on the Diagnosis-Related Group (DRG) methodology.</t>
  </si>
  <si>
    <t>Standard DRG-based reimbursement methodology.
Differences between billed charges and DRG allowable amount.
DRG assignment based on coding and documentation.
Changes in diagnosis/procedure affecting DRG grouping.
Payer-specific DRG weights and rates.</t>
  </si>
  <si>
    <t>Review assigned DRG and supporting coding.
Verify principal and secondary diagnoses and procedures.
Ensure documentation supports DRG assignment.
Appeal if DRG assignment is incorrect.
Accept adjustment if DRG grouping is accurate.</t>
  </si>
  <si>
    <t>Inpatient stay grouped into DRG → payment adjusted to DRG rate.
Complications/comorbidities change DRG → payment increased or decreased.
Shorter or longer length of stay does not change DRG payment → fixed reimbursement applied.
Coding changes result in different DRG assignment → payment adjusted.
Hospital charges exceed DRG allowable → excess adjusted off.</t>
  </si>
  <si>
    <t>Secondary (Supplemental) Payer Requires Medicare Adjudication First</t>
  </si>
  <si>
    <t>This alert indicates that the patient’s insurance policy is supplemental to Medicare, meaning Medicare must be billed and process the claim as the primary payer first.</t>
  </si>
  <si>
    <t>Claim submitted directly to supplemental insurer without billing Medicare → rejected.
Medicare beneficiary with Medigap plan → secondary requires Medicare EOB first.
Secondary payer receives claim without primary adjudication → denial issued.
COB indicates Medicare primary but bypassed → claim unprocessable.
Provider unaware of Medicare primary requirement → incorrect submission.</t>
  </si>
  <si>
    <t>Failure to follow Coordination of Benefits (COB) rules.
Medicare not billed as primary payer.
Missing Medicare EOB when billing secondary.
Incorrect payer sequencing in claim submission.
Lack of eligibility verification for Medicare status.
Staff unaware of supplemental payer requirements.</t>
  </si>
  <si>
    <t>Benefit Maximum Reached</t>
  </si>
  <si>
    <t>This alert indicates that the total allowable payments under the current benefit plan have reached the maximum limit.</t>
  </si>
  <si>
    <t>Physical therapy visits exceed annual limit → further claims denied.
Chiropractic care maximum reached → no additional payment under plan.
Mental health session cap exceeded → claim denied for remaining visits.
Patient transitions from primary plan to secondary tier → billing shift required.
Benefit exhausted mid-treatment → remaining services not covered under current plan.</t>
  </si>
  <si>
    <t>Benefit maximum limit reached under plan.
High utilization of limited services (e.g., therapy visits).
Lack of tracking of benefit usage.
No awareness of plan-specific limits.
Failure to verify remaining benefits before service</t>
  </si>
  <si>
    <t>Verify benefit usage and maximum limits with payer.
Identify if secondary or next-tier coverage is available.
Submit subsequent claims to appropriate payer/plan tier.
Inform patient of benefit exhaustion and financial responsibility.
Appeal only if benefit maximum was applied incorrectly.</t>
  </si>
  <si>
    <t>Benefit Payments Ending Due to Expiration of Payment Cycle</t>
  </si>
  <si>
    <t>This alert indicates that payments for this benefit will stop once the current payment cycle or benefit period expires.</t>
  </si>
  <si>
    <t>Therapy services covered until end of annual benefit cycle → future visits denied after expiration.
Home health episode nearing end date → payments cease after cycle completion.
Contractual benefit period ending → no further reimbursement beyond cycle.
Patient continues treatment beyond covered timeframe → claims denied.
Payer notifies provider of upcoming benefit termination → alert issued.</t>
  </si>
  <si>
    <t>Benefit tied to a defined payment cycle or timeframe.
Approaching end of coverage period (annual, episode-based, or contractual).
Lack of awareness of benefit expiration timelines.
Failure to track benefit periods.
Continued services beyond covered timeframe.</t>
  </si>
  <si>
    <t>Verify benefit period and expiration date with payer.
Ensure services are billed within active coverage period.
Identify alternative coverage or next benefit tier if available.
Inform patient of upcoming benefit expiration.
Adjust treatment or billing plan accordingly.
Appeal only if payment cycle was applied incorrectly.</t>
  </si>
  <si>
    <t>Services Subject to Pre-Payment Review</t>
  </si>
  <si>
    <t>This alert indicates that services billed for this member may be subject to pre-payment review by the payer.</t>
  </si>
  <si>
    <t>High-cost procedure flagged for pre-payment review → payment delayed.
Provider identified for audit due to billing patterns → claims reviewed before payment.
New provider or service type triggers payer review → documentation requested.
Unusual coding or high utilization services → claim flagged for review.
Payer initiates targeted or random pre-payment audit → claim held.</t>
  </si>
  <si>
    <t>Payer audit or fraud prevention measures.
High-risk services or high-cost procedures.
Provider billing patterns triggering review.
New provider enrollment or limited history.
Inconsistent or unusual coding trends.
Random payer selection for review.</t>
  </si>
  <si>
    <t>Monitor claim status for review updates.
Respond promptly to any documentation requests (ADR).
Submit complete and accurate medical records when requested.
Track claim processing timelines.
Follow up with payer if delays exceed normal review timeframe.</t>
  </si>
  <si>
    <t>Service Limited to One Per Day</t>
  </si>
  <si>
    <t>This alert indicates that payment for the billed service is limited to one occurrence per day per patient, and additional units or duplicate services on the same date of service are not separately payable.</t>
  </si>
  <si>
    <t>Same procedure billed twice on same date → second service denied.
Duplicate charges entered for same service → adjustment applied.
Multiple visits billed same day without modifier → denial issued.
Lab test billed multiple times when only one allowed → rejected.
System duplication of service lines → claim partially denied.</t>
  </si>
  <si>
    <t>Duplicate billing for same service on same day.
Failure to follow payer frequency limitations.
Missing appropriate modifiers (e.g., -59, -76) when applicable.
Data entry or system duplication errors.
Lack of awareness of daily service limits.</t>
  </si>
  <si>
    <t>Review claim for duplicate or multiple service entries.
Verify if services are truly distinct and separately billable.
Apply appropriate modifiers if services are justified.
Correct units or remove duplicate lines if applicable.
Resubmit corrected claim.
Appeal if multiple services are valid and properly documented.</t>
  </si>
  <si>
    <t>Invalid Emergency Service Indicator</t>
  </si>
  <si>
    <t>The claim was rejected because the emergency indicator for the service was missing, incomplete, invalid, or not properly reported.
On the CMS-1500 claim form, emergency services are indicated in Box 24C — Emergency Indicator.
On the UB-04 claim form, emergency status is reported using Form Locator (FL) 14 — Type of Admission (Emergency) and FL 15 — Source of Admission, which must align with the nature of the service.</t>
  </si>
  <si>
    <t>Emergency service provided but indicator not marked → claim rejected.
Incorrect emergency flag (non-emergency marked as emergency or vice versa) → denial applied.
Emergency room visit billed without proper admission type → rejection issued.
System failed to populate emergency indicator field → claim unprocessable.
Mismatch between documentation and emergency indicator → claim denied.</t>
  </si>
  <si>
    <t>Missing emergency indicator during claim entry.
Incorrect selection of emergency status.
Staff unaware of emergency reporting requirements.
Mismatch between clinical documentation and billing data.
System or EDI mapping errors.</t>
  </si>
  <si>
    <t>Invalid Prior Payer Claim Number in COB</t>
  </si>
  <si>
    <t>The claim was rejected because the prior payer’s claim control number (claim number) referenced for Coordination of Benefits (COB) was missing, incomplete, invalid, or not properly reported. When billing a secondary payer, the claim must include the primary payer’s claim number to allow proper cross-referencing of the adjudicated claim.</t>
  </si>
  <si>
    <t>Invalid Provider Network Information</t>
  </si>
  <si>
    <t>Invalid Diagnosis Date</t>
  </si>
  <si>
    <t>Invalid Secondary Diagnosis</t>
  </si>
  <si>
    <t>Invalid Billing Date</t>
  </si>
  <si>
    <t>Invalid Patient Account Number</t>
  </si>
  <si>
    <t>Invalid Medicare Patient Identifier</t>
  </si>
  <si>
    <t>CO 252</t>
  </si>
  <si>
    <t>The claim was rejected because the provider’s network participation information (e.g., in-network/out-of-network status, network identifier, or contracted network details) was missing, incomplete, invalid, or not properly reported. Payers require accurate network information to determine coverage eligibility,</t>
  </si>
  <si>
    <t>Provider not linked to payer network → claim rejected.
Missing network ID or participation indicator → denial applied.
Out-of-network provider billed as in-network → rejection issued.
Provider enrollment incomplete or inactive → claim denied.
System failed to transmit network affiliation data → claim unprocessable.</t>
  </si>
  <si>
    <t>Secondary claim submitted without primary payer claim number → rejected.
Invalid or incorrect claim reference number entered → denial applied.
COB indicates prior payer but claim number missing → rejection issued.
Mismatch between primary EOB and submitted claim number → claim denied.
System failed to transmit prior payer DCN → claim unprocessable.</t>
  </si>
  <si>
    <t>Missing primary payer claim number during submission.
Incorrect or mismatched DCN/reference number.
Failure to capture EOB details from primary payer.
Staff unaware of COB claim reference requirements.
System or EDI mapping errors.
Incomplete secondary billing workflow.</t>
  </si>
  <si>
    <t>Missing or incorrect provider network enrollment.
Mismatch between provider NPI and payer network records.
Failure to verify network participation status.
Staff unaware of network-specific billing requirements.
System or EDI mapping errors.
Credentialing and billing misalignment.</t>
  </si>
  <si>
    <t>Verify provider network participation with payer.
Confirm enrollment status and network affiliation.
Update claim with correct provider information.
Complete or update provider credentialing if needed.
Resubmit corrected claim.
Appeal if denial occurred despite valid network participation.</t>
  </si>
  <si>
    <t>The claim was rejected because the diagnosis date (the date when the condition was first identified or documented) was missing, incomplete, invalid, or not properly reported.
On the CMS-1500 claim form, diagnosis-related dates are reported in Box 14 — Date of Current Illness, Injury, or Pregnancy, which must align with Box 21 — Diagnosis Codes. On the UB-04 claim form, relevant dates are reflected through Form Locator (FL) 12 — Admission Date, FL 6 — Statement Covers Period.</t>
  </si>
  <si>
    <t>Diagnosis date field left blank → claim rejected.
Invalid or future diagnosis date entered → denial applied.
Mismatch between diagnosis date and service dates → rejection issued.
Accident-related claim missing injury date → claim denied.
System failed to populate diagnosis date → claim unprocessable.</t>
  </si>
  <si>
    <t>Missing diagnosis date during claim entry.
Incorrect or invalid date format.
Failure to capture onset/diagnosis date during registration.
Mismatch between clinical documentation and billing data.
Staff unaware of diagnosis date requirements.
System or EDI mapping errors.</t>
  </si>
  <si>
    <t>Verify diagnosis date from medical records.
Ensure date aligns with condition onset and services billed.
Update claim with accurate diagnosis date in appropriate field.
Resubmit corrected claim.
Appeal if denial occurred despite correct information.</t>
  </si>
  <si>
    <t>The claim was rejected because the secondary diagnosis code(s) were missing, incomplete, invalid, or not properly reported. Secondary diagnoses are critical for providing additional clinical context, supporting medical necessity, and influencing risk adjustment, DRG assignment, and reimbursement.
On the CMS-1500 claim form, secondary diagnoses are reported in Box 21 — Diagnosis or Nature of Illness/Injury (positions B–L) and must support procedures listed in Box 24D — CPT/HCPCS Codes. On the UB-04 claim form, secondary diagnoses are reported in Form Locator (FL) 72–75 — Secondary Diagnosis Codes, which must align with FL 67 — Principal Diagnosis and billed services.</t>
  </si>
  <si>
    <t>Secondary diagnosis field left blank when required → claim rejected.
Invalid or non-billable ICD code used as secondary diagnosis → denial applied.
Missing comorbidity affecting DRG assignment → rejection issued.
Diagnosis does not support procedure billed → claim denied.
System truncates or omits secondary diagnosis codes → claim unprocessable.</t>
  </si>
  <si>
    <t>Missing secondary diagnosis during coding.
Use of invalid or outdated ICD codes.
Incomplete clinical documentation.
Mismatch between documentation and coding.
Staff unaware of importance of secondary diagnoses.
System or EDI transmission errors.</t>
  </si>
  <si>
    <t>Review medical records for all applicable diagnoses.
Assign valid and appropriate secondary diagnosis codes.
Ensure codes support medical necessity and services billed.
Update claim with correct diagnosis information.
Resubmit corrected claim.
Appeal if denial occurred despite accurate coding.</t>
  </si>
  <si>
    <t>The claim was rejected because the billing date (the date the claim was created or submitted) was missing, incomplete, invalid, or not properly reported. The billing date is important for claim tracking, timely filing validation, and payer processing workflows.</t>
  </si>
  <si>
    <t>Billing date field left blank in electronic submission → claim rejected.
Invalid or future billing date entered → denial applied.
Mismatch between billing date and submission timestamp → rejection issued.
Claim submitted without proper signature date → claim denied.
System failed to populate billing date → claim unprocessable.</t>
  </si>
  <si>
    <t>Missing billing date during claim generation.
Incorrect or invalid date format.
System or EDI mapping errors.
Mismatch between claim creation and submission data.
Staff unaware of billing date requirements.
Incomplete claim validation before submission.</t>
  </si>
  <si>
    <t>Verify correct billing/submission date.
Ensure date aligns with claim creation and submission timeline.
Update claim with accurate billing date.
Resubmit corrected claim.
Confirm acceptance through clearinghouse or payer portal.</t>
  </si>
  <si>
    <t>Invalid Claim/Service Identification Number</t>
  </si>
  <si>
    <t>Invalid Provider/Facility Primary Identifier</t>
  </si>
  <si>
    <t>Invalid Provider/Facility Address</t>
  </si>
  <si>
    <t>The claim was rejected because the claim or service identification number (e.g., claim control number, line item control number, or unique service reference ID) was missing, incomplete, invalid, or not properly reported.</t>
  </si>
  <si>
    <t>Corrected claim submitted without original claim number → rejected.
Invalid or incorrect claim reference number → denial applied.
COB claim missing prior claim identifier → rejection issued.
Adjustment request without DCN → claim unprocessable.
System failed to transmit claim control number → claim denied.</t>
  </si>
  <si>
    <t>Missing claim/service identification number.
Incorrect or mismatched reference number.
Failure to capture original claim number during posting.
Staff unaware of resubmission/adjustment requirements.
System or EDI mapping errors.
Incomplete claim lifecycle tracking.</t>
  </si>
  <si>
    <t>Retrieve original claim number/DCN from payer or ERA/EOB.
Verify accuracy of claim/service identifier.
Update claim with correct identification number.
Ensure proper placement in claim fields or EDI segments.
Resubmit corrected claim.
Confirm acceptance through clearinghouse or payer portal.</t>
  </si>
  <si>
    <t>Invalid Place of Residence Information</t>
  </si>
  <si>
    <t>The claim was rejected because the patient’s place of residence at the time the service was rendered was missing, incomplete, invalid, or not properly reported. This information is critical for determining coverage eligibility, payer responsibility, service setting validation, and reimbursement rules—especially for services such as home health, hospice, SNF, or facility-based care.</t>
  </si>
  <si>
    <t>Place of residence not indicated for home health services → claim rejected.
Incorrect POS code used (e.g., home vs facility) → denial applied.
Mismatch between documented residence and billed service location → rejection issued.
SNF resident billed as home-based service → claim denied.
System failed to capture residence/POS data → claim unprocessable.</t>
  </si>
  <si>
    <t>Missing place of residence or POS information.
Incorrect POS code selection.
Mismatch between clinical documentation and billing data.
Staff unaware of residence reporting requirements.
System or EDI mapping errors.
Incomplete patient intake or registration data.</t>
  </si>
  <si>
    <t>Verify patient’s place of residence at time of service.
Confirm correct POS code and related details.
Update claim with accurate residence information.
Ensure consistency between documentation and billing fields.
Resubmit corrected claim.
Appeal if denial occurred despite correct information.</t>
  </si>
  <si>
    <t>Invalid Subscriber’s Date of Birth</t>
  </si>
  <si>
    <t>The claim was rejected because the subscriber’s date of birth (DOB) was missing, incomplete, invalid, or did not match the payer’s records.
On the CMS-1500 claim form, the subscriber’s DOB is reported in Box 11a — Insured’s Date of Birth and Sex, which must align with Box 1a — Insured’s ID Number. On the UB-04 claim form, subscriber information is reported in Form Locator (FL) 58 — Insured’s Name and FL 60 — Insured’s Unique ID,</t>
  </si>
  <si>
    <t>Subscriber DOB field left blank → claim rejected.
Incorrect DOB entered (data entry error) → denial applied.
Mismatch between DOB and payer eligibility records → rejection issued.
Dependent’s DOB entered instead of subscriber’s → claim denied.
System failed to transmit DOB in EDI → claim unprocessable.</t>
  </si>
  <si>
    <t>Missing subscriber DOB during registration.
Incorrect data entry or outdated information.
Mismatch between patient and subscriber details.
Failure to verify insurance eligibility.
System or EDI mapping errors.
Incomplete demographic capture.</t>
  </si>
  <si>
    <t>Verify subscriber DOB from insurance card or eligibility portal.
Update correct DOB in billing system.
Ensure alignment with insured ID and name.
Resubmit corrected claim.
Confirm claim acceptance through clearinghouse or payer portal.</t>
  </si>
  <si>
    <t>The claim was rejected because the patient identifier (e.g., member ID, Medicare Beneficiary Identifier (MBI), or policy number) submitted on the claim is incorrect.</t>
  </si>
  <si>
    <t>Incorrect Patient Identifier</t>
  </si>
  <si>
    <t>Incorrect member ID entered → claim rejected.
Old or inactive policy number used → denial applied.
Mismatch between patient name and identifier → rejection issued.
MBI entered incorrectly (typo or format issue) → claim denied.
System truncates or alters identifier → claim unprocessable.</t>
  </si>
  <si>
    <t>Data entry errors during registration.
Outdated or incorrect insurance information.
Failure to verify eligibility prior to billing.
Mismatch between patient and insured details.
System or EDI mapping errors.
Incomplete demographic validation.</t>
  </si>
  <si>
    <t>Verify correct patient identifier from insurance card or eligibility portal.
Update billing system with accurate member ID/MBI.
Ensure consistency with patient name and DOB.
Resubmit corrected claim.
Confirm claim acceptance through clearinghouse or payer portal.</t>
  </si>
  <si>
    <t>The claim was rejected because the diagnosis information was missing, incomplete, invalid, or not properly reported. Diagnosis codes are essential to establish medical necessity, coverage eligibility, and appropriate reimbursement.
On the CMS-1500 claim form, diagnosis codes are reported in Box 21 — Diagnosis or Nature of Illness/Injury and must support the procedures listed in Box 24D — CPT/HCPCS Codes. On the UB-04 claim form, diagnosis information is reported in Form Locator (FL) 67 — Principal Diagnosis Code and FL 72–75 — Secondary Diagnoses.</t>
  </si>
  <si>
    <t>Diagnosis field left blank → claim rejected.
Invalid or non-billable ICD code submitted → denial applied.
Diagnosis lacks required specificity → rejection issued.
Diagnosis does not support procedure billed → claim denied.
System truncates or omits diagnosis code → claim unprocessable.</t>
  </si>
  <si>
    <t>Missing diagnosis during claim creation.
Use of invalid or outdated ICD codes.
Insufficient specificity in diagnosis coding.
Mismatch between documentation and billed services.
Staff unfamiliar with coding guidelines.
System or EDI transmission errors.</t>
  </si>
  <si>
    <t>Component of Basic Benefit Paid as Covered Service</t>
  </si>
  <si>
    <t>This alert indicates that a portion (component) of the billed service has been recognized and paid under the patient’s basic benefit coverage, rather than being processed separately as an independent service.</t>
  </si>
  <si>
    <t>Minor procedure billed separately but included in major procedure payment → not paid separately.
Supplies or services included in global surgical package → bundled into primary service.
Diagnostic component included in comprehensive service → no separate reimbursement.
Routine services included in base benefit → adjusted accordingly.
Multiple related services billed → payer pays only primary service and bundles others.</t>
  </si>
  <si>
    <t>Bundling rules under payer policy.
Services considered integral to primary procedure.
Global payment packages (e.g., surgery, maternity).
Incorrect unbundling of services during billing.
Lack of awareness of included components.</t>
  </si>
  <si>
    <t>Review remittance advice to identify bundled components.
Verify payer bundling rules and coding guidelines.
Ensure correct coding and modifier usage (if applicable).
Accept adjustment if bundling is appropriate.
Appeal if services are distinct and should be separately payable.</t>
  </si>
  <si>
    <t>Invalid Dental Treatment Plan</t>
  </si>
  <si>
    <t>The claim was rejected because the patient account number (also known as patient control number) was missing, incomplete, invalid, or not properly reported.</t>
  </si>
  <si>
    <t>Patient account number field left blank → claim rejected.
Invalid or truncated account number → denial applied.
Mismatch between submitted account number and provider records → rejection issued.
System failed to populate patient control number → claim unprocessable.
Duplicate or incorrect account number used → processing error.</t>
  </si>
  <si>
    <t>Missing patient account number during claim creation.
Incorrect or inconsistent account number assignment.
System or EDI mapping errors.
Data truncation or formatting issues.
Staff unaware of importance of patient control number.</t>
  </si>
  <si>
    <t>Verify correct patient account number from billing system.
Update claim with accurate patient control number.
Ensure proper formatting and consistency.
Resubmit corrected claim.
Confirm claim acceptance through clearinghouse or payer portal.</t>
  </si>
  <si>
    <t>Billing provider NPI missing → claim rejected.
Invalid or inactive NPI submitted → denial applied.
Mismatch between provider name and NPI → rejection issued.
Rendering provider NPI not included → claim denied.
System failed to transmit NPI in EDI → claim unprocessable.</t>
  </si>
  <si>
    <r>
      <t>The claim was rejected because the provider or facility’s primary identifier (typically the National Provider Identifier (NPI) or equivalent unique ID) was missing.
On the CMS-1500 claim form, the provider identifier is reported in Box 33a — Billing Provider NPI, Box 24J — Rendering Provider NPI, and Box 17b — Referring Provider NPI, depending on provider role. On the UB-04 claim form, the primary identifier is reported in Form Locator (FL) 56 — NPI</t>
    </r>
    <r>
      <rPr>
        <b/>
        <sz val="10"/>
        <color theme="1"/>
        <rFont val="Calibri"/>
        <family val="2"/>
      </rPr>
      <t>.</t>
    </r>
  </si>
  <si>
    <t>Missing provider identifier during claim entry.
Incorrect or outdated NPI.
Provider not enrolled or inactive with payer.
Mismatch between provider data and payer records.
System or EDI mapping errors.
Credentialing and billing misalignment.</t>
  </si>
  <si>
    <t>Verify correct provider/facility NPI.
Confirm provider enrollment and active status with payer.
Update claim with accurate identifier information.
Ensure consistency across all provider fields.
Resubmit corrected claim.
Appeal if denial occurred despite valid identifier.</t>
  </si>
  <si>
    <t>The claim was rejected because the Medicare patient identifier (Medicare Beneficiary Identifier — MBI) was missing.</t>
  </si>
  <si>
    <t>MBI field left blank → claim rejected.
Incorrect MBI entered (typo or format error) → denial applied.
Old HICN used instead of MBI → rejection issued.
Mismatch between MBI and patient demographics → claim denied.
System truncates or alters MBI during submission → claim unprocessable.</t>
  </si>
  <si>
    <t>Missing Medicare identifier during registration.
Use of outdated HICN instead of MBI.
Data entry errors or incorrect formatting.
Failure to verify Medicare eligibility.
Mismatch between patient demographics and Medicare records.
System or EDI mapping errors.</t>
  </si>
  <si>
    <t>Verify correct MBI from patient’s Medicare card or eligibility portal.
Update billing system with accurate MBI.
Ensure alignment with patient name and demographics.
Resubmit corrected claim.
Confirm claim acceptance through clearinghouse or Medicare portal.</t>
  </si>
  <si>
    <t>Provider/Facility Not Eligible to Bill for the Service</t>
  </si>
  <si>
    <t>CO 170</t>
  </si>
  <si>
    <t>The claim was denied because the provider or facility is not eligible or authorized to bill for the specific service rendered. This may be due to credentialing issues, scope of practice limitations, lack of enrollment, or contractual restrictions with the payer.</t>
  </si>
  <si>
    <t>Provider not credentialed with payer → claim denied.
Service billed outside provider’s scope of practice → rejection issued.
Facility not authorized for specific service type → denial applied.
Provider enrollment inactive or expired → claim denied.
Incorrect provider type billing specialized service → claim unprocessable.</t>
  </si>
  <si>
    <t>Provider not enrolled or credentialed with payer.
Service outside provider’s licensed scope of practice.
Inactive or expired provider enrollment.
Mismatch between provider type and billed service.
Contractual limitations with payer.
Credentialing and billing misalignment.</t>
  </si>
  <si>
    <t>Invalid Tax Identification Number (TIN)</t>
  </si>
  <si>
    <t>The claim was rejected because the provider’s Tax Identification Number (TIN)—such as an Employer Identification Number (EIN) or Social Security Number (SSN)—was missing, incomplete, invalid, or not properly reported.</t>
  </si>
  <si>
    <t>TIN field left blank → claim rejected.
Incorrect EIN/SSN entered → denial applied.
Mismatch between TIN and provider enrollment records → rejection issued.
TIN not updated after organizational change → claim denied.
System failed to transmit TIN in EDI → claim unprocessable.</t>
  </si>
  <si>
    <t>Verify correct TIN from provider enrollment records.
Ensure TIN matches payer records exactly.
Update claim with accurate EIN/SSN in Box 25.
Resubmit corrected claim.
Confirm claim acceptance through clearinghouse or payer portal.</t>
  </si>
  <si>
    <t>The claim was rejected because the provider or facility address was missing, incomplete, invalid, or not properly reported.</t>
  </si>
  <si>
    <t>Provider address field left blank → claim rejected.
Incomplete address (missing ZIP code or state) → denial applied.
Mismatch between submitted address and payer enrollment records → rejection issued.
Old or outdated facility address used → claim denied.
System truncates address during EDI submission → claim unprocessable.</t>
  </si>
  <si>
    <t>Missing provider/facility address during claim entry.
Incorrect or outdated address information.
Mismatch between billing system and payer enrollment records.
Staff unaware of address reporting requirements.
System or EDI mapping errors.
Incomplete provider setup in billing system.</t>
  </si>
  <si>
    <t>Verify correct provider/facility address from enrollment records.
Ensure address matches payer records exactly.
Update claim with complete and accurate address.
Resubmit corrected claim.
Confirm claim acceptance through clearinghouse or payer portal.</t>
  </si>
  <si>
    <t>Missing Explanation of Benefits (EOB)</t>
  </si>
  <si>
    <t>The claim was adjusted because the Explanation of Benefits (EOB) or remittance advice from a prior payer was not submitted.</t>
  </si>
  <si>
    <t>Secondary claim submitted without primary payer EOB → claim adjusted.
Incorrect or incomplete EOB attached → denial applied.
COB indicates prior payer but no documentation provided → rejection issued.
Primary payment posted but not reflected in claim → claim denied.
System failed to attach EOB during electronic submission → claim unprocessable.</t>
  </si>
  <si>
    <t>Missing EOB during secondary/tertiary billing.
Failure to capture or store primary payer remittance.
Incorrect or incomplete EOB submission.
Staff unaware of COB documentation requirements.
System or EDI attachment errors.
Workflow gap between payment posting and billing.</t>
  </si>
  <si>
    <t>Obtain primary payer EOB or remittance advice.
Verify accuracy of prior payment details.
Attach or submit EOB through correct payer channel (EDI/portal).
Update claim with accurate COB information.
Resubmit corrected claim.
Confirm claim acceptance through clearinghouse or payer portal.</t>
  </si>
  <si>
    <t>N169|N170—Payment adjusted because the related Explanation of Benefits was not submitted.</t>
  </si>
  <si>
    <t>Service Included in Payment for Another Service</t>
  </si>
  <si>
    <t>The claim was adjusted because the payment for this service is included in the allowance for another related service.Payers apply bundling rules based on coding guidelines, NCCI edits, and contractual policies, where only the primary service is paid.</t>
  </si>
  <si>
    <t>Minor procedure billed separately but included in major surgery → denied.
Pre-operative or post-operative services included in global package → not paid separately.
Supplies or routine services bundled into primary procedure → adjustment applied.
Diagnostic service included in comprehensive procedure → denied as separate line.
Multiple related services billed → payer reimburses only primary service.</t>
  </si>
  <si>
    <t>Bundling rules under payer or NCCI guidelines.
Services considered integral to a primary procedure.
Incorrect unbundling during coding.
Lack of awareness of global surgical package rules.
Missing appropriate modifiers for distinct services.</t>
  </si>
  <si>
    <t>Review remittance advice to identify bundled services.
Verify NCCI edits and payer bundling policies.
Ensure correct coding and modifier usage (e.g., -59, -25 if applicable).
Accept adjustment if bundling is appropriate.
Appeal if services are distinct and separately billable with proper documentation.</t>
  </si>
  <si>
    <t>The claim was denied because the patient is not eligible for coverage as a dependent under the subscriber’s insurance plan.</t>
  </si>
  <si>
    <t>CO 27</t>
  </si>
  <si>
    <t>Patient Not Eligible as a Dependent Under the Plan</t>
  </si>
  <si>
    <t>Dependent exceeds age limit (e.g., over 26) → claim denied.
Patient listed as dependent but not eligible under plan → rejection issued.
Incorrect relationship selected (e.g., child vs spouse) → denial applied.
Dependent coverage terminated but still billed → claim denied.
Mismatch between dependent status and payer records → claim unprocessable.</t>
  </si>
  <si>
    <t>Patient not meeting dependent eligibility criteria.
Incorrect relationship to insured entered.
Outdated insurance information.
Failure to verify eligibility prior to service.
Misinterpretation of plan rules.
System or registration errors.</t>
  </si>
  <si>
    <t>Verify patient eligibility and dependent status with payer.
Confirm relationship to insured and coverage rules.
Update insurance information if incorrect.
Bill correct payer if alternate coverage exists.
Bill patient if no valid coverage applies.
Appeal if denial occurred despite valid eligibility.</t>
  </si>
  <si>
    <t>Service Not Covered Unless Specific Criteria Are Met</t>
  </si>
  <si>
    <t>The claim was denied because the service is only covered when specific payer-defined criteria or conditions are met, and those criteria were not satisfied or not documented.
On the CMS-1500 claim form, services are reported in Box 24D — CPT/HCPCS Codes and supported by Box 21 — Diagnosis Codes, which must meet payer coverage policies. On the UB-04 claim form, services are reported in Form Locator (FL) 44 — HCPCS/Rate/HIPPS Code and FL 67 — Diagnosis Codes</t>
  </si>
  <si>
    <t>Service requires prior authorization but not obtained → denied.
Diagnosis does not meet payer coverage policy → rejection issued.
Medical necessity documentation insufficient → denial applied.
Step therapy requirement not followed → claim denied.
Frequency or clinical criteria not met → service not covered.</t>
  </si>
  <si>
    <t>Failure to meet payer-specific coverage criteria.
Missing prior authorization or certification.
Insufficient documentation of medical necessity.
Incorrect or unsupported diagnosis coding.
Lack of awareness of payer policy requirements.
Incomplete clinical or billing workflow.</t>
  </si>
  <si>
    <t>Review payer policy and coverage criteria for the service.
Verify if requirements (authorization, diagnosis, documentation) were met.
Obtain or update supporting documentation.
Correct diagnosis or coding if applicable.
Resubmit claim with proper documentation.
Appeal with clinical justification if criteria were met but not recognized.</t>
  </si>
  <si>
    <t>Services Not Covered by Plan/Policy</t>
  </si>
  <si>
    <t>The claim was denied because the services billed are not covered under the patient’s insurance plan or policy. This indicates that the service falls outside the plan’s defined benefits, exclusions, or coverage guidelines, and therefore no payment will be issued. Unlike conditional or criteria-based denials, this reflects a clear exclusion under the policy terms.</t>
  </si>
  <si>
    <t>Service explicitly excluded under plan → claim denied.
Experimental or investigational procedure → not covered.
Cosmetic service billed under medical plan → denial applied.
Non-covered screening or preventive service → rejected.
Service not included in payer contract → claim denied.</t>
  </si>
  <si>
    <t>Verify patient’s plan benefits and coverage details.
Confirm service is excluded under payer policy.
Bill patient if allowed under plan terms.
Use ABN or waiver if applicable.
Appeal only if service should be covered under policy.</t>
  </si>
  <si>
    <t>Invalid Service Date Information</t>
  </si>
  <si>
    <t>The claim was rejected because the required dental treatment plan was missing, incomplete, invalid, or not properly submitted.
On the dental claim form (ADA form), treatment plan details are reported in Field 35 — Remarks and procedure lines (including tooth number, surface, and CDT codes).</t>
  </si>
  <si>
    <t>Crown or bridge submitted without treatment plan → claim rejected.
Orthodontic services billed without documented plan → denial applied.
Missing tooth number or surface details → rejection issued.
Incomplete sequence of planned procedures → claim denied.
System failed to attach treatment plan documentation → claim unprocessable.</t>
  </si>
  <si>
    <t>Missing dental treatment plan documentation.
Incomplete or inaccurate procedure details (tooth/surface).
Failure to attach required supporting documents.
Staff unaware of dental payer requirements.
System or EDI attachment errors.
Incomplete clinical documentation.</t>
  </si>
  <si>
    <t>Obtain complete dental treatment plan from provider.
Verify all required details (tooth number, surfaces, procedures).
Attach treatment plan and supporting documentation.
Update claim with accurate information.
Resubmit corrected claim.
Appeal if denial occurred despite proper documentation.</t>
  </si>
  <si>
    <t>Services Not Payable – Patient is an Inmate of a Public Institution</t>
  </si>
  <si>
    <t>The claim was denied because the patient is identified as an inmate of a public institution, and services provided to inmates are generally not payable by standard health insurance plans (including Medicare/Medicaid in most cases).</t>
  </si>
  <si>
    <t>Patient treated while incarcerated → claim denied by payer.
Services provided within correctional facility → not covered under insurance.
Inmate receives outpatient care → denial issued.
Medicaid/Medicare billed for inmate services → rejected per policy.
Patient status incorrectly marked as inmate → claim denied incorrectly.</t>
  </si>
  <si>
    <t>Patient identified as inmate in payer eligibility records.
Services provided under responsibility of correctional institution.
Incorrect patient status or eligibility information.
Lack of awareness of inmate coverage exclusions.
Billing submitted to wrong payer instead of facility/government entity.</t>
  </si>
  <si>
    <t>Verify patient incarceration status at time of service.
Confirm if any exception applies (e.g., inpatient hospitalization eligibility).
Bill correctional facility or responsible government entity.
Correct patient status if recorded incorrectly and resubmit claim.
Appeal if denial occurred despite patient not being an inmate.</t>
  </si>
  <si>
    <t>Invalid Medical/Dental Pre-Authorization</t>
  </si>
  <si>
    <t>The claim was rejected because the required medical or dental pre-authorization (prior authorization) was missing, incomplete, invalid, or not properly submitted. Many services—especially high-cost procedures, surgeries, diagnostic imaging, specialty treatments, and major dental procedures—require prior approval from the payer to confirm medical necessity and coverage eligibility. Without a valid authorization, the payer cannot process or reimburse the claim</t>
  </si>
  <si>
    <t>Surgery performed without prior authorization → claim denied.
Authorization obtained but not included on claim → rejection issued.
Invalid or expired authorization number submitted → denial applied.
Dental procedure (e.g., crown/implant) without pre-authorization → claim rejected.
Authorization does not match service or dates → claim denied.</t>
  </si>
  <si>
    <t>Failure to obtain prior authorization before service.
Missing authorization number during claim submission.
Incorrect, invalid, or expired authorization.
Mismatch between authorization and billed services.
Staff unaware of authorization requirements.
System or EDI mapping errors.</t>
  </si>
  <si>
    <t>Verify if prior authorization was obtained.
Confirm authorization number, validity, and service coverage.
Update claim with correct authorization details.
Resubmit corrected claim.
Request retro authorization if allowed by payer.
Appeal with supporting documentation if authorization was valid.</t>
  </si>
  <si>
    <t>Invalid Clinical Indication for Service/Procedure</t>
  </si>
  <si>
    <t>The claim was rejected because the clinical indication (medical reason or justification) for the service or procedure was missing, incomplete, invalid, or not properly documented. Clinical indication explains why the service was performed.</t>
  </si>
  <si>
    <t>Procedure billed without supporting diagnosis → claim rejected.
Diagnosis does not justify medical necessity → denial applied.
Incomplete documentation of symptoms/condition → rejection issued.
Screening service billed as diagnostic without proper indication → claim denied.
System failed to transmit diagnosis linkage → claim unprocessable.</t>
  </si>
  <si>
    <t>Review medical records for proper clinical indication.
Ensure diagnosis accurately supports the service performed.
Update claim with correct and specific diagnosis codes.
Include additional documentation if required.
Resubmit corrected claim.
Appeal with clinical justification if denial was incorrect.</t>
  </si>
  <si>
    <t>Provider Information Does Not Match Enrollment Records</t>
  </si>
  <si>
    <t>The claim was rejected because the submitted provider information (such as name, NPI, taxonomy, address, or other identifiers) does not match the payer’s enrollment or credentialing records. Payers validate provider data against their enrollment database to confirm eligibility to bill and receive payment.</t>
  </si>
  <si>
    <t>Provider name differs from enrollment records → claim rejected.
Incorrect or outdated NPI submitted → denial applied.
Taxonomy code mismatch with payer records → rejection issued.
Provider recently credentialed but not updated in payer system → claim denied.
System sends incorrect provider data → claim unprocessable.</t>
  </si>
  <si>
    <t>Mismatch between billing system and payer enrollment data.
Outdated or incorrect provider information.
Incomplete or pending credentialing/enrollment.
Incorrect NPI, taxonomy, or provider details used.
Lack of coordination between credentialing and billing teams.
System or EDI mapping errors.</t>
  </si>
  <si>
    <t>Verify provider information against payer enrollment records.
Confirm correct NPI, taxonomy, name, and address.
Update billing system with accurate provider data.
Complete or correct enrollment/credentialing if needed.
Resubmit corrected claim.
Appeal if denial occurred despite correct enrollment data.</t>
  </si>
  <si>
    <t>Payment Adjustment Based on Ambulatory Payment Classification (APC)</t>
  </si>
  <si>
    <t>This alert indicates that the claim payment has been adjusted based on the Ambulatory Payment Classification (APC) system, which is used primarily for outpatient hospital services.</t>
  </si>
  <si>
    <t>Outpatient procedure grouped into APC → payment adjusted to APC rate.
Multiple outpatient services billed → some packaged into primary APC payment.
Hospital charges exceed APC allowable → excess adjusted off.
Ancillary services included in APC bundle → not paid separately.
Coding changes result in different APC assignment → payment adjusted.</t>
  </si>
  <si>
    <t>Standard APC-based reimbursement methodology.
Bundling/packaging rules for outpatient services.
Differences between billed charges and APC allowable rates.
Coding and documentation affecting APC grouping.
Payer-specific APC weights and policies.</t>
  </si>
  <si>
    <t>Review APC assignment and status indicators.
Verify HCPCS codes and revenue codes for accuracy.
Ensure documentation supports services billed.
Appeal if APC grouping or payment is incorrect.
Accept adjustment if APC methodology is correctly applied.</t>
  </si>
  <si>
    <t>Invalid Date of Appliance Placement</t>
  </si>
  <si>
    <t>The claim was rejected because the date of appliance placement (e.g., dental prosthetics, orthodontic appliances, or durable medical equipment placement) was missing, incomplete, invalid, or not properly reported.
On the dental claim form (ADA form), appliance placement dates are reported in relevant procedure lines and Field 36 — Date of Treatment, along with supporting details in Field 35 — Remarks if needed</t>
  </si>
  <si>
    <t>Dental appliance billed without placement date → claim rejected.
Orthodontic treatment submitted with missing start date → denial applied.
Invalid or future placement date entered → rejection issued.
Mismatch between placement date and service dates → claim denied.
System failed to transmit appliance placement date → claim unprocessable.</t>
  </si>
  <si>
    <t>Missing appliance placement date during claim entry.
Incorrect or invalid date format.
Incomplete dental or DME documentation.
Mismatch between clinical records and billing data.
Staff unaware of appliance-related reporting requirements.
System or EDI mapping errors.</t>
  </si>
  <si>
    <t>Verify appliance placement date from clinical/dental records.
Ensure date aligns with treatment and service timeline.
Update claim with accurate placement date.
Resubmit corrected claim.
Appeal if denial occurred despite correct documentation.</t>
  </si>
  <si>
    <t>Provider Not Eligible for Payment for the Service/Procedure</t>
  </si>
  <si>
    <t>CO 195</t>
  </si>
  <si>
    <t>The claim was denied because the provider is not eligible to receive payment for the specific service or procedure billed. This may occur due to credentialing issues, scope of practice limitations, payer enrollment restrictions, or contractual limitations.</t>
  </si>
  <si>
    <t>Provider bills for service outside scope of practice → claim denied.
Non-credentialed provider submits claim → rejection issued.
Provider specialty not authorized for procedure → denial applied.
Enrollment inactive or not linked to payer → claim denied.
Incorrect provider type used for billing service → claim unprocessable.</t>
  </si>
  <si>
    <t>Verify provider eligibility and enrollment with payer.
Confirm service is within provider’s scope of practice.
Correct billing provider or rendering provider if needed.
Update or complete credentialing/enrollment.
Resubmit corrected claim.
Appeal if denial occurred despite valid eligibility.</t>
  </si>
  <si>
    <t>Anesthesia Time Exceeds Allowed Maximum for Procedure</t>
  </si>
  <si>
    <t>The claim was adjusted or denied because the reported anesthesia time exceeds the maximum allowable time established by the payer for the specific procedure. Payers use standard anesthesia time guidelines, base units, and medical necessity criteria to determine appropriate reimbursement. If the billed time is significantly higher than expected for the procedure, the payer may reduce payment or deny the excess time as not reasonable or necessary.
On the CMS-1500 claim form, anesthesia services are reported in Box 24D — CPT/HCPCS Codes (anesthesia codes) and Box 24G — Units (time units), which must align with documented anesthesia time. On the UB-04 claim form, anesthesia-related services may be reported in Form Locator (FL) 44 — HCPCS Code and FL 46 — Units, subject to payer limits.</t>
  </si>
  <si>
    <t>Anesthesia time billed significantly longer than typical for procedure → excess units denied.
Incorrect time calculation (start/stop time error) → overbilling detected.
Duplicate or overlapping anesthesia time submitted → adjustment applied.
Procedure completed quickly but excessive time billed → denial issued.
Documentation does not support billed anesthesia duration → claim reduced.</t>
  </si>
  <si>
    <t>Anesthesia time exceeds payer-established limits.
Incorrect calculation of anesthesia time units.
Documentation does not support billed duration.
Duplicate or overlapping time entries.
Lack of awareness of payer anesthesia guidelines.
System or billing errors in unit reporting.</t>
  </si>
  <si>
    <t>Review anesthesia record for accurate start and end times.
Verify correct calculation of time units per payer guidelines.
Ensure documentation supports billed anesthesia duration.
Correct units if overreported and resubmit claim.
Appeal if extended time is medically necessary and documented.</t>
  </si>
  <si>
    <t>Prior Claim Already Adjudicated for Same Drug/Service</t>
  </si>
  <si>
    <t>CO 18/97</t>
  </si>
  <si>
    <t>This alert indicates that a prior claim for the same drug or service has already been processed (adjudicated) by the payer. As a result, the current claim may be considered a duplicate, overlap, or already included in a previous payment, and therefore is not eligible for additional reimbursement.
Payers use claim history and service dates to identify duplicate billing or previously processed services. If the same service has already been paid or denied, subsequent submissions for the same service may be rejected or adjusted.</t>
  </si>
  <si>
    <t>Same service billed twice for same date → second claim denied as duplicate.
Drug already reimbursed under previous claim → new claim rejected.
Corrected claim submitted without proper reference number → treated as duplicate.
Multiple providers billing same service → one claim denied.
System resubmits claim automatically → duplicate detected.</t>
  </si>
  <si>
    <t>Duplicate claim submission.
Failure to reference original claim during correction.
Overlapping services billed multiple times.
Lack of visibility into claim adjudication status.
System or clearinghouse resubmission errors.</t>
  </si>
  <si>
    <t>Verify prior claim status and adjudication details.
Check if current claim is duplicate or correction.
If correction → include original claim number/DCN and resubmit properly.
Void or adjust duplicate claim if necessary.
Appeal if denial occurred incorrectly and services are distinct.</t>
  </si>
  <si>
    <t>Invalid Anesthesia Time/Units</t>
  </si>
  <si>
    <t>Invalid Anesthesia Start/End Time</t>
  </si>
  <si>
    <t>The claim was rejected or adjusted because the anesthesia time or units reported were missing, incomplete, invalid, or not properly calculated. Anesthesia services are reimbursed based on time units (typically in minutes) combined with base units, and accurate reporting is essential for proper payment. If the time is not documented correctly, not converted into units properly, or does not align with payer guidelines, the claim cannot be processed.</t>
  </si>
  <si>
    <t>Anesthesia time not entered → claim rejected.
Incorrect conversion of minutes to units → denial applied.
Start/stop time missing in documentation → rejection issued.
Units reported do not match documented time → claim denied.
System failed to transmit anesthesia units → claim unprocessable.</t>
  </si>
  <si>
    <t>Missing anesthesia time documentation.
Incorrect calculation of time units.
Mismatch between documentation and billed units.
Staff unfamiliar with anesthesia billing rules.
System or EDI mapping errors.
Incomplete anesthesia records.</t>
  </si>
  <si>
    <t>The claim was rejected or adjusted because the anesthesia start and/or end time was missing, incomplete, invalid, or not properly documented. Accurate reporting of anesthesia start and stop times is essential to calculate total anesthesia time and corresponding units, which directly impacts reimbursement. Without valid time documentation, the payer cannot verify the duration of anesthesia services or determine appropriate payment.</t>
  </si>
  <si>
    <t>Anesthesia start time missing → claim rejected.
End time not documented → denial applied.
Start/end times inconsistent or illogical → rejection issued.
Units billed without supporting time documentation → claim denied.
System failed to transmit anesthesia time data → claim unprocessable.</t>
  </si>
  <si>
    <t>Review anesthesia record for accurate start and end times.
Ensure time documentation is complete and valid.
Recalculate anesthesia units based on correct time.
Update claim with accurate information.
Resubmit corrected claim.
Appeal if denial occurred despite proper documentation.</t>
  </si>
  <si>
    <t>Invalid Anesthesia Physical Status Modifier/Units</t>
  </si>
  <si>
    <t>The claim was rejected because the anesthesia physical status modifier (P1–P6) and/or associated modifying units were missing, incomplete, invalid, or not properly reported. These modifiers indicate the patient’s pre-anesthesia health condition and risk level, which can impact reimbursement calculations. Payers use this information along with base units and time units to determine total anesthesia payment. Without valid physical status modifiers or units, the claim cannot be accurately processed.</t>
  </si>
  <si>
    <t>Anesthesia claim submitted without physical status modifier → rejected.
Invalid modifier (e.g., incorrect P-level) → denial applied.
Modifier documented but not included in claim → rejection issued.
Incorrect modifying units assigned → claim adjusted or denied.
System failed to transmit modifier data → claim unprocessable.</t>
  </si>
  <si>
    <t>Missing anesthesia physical status modifier.
Incorrect or invalid modifier selection (P1–P6).
Mismatch between documentation and billed modifier.
Staff unaware of anesthesia modifier requirements.
System or EDI mapping errors.
Incomplete anesthesia documentation.</t>
  </si>
  <si>
    <t>The claim was rejected because the service date information (date of service or service period) was missing, incomplete, invalid, or not properly reported. Accurate service dates are essential for determining coverage eligibility, timely filing compliance, medical necessity, and reimbursement. If the dates are incorrect or inconsistent, the payer cannot adjudicate the claim.</t>
  </si>
  <si>
    <t>Date of service field left blank → claim rejected.
Invalid date format or future date entered → denial applied.
Mismatch between service date and eligibility period → rejection issued.
Incorrect service period submitted (from/to dates mismatch) → claim denied.
System failed to transmit service dates → claim unprocessable.</t>
  </si>
  <si>
    <t>Missing or incorrect service date entry.
Invalid date format or data entry error.
Mismatch between clinical documentation and billing data.
Failure to verify eligibility for service date.
Staff unaware of date reporting requirements.
System or EDI mapping errors.</t>
  </si>
  <si>
    <t>Verify correct service date(s) from medical records.
Ensure dates align with services rendered and eligibility.
Update claim with accurate service date information.
Resubmit corrected claim.
Confirm claim acceptance through clearinghouse or payer portal.</t>
  </si>
  <si>
    <t>Invalid Rendering Provider Information</t>
  </si>
  <si>
    <t>Invalid Prior Claim Paid Date</t>
  </si>
  <si>
    <t>Invalid Referring Provider Identification Number</t>
  </si>
  <si>
    <t>The claim was rejected because the identification number (typically NPI) of the referring provider was missing, incomplete, invalid, or not properly reported. Many services—such as diagnostic tests, imaging, DME, and specialty services—require a valid referring provider identifier to establish medical necessity and ordering authority. Without a valid referring provider NPI, the payer cannot verify that the service was appropriately ordered.</t>
  </si>
  <si>
    <t>Referring provider NPI missing → claim rejected.
Invalid or inactive NPI submitted → denial applied.
Referring provider name entered without NPI → rejection issued.
Mismatch between referring provider and service billed → claim denied.
System failed to transmit referring provider NPI → claim unprocessable.</t>
  </si>
  <si>
    <t>Missing referring provider information during claim entry.
Incorrect or outdated NPI.
Referring provider not enrolled or inactive with payer.
Mismatch between documentation and billing data.
Staff unaware of referring provider requirements.
System or EDI mapping errors.</t>
  </si>
  <si>
    <t>Verify referring provider details from medical records.
Confirm valid and active NPI.
Update claim with correct referring provider information.
Ensure alignment between provider, service, and documentation.
Resubmit corrected claim.
Appeal if denial occurred despite valid information.</t>
  </si>
  <si>
    <t>Services Inconsistent with Diagnosis (Medical Necessity Mismatch)</t>
  </si>
  <si>
    <t>CO 204</t>
  </si>
  <si>
    <t>The claim was denied because the services or procedures billed are not consistent with the diagnosis submitted on the claim. This indicates a medical necessity mismatch, where the diagnosis does not justify the need for the service according to payer policies. Payers evaluate the relationship between diagnosis codes (ICD) and procedure codes (CPT/HCPCS) to ensure that services are appropriate and necessary. If the linkage is invalid or unsupported, the claim is denied.</t>
  </si>
  <si>
    <t>Procedure billed with unrelated diagnosis → claim denied.
Screening service billed with diagnostic code → mismatch triggers denial.
Lab test billed without supporting condition → rejection issued.
Incorrect diagnosis pointer mapping → claim denied.
Diagnosis too vague to support procedure → denial applied.</t>
  </si>
  <si>
    <t>Mismatch between diagnosis and procedure.
Incorrect or non-specific diagnosis coding.
Improper diagnosis pointer assignment.
Lack of medical necessity documentation.
Staff unaware of payer diagnosis-procedure policies.
Coding or system mapping errors.</t>
  </si>
  <si>
    <t>Review clinical documentation for accurate diagnosis.
Ensure diagnosis supports medical necessity of service.
Correct diagnosis codes and/or pointer mapping.
Update claim with appropriate diagnosis-procedure linkage.
Resubmit corrected claim.
Appeal with supporting documentation if denial was incorrect.</t>
  </si>
  <si>
    <t>Invalid Secondary Coverage Information</t>
  </si>
  <si>
    <t>The claim was rejected because the rendering provider information (such as name, NPI, or other required identifiers) was missing, incomplete, invalid, or not properly reported. The rendering provider is the individual who performed or supervised the service, and accurate identification is essential for credentialing validation, reimbursement eligibility, and claim adjudication. Without valid rendering provider details, the payer cannot process the claim.</t>
  </si>
  <si>
    <t>Rendering provider NPI missing → claim rejected.
Invalid or inactive rendering provider NPI → denial applied.
Mismatch between rendering provider and billed service → rejection issued.
Rendering provider not enrolled with payer → claim denied.
System failed to transmit rendering provider details → claim unprocessable.</t>
  </si>
  <si>
    <t>Missing rendering provider information during claim entry.
Incorrect or outdated NPI.
Rendering provider not enrolled or inactive with payer.
Mismatch between documentation and billing data.
Staff unaware of rendering provider requirements.
System or EDI mapping errors.</t>
  </si>
  <si>
    <t>Verify rendering provider details from medical records.
Confirm valid and active NPI with payer.
Update claim with accurate rendering provider information.
Ensure alignment with billing provider and documentation.
Resubmit corrected claim.
Appeal if denial occurred despite valid information.</t>
  </si>
  <si>
    <t>N207 |N208 | N209 —Missing/incomplete/invalid prior claim paid date</t>
  </si>
  <si>
    <t>The claim was rejected because the prior claim paid date (from a previous payer or earlier adjudication) was missing, incomplete, invalid, or not properly reported</t>
  </si>
  <si>
    <t>Secondary claim submitted without prior payer paid date → claim rejected.
Invalid or incorrect paid date entered → denial applied.
COB indicates prior payment but missing adjudication date → rejection issued.
Mismatch between EOB date and submitted claim data → claim denied.
System failed to transmit prior payer paid date → claim unprocessable.</t>
  </si>
  <si>
    <t>Obtain prior payer EOB and verify paid date.
Ensure accuracy of prior adjudication date.
Update claim with correct paid date in appropriate fields.
Align COB information with EOB details.
Resubmit corrected claim.
Confirm claim acceptance through clearinghouse or payer portal.</t>
  </si>
  <si>
    <t>Benefit Exhausted for the Service</t>
  </si>
  <si>
    <t>This alert indicates that benefits for the specific service have been exhausted under the patient’s plan. The payer has determined that the patient has already reached the maximum allowable limit (e.g., visit limits, dollar limits, or service caps) for this benefit. As a result, no further payment will be made for additional services of this type under the current plan.</t>
  </si>
  <si>
    <t>Physical therapy visit limit reached → additional visits denied.
Chiropractic care exceeds annual maximum → no payment issued.
Mental health sessions exceed plan limit → claim denied.
DME rental capped → further billing not covered.
Service utilization exceeds dollar or unit cap → denial applied.</t>
  </si>
  <si>
    <t>Benefit maximum limit reached.
High utilization of limited services.
Lack of tracking of remaining benefits.
Failure to verify benefit limits prior to service.
Plan-specific service caps exceeded.</t>
  </si>
  <si>
    <t>Invalid Date of Accident</t>
  </si>
  <si>
    <t>The claim was rejected because the date of accident (e.g., auto accident, work-related injury, or other liability event) was missing, incomplete, invalid, or not properly reported. The accident date is critical for determining payer responsibility, coordination of benefits (COB), liability coverage, and medical necessity timelines.
On the CMS-1500 claim form, the accident date is reported in Box 14 — Date of Current Illness, Injury, or Pregnancy, and accident indicators are noted in Box 10a–10c — Related to Employment/Auto/Other Accident. On the UB-04 claim form, relevant dates may be reflected in Form Locator (FL) 6 — Statement Covers Period and condition codes related to accidents.</t>
  </si>
  <si>
    <t>Accident-related claim submitted without injury date → claim rejected.
Auto accident case missing accident date → denial applied.
Invalid or future accident date entered → rejection issued.
Mismatch between accident date and service dates → claim denied.
System failed to transmit accident date → claim unprocessable.</t>
  </si>
  <si>
    <t>Missing accident date during registration or claim entry.
Incorrect or invalid date format.
Failure to capture accident-related information at intake.
Mismatch between clinical documentation and billing data.
Staff unaware of accident reporting requirements.
System or EDI mapping errors.</t>
  </si>
  <si>
    <t>Invalid Dependent Information</t>
  </si>
  <si>
    <t>The claim was rejected because the dependent’s information (e.g., name, date of birth, relationship to insured, or identifier) was missing, incomplete, invalid, or does not match payer records.
On the CMS-1500 claim form, dependent information is reported in Box 2 — Patient Name, Box 3 — Patient DOB/Sex, and Box 6 — Patient Relationship to Insured, which must align with Box 1a — Insured’s ID Number. On the UB-04 claim form, dependent details are reflected in Form Locator (FL) 8 — Patient Name, FL 59 — Patient Relationship, and FL 60 — Insured’s Unique ID, which must match payer eligibility records.</t>
  </si>
  <si>
    <t>Dependent name missing or incorrect → claim rejected.
DOB mismatch between dependent and payer records → denial applied.
Relationship to insured not indicated → rejection issued.
Dependent not listed on policy → claim denied.
System failed to transmit dependent details → claim unprocessable.</t>
  </si>
  <si>
    <t>Missing dependent information during registration.
Incorrect or outdated dependent demographics.
Failure to verify eligibility prior to service.
Mismatch between patient and insured details.
Staff unaware of dependent data requirements.
System or EDI mapping errors.</t>
  </si>
  <si>
    <t>Verify dependent information from insurance card or eligibility portal.
Confirm relationship to insured and coverage status.
Update claim with accurate dependent details.
Ensure consistency across all demographic fields.
Resubmit corrected claim.
Confirm claim acceptance through clearinghouse or payer portal.</t>
  </si>
  <si>
    <t>The claim was rejected because the secondary insurance (other coverage) information was missing, incomplete, invalid, or not properly reported.</t>
  </si>
  <si>
    <t>Secondary insurance not entered → claim rejected.
Incomplete policy details (ID, group number) → denial applied.
Incorrect payer sequencing (secondary billed as primary) → rejection issued.
Mismatch between COB information and payer records → claim denied.
System failed to transmit secondary coverage details → claim unprocessable.</t>
  </si>
  <si>
    <t>Missing secondary insurance information during registration.
Incorrect or incomplete COB data.
Failure to verify patient’s full insurance coverage.
Incorrect payer sequencing.
Staff unaware of COB requirements.
System or EDI mapping errors.</t>
  </si>
  <si>
    <t>Verify secondary insurance details from patient or eligibility portal.
Confirm correct payer order (primary vs secondary).
Update claim with accurate COB and coverage information.
Include prior payer payment details if applicable.
Resubmit corrected claim.
Confirm claim acceptance through clearinghouse or payer portal.</t>
  </si>
  <si>
    <t>The claim was rejected because the Coordination of Benefits (COB) information was missing, incomplete, invalid, or not properly reported. COB data is required when a patient has multiple insurance coverages, and it ensures that payers are billed in the correct order (primary, secondary, tertiary) and that payment responsibility is accurately determined.</t>
  </si>
  <si>
    <t>Secondary claim submitted without primary payer details → claim rejected.
Missing prior payment information → denial applied.
Incorrect payer sequence (secondary billed as primary) → rejection issued.
Mismatch between EOB and submitted COB data → claim denied.
System failed to transmit COB segments → claim unprocessable.</t>
  </si>
  <si>
    <t>Missing or incomplete COB information.
Incorrect payer sequencing.
Failure to capture prior payer EOB details.
Staff unaware of COB requirements.
System or EDI mapping errors.
Incomplete insurance verification process.</t>
  </si>
  <si>
    <t>Verify all insurance coverages and payer sequence.
Obtain and review primary payer EOB.
Update claim with accurate COB details and prior payment information.
Ensure consistency between claim and EOB data.
Resubmit corrected claim.
Confirm claim acceptance through clearinghouse or payer portal.</t>
  </si>
  <si>
    <t>Missing Emergency Indicator on Institutional Claim</t>
  </si>
  <si>
    <t>The claim was rejected because the institutional claim (UB-04) did not include an indication that the service was provided on an emergency basis, even though such designation is required. Emergency indicators are critical for determining coverage exceptions, authorization waivers, and reimbursement rules, especially for services that would otherwise require prior authorization or have coverage restrictions.
Without properly identifying the service as an emergency, the payer cannot apply appropriate emergency provisions, resulting in claim rejection.
On the UB-04 claim form, emergency services are indicated using Form Locator (FL) 14 — Type of Admission (Emergency) and FL 15 — Source of Admission.</t>
  </si>
  <si>
    <t>Emergency room visit billed without emergency admission type → claim rejected.
Emergency service provided but not flagged correctly → denial applied.
Incorrect admission type selected (e.g., elective instead of emergency) → rejection issued.
Mismatch between documentation and emergency indicator → claim denied.
System failed to populate emergency indicator on UB-04 → claim unprocessable.</t>
  </si>
  <si>
    <t>Missing emergency indicator on institutional claim.
Incorrect admission type coding.
Mismatch between clinical documentation and billing data.
Staff unaware of emergency reporting requirements.
System or EDI mapping errors.</t>
  </si>
  <si>
    <t>Verify if service qualifies as an emergency based on documentation.
Update UB-04 claim with correct admission type (FL 14) and source (FL 15).
Ensure consistency between documentation and claim fields.
Resubmit corrected claim.
Appeal if denial occurred despite correct emergency designation.</t>
  </si>
  <si>
    <t>Procedure Not Paid Separately</t>
  </si>
  <si>
    <t>The claim was adjusted because the procedure/service is not separately payable and is included in the allowance for another primary service. This reflects bundling rules, where certain services are considered integral, incidental, or components of a more comprehensive procedure. As a result, only the primary service is reimbursed, and the related procedure is not paid separately.
Payers apply bundling logic based on coding guidelines (e.g., NCCI edits), global surgical packages, and contractual policies.</t>
  </si>
  <si>
    <t>Minor procedure billed with major surgery → included, not paid separately.
Pre-op or post-op service billed separately → bundled into global package.
Supplies or ancillary services included in primary procedure → denied.
Diagnostic service included in comprehensive procedure → not reimbursed separately.
Multiple related procedures billed → only primary procedure paid.</t>
  </si>
  <si>
    <t>Bundling rules under payer or NCCI guidelines.
Services considered integral to a primary procedure.
Incorrect unbundling during coding.
Lack of awareness of global package rules.
Missing appropriate modifiers for distinct services.</t>
  </si>
  <si>
    <t>Review remittance advice to identify bundled services.
Verify NCCI edits and payer bundling policies.
Ensure correct coding and modifier usage (e.g., -59, -25 if applicable).
Accept adjustment if bundling is appropriate.
Appeal if services are distinct and separately billable with documentation.</t>
  </si>
  <si>
    <t>Service Already Paid (Duplicate Payment)</t>
  </si>
  <si>
    <t>The claim was denied or adjusted because the service has already been paid by the payer. This typically indicates a duplicate submission, overlapping billing, or prior adjudication for the same service/date. Since payment has already been issued, the payer will not reimburse the same service again.
Payers use claim history, service dates, and procedure codes to detect duplicate payments and prevent overpayment.</t>
  </si>
  <si>
    <t>Same service billed twice for same date → second claim denied.
Claim resubmitted without correction indicator → treated as duplicate.
Multiple providers billing identical service → one claim denied.
System automatically resubmits claim → duplicate payment detected.
Corrected claim submitted without original reference → denied as duplicate.</t>
  </si>
  <si>
    <t>Duplicate claim submission.
Lack of visibility into prior claim status.
Improper resubmission process (missing frequency code/DCN).
Overlapping or repeated billing.
System or clearinghouse resubmission errors.</t>
  </si>
  <si>
    <t>Verify prior claim adjudication and payment details.
Confirm if current claim is duplicate or correction.
If correction → submit with proper frequency code and original claim number (DCN).
Void or adjust duplicate claim if necessary.
Appeal if denial occurred incorrectly and services are distinct.</t>
  </si>
  <si>
    <t>Payment Offset Applied to Another Claim Balance</t>
  </si>
  <si>
    <t>CO 94</t>
  </si>
  <si>
    <t>This alert indicates that the payer has deducted an amount owed (e.g., overpayment, patient responsibility, or prior balance) from the current claim payment and applied it toward an outstanding balance on another claim. This process is commonly referred to as an offset or recoupment.
Instead of issuing full payment for the current claim, the payer reallocates funds to settle previous unpaid balances, overpayments, or adjustments, reducing the net payment on the current remittance</t>
  </si>
  <si>
    <t>Overpayment from prior claim → payer recoups amount from current payment.
Outstanding balance on earlier claim → deducted from new claim payment.
Negative balance due to prior adjustment → offset applied.
Payer performs bulk recoupment across multiple claims → reduced payment issued.
Patient responsibility miscalculated previously → adjustment applied to another claim.</t>
  </si>
  <si>
    <t>Prior overpayment identified by payer.
Outstanding balance on previous claims.
Recoupment or recovery process initiated.
Adjustment or correction from earlier claim.
Payer reconciliation of accounts.</t>
  </si>
  <si>
    <t>Review ERA/EOB for offset details and referenced claim.
Identify original claim causing the balance or overpayment.
Verify accuracy of recoupment amount.
Post adjustment correctly in billing system.
Appeal if recoupment is incorrect or unsupported.</t>
  </si>
  <si>
    <t>Services Not Authorized by Network/Primary Care Provider (PCP)</t>
  </si>
  <si>
    <t>CO 198</t>
  </si>
  <si>
    <t>The claim was denied because the services were not authorized or referred by the required network provider or Primary Care Provider (PCP). Many managed care plans (e.g., HMOs) require patients to obtain referrals or authorizations from their PCP or in-network providers before receiving specialty or certain services. Without proper authorization, the payer will not cover the service.</t>
  </si>
  <si>
    <t>Missing PCP referral or network authorization.
Failure to follow managed care plan requirements.
Incorrect or absent authorization number on claim.
Patient seen by out-of-network provider without approval.
Staff unaware of referral/authorization rules.
System or workflow gaps in capturing authorization data.</t>
  </si>
  <si>
    <t>Verify if referral or authorization was required for the service.
Check if authorization was obtained and is valid.
Update claim with correct referral/authorization details.
Request retro authorization if allowed by payer.
Resubmit corrected claim.
Appeal with documentation if authorization existed but was not recognized.</t>
  </si>
  <si>
    <t>Invalid Certification Type</t>
  </si>
  <si>
    <t>The claim was rejected because the certification type (e.g., initial certification, recertification, revised certification) was missing, incomplete, invalid, or not properly reported. Certification type is required for certain services—especially home health, hospice, therapy, and other ongoing care services—to indicate the status and validity of physician authorization for treatment. Without the correct certification type, the payer cannot verify compliance with coverage requirements.</t>
  </si>
  <si>
    <t>Home health claim submitted without certification type → claim rejected.
Recertification required but not indicated → denial applied.
Incorrect certification type selected → rejection issued.
Certification type does not match service period → claim denied.
System failed to transmit certification details → claim unprocessable.</t>
  </si>
  <si>
    <t>Missing certification type during claim entry.
Incorrect or invalid certification selection.
Mismatch between certification and service dates.
Incomplete physician certification documentation.
Staff unaware of certification requirements.
System or EDI mapping errors.</t>
  </si>
  <si>
    <t>Verify certification type from clinical and physician documentation.
Ensure correct classification (initial, recertification, etc.).
Update claim with accurate certification information.
Confirm alignment with service dates and authorization.
Resubmit corrected claim.
Appeal if denial occurred despite correct certification.</t>
  </si>
  <si>
    <t>Service Not Covered for the Submitted Diagnosis/Condition</t>
  </si>
  <si>
    <t>The claim was denied because the service or procedure billed is not covered for the specific diagnosis or condition submitted. This indicates that, according to payer policy, the diagnosis does not meet the medical necessity or coverage criteria required for that service.
Unlike general non-covered services, this denial is diagnosis-specific, meaning the service may be covered under other clinical conditions but not for the one reported on the claim.
The claim was denied because the service or procedure billed is not covered for the specific diagnosis or condition submitted. This indicates that, according to payer policy, the diagnosis does not meet the medical necessity or coverage criteria required for that service.
Unlike general non-covered services, this denial is diagnosis-specific, meaning the service may be covered under other clinical conditions but not for the one reported on the claim.</t>
  </si>
  <si>
    <t>Procedure covered only for specific diagnoses → submitted diagnosis not eligible → denied.
Lab test requires qualifying diagnosis → non-covered diagnosis used → rejection issued.
Imaging service billed without approved clinical indication → denial applied.
Preventive service billed with diagnostic code → not covered under that condition.
Payer policy restricts service to certain conditions → mismatch leads to denial.</t>
  </si>
  <si>
    <t>Diagnosis does not meet payer coverage policy.
Incorrect or non-specific diagnosis coding.
Mismatch between diagnosis and procedure.
Lack of medical necessity documentation.
Staff unaware of diagnosis-based coverage rules.
Coding or system mapping errors.</t>
  </si>
  <si>
    <t>Review clinical documentation for accurate diagnosis.
Verify payer coverage policy for the service.
Update claim with appropriate and specific diagnosis (if applicable).
Ensure diagnosis supports medical necessity.
Resubmit corrected claim.
Appeal with clinical documentation if service is justified.</t>
  </si>
  <si>
    <t>Invalid Documentation Supporting Level of Service</t>
  </si>
  <si>
    <t>The claim was denied because the documentation submitted does not adequately support the level of service billed. Payers require sufficient clinical documentation to justify the complexity, intensity, and medical necessity of the reported service level (e.g., E/M levels, inpatient care, critical care).</t>
  </si>
  <si>
    <t>High-level E/M code billed but documentation supports lower level → claim denied/downcoded.
Critical care billed without sufficient documentation → denial applied.
Inpatient level of care not supported by clinical notes → rejection issued.
Missing progress notes or incomplete records → claim denied.
Documentation does not justify complexity of service → adjustment applied.</t>
  </si>
  <si>
    <t>Insufficient clinical documentation.
Mismatch between documented care and billed level.
Overcoding or incorrect level selection.
Missing required documentation elements (MDM, time, history).
Staff unfamiliar with documentation requirements.
Incomplete medical records submission.</t>
  </si>
  <si>
    <t>Review clinical documentation for completeness and accuracy.
Ensure documentation supports billed level of service.
Submit additional records if requested (ADR).
Correct coding if level is overstated and resubmit.
Appeal with detailed clinical documentation if appropriate.</t>
  </si>
  <si>
    <t>Required Attachment Missing for Claim Adjudication</t>
  </si>
  <si>
    <t>The claim was rejected or cannot be processed because a required attachment or supporting documentation was not submitted. Payers require attachments for certain services to validate medical necessity, authorization, clinical details, or compliance with policy requirements. Without the necessary documentation, the payer cannot adjudicate the claim.
Attachments may include medical records, operative reports, lab results, prior authorization approvals, treatment plans, or invoices, depending on the service billed.</t>
  </si>
  <si>
    <t>Surgical claim submitted without operative report → claim rejected.
High-cost procedure billed without medical records → denial applied.
Authorization required but approval document not attached → rejection issued.
DME claim missing invoice or proof of delivery → claim denied.
System failed to transmit attachment → claim unprocessable.</t>
  </si>
  <si>
    <t>Required documentation not submitted.
Incorrect or missing attachment indicator.
Failure to identify payer-specific attachment requirements.
System or EDI attachment transmission errors.
Staff unaware of documentation requirements.
Incomplete clinical or billing workflow.</t>
  </si>
  <si>
    <t>Identify required attachment based on payer policy.
Gather complete and accurate supporting documentation.
Submit attachment via correct channel (EDI, portal, fax).
Update claim with attachment indicator/reference if needed.
Resubmit or reopen claim with documentation.
Follow up to confirm receipt and processing.</t>
  </si>
  <si>
    <t>Sequence of Dates of Service Does Not Follow Plan Guidelines</t>
  </si>
  <si>
    <t>The claim was rejected because the sequence or order of the dates of service does not comply with the payer’s guidelines. Payers require service dates to follow a logical, chronological sequence and align with coverage rules, treatment timelines, and billing standards.
If dates are out of order, overlapping incorrectly, or inconsistent with expected care progression, the payer cannot properly adjudicate the claim.</t>
  </si>
  <si>
    <t>Denial Resulting from Post-Payment Review</t>
  </si>
  <si>
    <t>This denial indicates that the claim was initially processed and paid, but upon post-payment review (audit) by the payer, it was determined that the payment was incorrect based on medical necessity, coding, documentation, or policy compliance. As a result, the payer has reversed, reduced, or recouped the payment.
Post-payment reviews are typically conducted as part of payer audit programs, compliance checks, or fraud prevention initiatives, and may involve detailed review of medical records and billing accuracy.
This does not originate from claim submission errors but from retrospective evaluation after payment was issued.</t>
  </si>
  <si>
    <t>Service Covered Only if Specific Patient Conditions Are Met</t>
  </si>
  <si>
    <t>The claim was denied because the service is only covered when the patient meets specific clinical or eligibility conditions, and those conditions were not met or not documented on the claim. Payers establish condition-based coverage rules to ensure services are provided only when medically appropriate and necessary.
These conditions may include specific diagnoses, severity levels, prior treatments, age criteria, or clinical indicators. If the required criteria are not satisfied—or not properly documented—the service will not be reimbursed.</t>
  </si>
  <si>
    <t>Invalid Post-Operative Period Information</t>
  </si>
  <si>
    <t>Invalid Ordering Provider Address</t>
  </si>
  <si>
    <t>Invalid Service Authorization Exception Code</t>
  </si>
  <si>
    <t>Invalid Pre-Authorization Number</t>
  </si>
  <si>
    <t>Invalid Treatment Plan</t>
  </si>
  <si>
    <t>The claim was rejected because the post-operative period information (e.g., global surgery period, follow-up timeframe, or related post-op service details) was missing, incomplete, invalid, or not properly reported.
For procedures with a global surgical package, payers require accurate identification of whether services fall within or outside the post-operative period, as many follow-up services are included in the global payment and not separately reimbursable. Without proper post-op period data, the payer cannot determine correct payment eligibility.</t>
  </si>
  <si>
    <t>• Missing post-operative period information.
• Failure to apply correct modifiers for global period exceptions.
• Incorrect understanding of global surgery rules.
• Mismatch between documentation and billing.
• Staff unaware of post-op billing requirements.
• System or EDI mapping errors.</t>
  </si>
  <si>
    <t>• Review procedure and applicable global period.
• Determine if service is within or outside post-op period.
• Apply appropriate modifier (e.g., -24, -25, -58, -78, -79).
• Ensure documentation supports billing distinction.
• Update and resubmit corrected claim.
• Appeal if denial occurred despite correct post-op handling.</t>
  </si>
  <si>
    <t>• Post-op visit billed separately without modifier → denied as included.
• Service performed within global period but not identified → rejection issued.
• Incorrect post-operative period applied → claim denied.
• Follow-up procedure not distinguished from original surgery → adjustment applied.
• System failed to include post-op indicators/modifiers → claim unprocessable.</t>
  </si>
  <si>
    <t>• Procedure covered only for certain diagnoses → patient condition does not qualify → denied.
• Medication requires step therapy → prior treatment not documented → rejection issued.
• Service restricted to severe cases → mild condition submitted → denial applied.
• Age or risk-based criteria not met → claim denied.
• Required clinical indicators missing → service not covered.</t>
  </si>
  <si>
    <t>• Patient does not meet payer-defined coverage criteria.
• Missing or incorrect diagnosis coding.
• Insufficient documentation of required clinical conditions.
• Failure to follow step therapy or treatment protocols.
• Staff unaware of payer-specific coverage rules.
• Mismatch between documentation and billing data.</t>
  </si>
  <si>
    <t>• Review payer policy for condition-based coverage criteria.
• Verify if patient meets required conditions.
• Update diagnosis codes or documentation if applicable.
• Submit supporting clinical records if needed.
• Resubmit corrected claim.
• Appeal with medical justification if criteria were met but not recognized.</t>
  </si>
  <si>
    <t>• Claim initially paid → later audited → payment recouped.
• Overpayment identified during audit → adjustment applied.
• Documentation does not support billed service → payment reversed.
• Incorrect coding detected post-payment → claim adjusted.
• Medical necessity not supported upon review → denial issued.</t>
  </si>
  <si>
    <t>• Post-payment audit findings.
• Insufficient or missing documentation.
• Incorrect coding or billing practices.
• Overpayment identified by payer.
• Non-compliance with payer policies or guidelines.</t>
  </si>
  <si>
    <t>• Review payer audit findings and denial details.
• Obtain and review medical records and documentation.
• Validate whether recoupment or adjustment is accurate.
• Submit appeal with supporting documentation if appropriate.
• Correct internal billing or coding errors if identified.</t>
  </si>
  <si>
    <t>• End date earlier than start date → claim rejected.
• Dates of service not in chronological order → denial applied.
• Overlapping service periods not allowed by payer → rejection issued.
• Multiple visits billed with incorrect date sequencing → claim denied.
• Mismatch between service dates and treatment timeline → claim unprocessable.</t>
  </si>
  <si>
    <t>• Incorrect date entry or sequencing errors.
• Mismatch between clinical documentation and billing data.
• Improper handling of multi-day or recurring services.
• Staff unaware of payer date sequencing rules.
• System or EDI mapping errors.</t>
  </si>
  <si>
    <t>The claim was rejected because the servicing facility’s primary identifier (typically the NPI of the facility where services were rendered) was missing, incomplete, invalid, or not properly reported. The servicing facility identifier is required to verify the location of service, facility enrollment, and reimbursement eligibility. Without a valid identifier, the payer cannot confirm where the service was performed or validate the billing entity.</t>
  </si>
  <si>
    <t>• Service facility NPI missing → claim rejected.
• Invalid or inactive facility NPI → denial applied.
• Mismatch between facility name and NPI → rejection issued.
• Incorrect facility listed for place of service → claim denied.
• System failed to transmit servicing facility identifier → claim unprocessable.</t>
  </si>
  <si>
    <t>• Missing servicing facility identifier during claim entry.
• Incorrect or outdated facility NPI.
• Facility not enrolled or inactive with payer.
• Mismatch between facility details and payer records.
• Staff unaware of servicing facility requirements.
• System or EDI mapping errors.</t>
  </si>
  <si>
    <t>• Verify correct servicing facility NPI and details.
• Confirm facility enrollment and active status with payer.
• Update claim with accurate facility information.
• Ensure alignment between place of service and facility data.
• Resubmit corrected claim.
• Appeal if denial occurred despite valid information.</t>
  </si>
  <si>
    <t>• Review service dates against medical records.
• Ensure chronological order and logical sequencing.
• Correct any overlapping or invalid date ranges.
• Update claim with accurate date sequence.
• Resubmit corrected claim.
• Confirm claim acceptance through clearinghouse or payer portal.</t>
  </si>
  <si>
    <t>Invalid Amount Due from Primary Payer</t>
  </si>
  <si>
    <t>The claim was rejected because the amount paid or due from the primary payer was missing, incomplete, invalid, or not properly reported. In Coordination of Benefits (COB) situations, secondary payers require accurate information about what the primary payer paid and what remains unpaid in order to calculate their payment responsibility.
Without the correct primary payer amount, the secondary payer cannot determine remaining liability, patient responsibility, or coordination rules, resulting in claim rejection.</t>
  </si>
  <si>
    <t>• Secondary claim submitted without primary payment amount → claim rejected.
• Incorrect amount entered from primary EOB → denial applied.
• COB indicates prior payer but amount missing → rejection issued.
• Mismatch between EOB and claim payment amount → claim denied.
• System failed to transmit primary payer amount → claim unprocessable.</t>
  </si>
  <si>
    <t>• Obtain primary payer EOB and verify payment amount.
• Ensure accuracy of amount paid and remaining balance.
• Update claim with correct primary payer payment details.
• Align COB data with EOB information.
• Resubmit corrected claim.
• Confirm claim acceptance through clearinghouse or payer portal.</t>
  </si>
  <si>
    <t>Invalid Other Insured’s Identification Number</t>
  </si>
  <si>
    <t>The claim was rejected because the other insured’s identification number (secondary or additional policyholder ID) was missing, incomplete, invalid, or does not match payer records. This identifier is essential in Coordination of Benefits (COB) scenarios to accurately identify the secondary policyholder and determine payer responsibility.
Without a valid other insured ID, the payer cannot verify coverage, establish correct payer sequencing, or process the claim.</t>
  </si>
  <si>
    <t>• Secondary insurance ID missing → claim rejected.
• Incorrect or outdated policy number entered → denial applied.
• Mismatch between submitted ID and payer records → rejection issued.
• COB indicates other insured but ID not provided → claim denied.
• System failed to transmit other insured ID → claim unprocessable.</t>
  </si>
  <si>
    <t>• Missing secondary/other insured ID during registration.
• Incorrect or outdated insurance information.
Failure to verify COB details.
• Mismatch between billing system and payer records.
• Staff unaware of COB identification requirements.
• System or EDI mapping errors.</t>
  </si>
  <si>
    <t>• Verify other insured ID from insurance card or eligibility portal.
• Confirm accuracy of policy/group number.
• Update claim with correct other insured identification number.
• Ensure COB information is complete and consistent.
• Resubmit corrected claim.
• Confirm claim acceptance through clearinghouse or payer portal.</t>
  </si>
  <si>
    <t>Invalid Facility Primary Identifier</t>
  </si>
  <si>
    <t>Invalid Supervising Provider Information</t>
  </si>
  <si>
    <t>Invalid Subscriber Information</t>
  </si>
  <si>
    <t>The claim was rejected because the ordering provider’s address was missing, incomplete, invalid, or does not match payer records. The ordering provider (physician or qualified practitioner who requested the service) must have accurate address information for provider identification, enrollment validation, and compliance requirements.
Without a valid ordering provider address, the payer cannot verify the provider’s identity or confirm that the service was properly ordered, leading to claim rejection.
On the UB-04 claim form, ordering provider information may be included in Form Locator (FL) 78–79 — Other Provider Identifiers, depending on service requirements.</t>
  </si>
  <si>
    <t>Verify ordering provider address from enrollment records.
Ensure address matches payer records exactly.
Update claim with accurate ordering provider information.
Resubmit corrected claim.
Confirm claim acceptance through clearinghouse or payer portal.</t>
  </si>
  <si>
    <t>Invalid Onset of Current Symptoms or Illness Date</t>
  </si>
  <si>
    <t>The claim was rejected because the onset date of the patient’s current symptoms or illness was missing, incomplete, invalid, or not properly reported. This date represents when the condition first began or was first noticed, and it is critical for determining medical necessity, coverage eligibility, liability (e.g., accident or workers’ compensation), and treatment timelines.
Without a valid onset date, the payer cannot accurately assess the relationship between the diagnosis, treatment, and coverage period, resulting in claim rejection.
On the UB-04 claim form, related timing is reflected in Form Locator (FL) 12 — Admission Date and FL 6 — Statement Covers Period, along with condition codes where applicable.</t>
  </si>
  <si>
    <t>Verify onset date from clinical documentation or patient records.
Ensure date aligns with diagnosis and treatment timeline.
Update claim with accurate onset date in Box 14.
Resubmit corrected claim.
Confirm claim acceptance through clearinghouse or payer portal.</t>
  </si>
  <si>
    <t>Invalid Claim Information from Another Provider</t>
  </si>
  <si>
    <t>The claim was rejected because required information from another provider involved in the care or claim (e.g., referring provider, rendering provider, or prior servicing provider) was missing, incomplete, invalid, or not properly reported.
This is commonly seen in scenarios involving Coordination of Benefits (COB), shared care, referrals, or multi-provider services, where the payer requires details about other providers who previously treated the patient or were involved in the service. Without this information, the payer cannot validate the claim or determine appropriate reimbursement.</t>
  </si>
  <si>
    <t>Claim requires referring provider details but missing → claim rejected.
Multi-provider service billed without prior provider info → denial applied.
COB claim missing prior servicing provider details → rejection issued.
Mismatch between providers involved in care → claim denied.
System failed to transmit other provider information → claim unprocessable.</t>
  </si>
  <si>
    <t>Missing information about another involved provider.
Incomplete or incorrect provider identifiers (NPI, name).
Failure to capture referral or prior provider details.
Staff unaware of multi-provider reporting requirements.
System or EDI mapping errors.
Incomplete coordination between providers and billing.</t>
  </si>
  <si>
    <t>Identify all providers involved in the service or care.
Verify correct provider details (name, NPI, role).
Update claim with complete and accurate provider information.
Ensure alignment with documentation and referral records.
Resubmit corrected claim.
Confirm claim acceptance through clearinghouse or payer portal.</t>
  </si>
  <si>
    <t>Patient Does Not Meet Spend-Down</t>
  </si>
  <si>
    <t>The claim was denied because the patient has not met the required incurred expense (spend-down) amount under their plan—commonly seen in Medicaid or similar programs.
A spend-down is the amount a patient must incur in medical expenses before becoming eligible for coverage during a specific period. Until this threshold is met, the payer will not cover services.
Since the required spend-down has not been satisfied, the payer considers the patient not yet eligible for benefits, and therefore denies payment for the service.</t>
  </si>
  <si>
    <t>Patient has Medicaid spend-down requirement not yet met → claim denied.
Services rendered before spend-down threshold reached → no payment issued.
Partial spend-down met but not enough for eligibility → claim rejected.
Eligibility becomes active after service date → claim denied for earlier services.
Patient unaware of spend-down requirement → services not covered.</t>
  </si>
  <si>
    <t>Patient has not met spend-down requirement.
Services rendered before eligibility activation.
Lack of eligibility verification prior to service.
Misunderstanding of Medicaid or plan-specific rules.
Incorrect assumption of active coverage.</t>
  </si>
  <si>
    <t>Verify patient eligibility and spend-down status with payer.
Confirm required spend-down amount and period.
Determine if eligibility was met after service date.
Bill patient if coverage not active at time of service.
Rebill payer if eligibility becomes retroactively active.
Appeal if denial occurred despite meeting spend-down requirements.</t>
  </si>
  <si>
    <t>Claim Spans Both Eligible and Ineligible Coverage Periods</t>
  </si>
  <si>
    <t>The claim was denied or partially processed because the dates of service on the claim span both eligible and ineligible periods of the patient’s insurance coverage. This means that part of the service period falls outside the patient’s active coverage window, making those portions non-payable.
Payers require claims to align strictly with coverage eligibility dates. If a claim includes dates before coverage began or after it ended, the payer may deny the entire claim or only process the eligible portion, depending on policy.</t>
  </si>
  <si>
    <t>Hospital stay spans coverage start date → early dates denied, later dates paid.
Therapy services billed across eligibility termination → post-termination dates denied.
Claim includes dates before insurance effective date → denial applied.
Coverage ended mid-treatment → claim partially processed.
Incorrect service span submitted → entire claim rejected.</t>
  </si>
  <si>
    <t>Service dates extend beyond coverage eligibility period.
Failure to verify eligibility for entire date range.
Incorrect service span entered on claim.
Coverage start/end dates not aligned with billing.
Staff unaware of partial eligibility rules.
System or billing errors in date handling.</t>
  </si>
  <si>
    <t>Verify patient eligibility dates with payer.
Split claim into eligible and ineligible service periods if required.
Bill only for dates within active coverage.
Bill patient or secondary payer for non-covered dates.
Resubmit corrected claim with appropriate service span.
Appeal if denial occurred despite valid coverage.</t>
  </si>
  <si>
    <t>Invalid National Provider Identifier (NPI)</t>
  </si>
  <si>
    <t>The claim was rejected because the National Provider Identifier (NPI) was missing, incomplete, invalid, or does not match payer records. The NPI is a unique 10-digit identifier required for all healthcare providers and is essential for provider identification, enrollment validation, and claim adjudication.
Without a valid NPI, the payer cannot identify the billing, rendering, or servicing provider, resulting in claim rejection.
On the CMS-1500 claim form, NPIs are reported in:
Box 33a — Billing Provider NPI
Box 24J — Rendering Provider NPI
Box 32a — Service Facility NPI (if applicable)
On the UB-04 claim form, the NPI is reported in Form Locator (FL) 56 — NPI, which must match payer enrollment records.</t>
  </si>
  <si>
    <t>Billing provider NPI missing → claim rejected.
Invalid or incorrect NPI entered → denial applied.
Rendering provider NPI mismatch → rejection issued.
Inactive or non-enrolled NPI used → claim denied.
System failed to transmit NPI → claim unprocessable.</t>
  </si>
  <si>
    <t>Missing NPI during claim entry.
Incorrect or outdated NPI.
Provider not enrolled or inactive with payer.
Mismatch between NPI and provider records.
Staff unaware of NPI requirements.
System or EDI mapping errors.</t>
  </si>
  <si>
    <t>Verify correct NPI from provider records.
Confirm NPI is active and enrolled with payer.
Update claim with accurate NPI in appropriate fields.
Ensure consistency across billing, rendering, and facility NPIs.
Resubmit corrected claim.
Confirm claim acceptance through clearinghouse or payer portal.</t>
  </si>
  <si>
    <t>Services Denied Based on Statutory or Regulatory Requirements</t>
  </si>
  <si>
    <t>The claim was denied because the services do not meet applicable statutory (law-based) or regulatory requirements set by governing bodies such as Medicare, Medicaid, or federal/state regulations.
This denial indicates that the service violates legal, compliance, or policy mandates, not just payer-specific rules. These requirements may involve coverage limitations, provider qualifications, documentation standards, billing rules, or service restrictions defined by law.
Unlike standard coverage denials, this is tied to regulatory compliance, meaning payment cannot be made unless the service fully adheres to those rules.</t>
  </si>
  <si>
    <t>Service billed that is excluded under Medicare law → claim denied.
Provider not meeting regulatory requirements for service → denial applied.
Documentation does not meet federal guidelines → rejection issued.
Service violates frequency or coverage limits defined by law → claim denied.
Improper billing for regulated service (e.g., experimental treatment) → not payable.</t>
  </si>
  <si>
    <t>Non-compliance with statutory or regulatory requirements.
Service excluded under federal/state law.
Provider not meeting legal eligibility criteria.
Insufficient documentation per regulatory standards.
Incorrect coding violating compliance rules.
Lack of awareness of regulatory guidelines.</t>
  </si>
  <si>
    <t>Review applicable statutory/regulatory guidelines for the service.
Verify if service meets legal coverage requirements.
Ensure documentation supports compliance standards.
Correct coding or billing if non-compliant.
Resubmit claim if issue is correctable.
Appeal with supporting documentation if denial is incorrect.</t>
  </si>
  <si>
    <t>Invalid Prior Payer EOB Information</t>
  </si>
  <si>
    <t>Invalid Physician Progress Notes</t>
  </si>
  <si>
    <t>The claim was rejected because the prior payer’s Explanation of Benefits (EOB) information was missing, incomplete, invalid, or not properly submitted. In Coordination of Benefits (COB) situations, secondary or tertiary payers require detailed adjudication data from the primary payer, including payment amounts, adjustments, denial reasons, and claim processing details.
Without complete and accurate EOB information, the payer cannot determine remaining liability, correct payment sequencing, or patient responsibility, resulting in claim rejection.</t>
  </si>
  <si>
    <t>Secondary claim submitted without primary EOB → claim rejected.
Incomplete EOB missing adjustment details → denial applied.
Mismatch between EOB and submitted claim data → rejection issued.
Prior payer information indicated but no EOB provided → claim denied.
System failed to transmit EOB details → claim unprocessable.</t>
  </si>
  <si>
    <t>Missing primary payer EOB.
Incomplete or inaccurate EOB information.
Failure to capture EOB during payment posting.
Staff unaware of COB documentation requirements.
System or EDI mapping/attachment errors.
Gaps in secondary billing workflow.</t>
  </si>
  <si>
    <t>Obtain complete EOB from prior/primary payer.
Verify accuracy of payment, adjustment, and adjudication details.
Update claim with correct COB and EOB information.
Attach or transmit EOB via appropriate channel (EDI/portal).
Resubmit corrected claim.
Confirm claim acceptance through clearinghouse or payer portal.</t>
  </si>
  <si>
    <t>The claim was rejected because the service authorization exception code was missing, incomplete, invalid, or not properly reported. This code is used to indicate that a service was performed without standard prior authorization but qualifies under an approved exception, such as emergency services, retro authorization approvals, or special payer exceptions.
Without a valid exception code, the payer cannot determine whether the service should be processed despite missing or deviating from normal authorization requirements, resulting in claim rejection.</t>
  </si>
  <si>
    <t>Emergency service provided without prior authorization → exception code not included → claim rejected.
Retro authorization approved but not indicated on claim → denial applied.
Invalid or incorrect exception code submitted → rejection issued.
Service qualifies for authorization waiver but not documented → claim denied.
System failed to transmit exception code → claim unprocessable.</t>
  </si>
  <si>
    <t>Missing service authorization exception code.
Incorrect or invalid exception code selection.
Failure to document authorization exceptions.
Staff unaware of exception coding requirements.
Mismatch between authorization status and claim data.
System or EDI mapping errors.</t>
  </si>
  <si>
    <t>Verify if service qualifies for an authorization exception.
Obtain correct exception code from payer guidelines.
Update claim with valid exception code and supporting details.
Ensure alignment with clinical documentation.
Resubmit corrected claim.
Appeal if denial occurred despite valid exception.</t>
  </si>
  <si>
    <t>Invalid Date of Last Menstrual Period (LMP)</t>
  </si>
  <si>
    <t>The claim was rejected because the date of the patient’s last menstrual period (LMP) was missing, incomplete, invalid, or not properly reported. This information is required for maternity, obstetric, and pregnancy-related services to determine gestational age, medical necessity, and appropriate coverage.
Without a valid LMP date, the payer cannot accurately assess the timeline of pregnancy-related care, which impacts eligibility, diagnosis validation, and reimbursement.</t>
  </si>
  <si>
    <t>Maternity claim submitted without LMP → claim rejected.
Invalid or future LMP date entered → denial applied.
Mismatch between LMP and gestational age → rejection issued.
Pregnancy-related service billed without required LMP → claim denied.
System failed to transmit LMP date → claim unprocessable.</t>
  </si>
  <si>
    <t>Missing LMP during patient intake or documentation.
Incorrect or invalid date entry.
Mismatch between clinical records and billing data.
Staff unaware of maternity billing requirements.
System or EDI mapping errors.</t>
  </si>
  <si>
    <t>Verify LMP from clinical or patient records.
Ensure date aligns with pregnancy timeline and services.
Update claim with accurate LMP in Box 14.
Resubmit corrected claim.
Confirm claim acceptance through clearinghouse or payer portal.</t>
  </si>
  <si>
    <t>The claim was rejected because the pre-authorization (prior authorization) number was missing, incomplete, invalid, or does not match payer records. Many services—such as surgeries, imaging, inpatient admissions, specialty care, and certain high-cost procedures—require a valid authorization number to confirm medical necessity and payer approval prior to service.
Without a valid authorization number, the payer cannot verify that the service was approved, resulting in claim rejection or denial.</t>
  </si>
  <si>
    <t>Authorization obtained but not entered on claim → claim rejected.
Invalid or incorrect authorization number submitted → denial applied.
Expired authorization used → rejection issued.
Authorization does not match service or dates → claim denied.
System failed to transmit authorization number → claim unprocessable.</t>
  </si>
  <si>
    <t>Missing authorization number during claim submission.
Incorrect or invalid authorization details.
Expired or mismatched authorization.
Failure to verify authorization prior to service.
Staff unaware of authorization requirements.
System or EDI mapping errors.</t>
  </si>
  <si>
    <t>Verify authorization number from payer or authorization records.
Ensure authorization is valid for service, provider, and dates.
Update claim with correct authorization number.
Resubmit corrected claim.
Request retro authorization if allowed.
Appeal with documentation if authorization existed but was not recognized.</t>
  </si>
  <si>
    <t>The claim was rejected because the required treatment plan was missing, incomplete, invalid, or not properly submitted. Treatment plans are required for certain services—such as therapy (PT/OT/ST), behavioral health, dental procedures, home health, and long-term care—to outline the planned course of treatment, goals, frequency, duration, and medical necessity.
Without a valid treatment plan, the payer cannot determine whether the services are appropriate, authorized, or medically necessary, resulting in claim rejection.</t>
  </si>
  <si>
    <t>Therapy services billed without treatment plan → claim rejected.
Incomplete plan missing frequency or duration → denial applied.
Behavioral health services without documented plan → rejection issued.
Treatment plan does not match billed services → claim denied.
System failed to attach treatment plan → claim unprocessable.</t>
  </si>
  <si>
    <t>Missing treatment plan documentation.
Incomplete or inaccurate treatment plan details.
Mismatch between plan and billed services.
Failure to attach required documentation.
Staff unaware of treatment plan requirements.
System or EDI attachment errors.</t>
  </si>
  <si>
    <t>Obtain complete treatment plan from provider.
Verify plan includes required elements (goals, frequency, duration).
Ensure alignment between treatment plan and billed services.
Attach treatment plan via appropriate channel (EDI/portal).
Resubmit corrected claim.
Appeal if denial occurred despite proper documentation.</t>
  </si>
  <si>
    <t>Denied Due to Not Meeting Coverage</t>
  </si>
  <si>
    <t>CO 50</t>
  </si>
  <si>
    <t>The claim was adjusted or denied because the service did not meet the payer’s coverage or program-specific guidelines. These guidelines may include medical necessity criteria, frequency limits, clinical protocols, authorization requirements, or benefit rules established by the payer or regulatory program.
This denial indicates that although the service may be valid, it does not comply with specific conditions required for reimbursement under the plan or program.</t>
  </si>
  <si>
    <t>Service exceeds payer frequency limits → claim denied.
Procedure does not meet medical necessity criteria → adjustment applied.
Required authorization or documentation missing → rejection issued.
Service performed outside covered guidelines → claim denied.
Clinical protocol not followed (e.g., step therapy) → denial applied.</t>
  </si>
  <si>
    <t>Failure to meet payer coverage or program guidelines.
Missing or insufficient medical necessity documentation.
Incorrect or unsupported diagnosis coding.
Exceeding frequency or benefit limits.
Lack of authorization or required approvals.
Staff unaware of payer-specific policies.</t>
  </si>
  <si>
    <t>Review payer coverage and program guidelines for the service.
Verify if all criteria (medical necessity, authorization, limits) were met.
Update diagnosis or documentation if applicable.
Submit supporting clinical documentation.
Resubmit corrected claim.
Appeal with justification if service meets guidelines.</t>
  </si>
  <si>
    <t>Denied Because Original Claim Was Not Adjudicated</t>
  </si>
  <si>
    <t>The claim was denied because the original claim for this service was not processed as a covered service, and therefore any related, subsequent, or adjusted claims are also not eligible for payment.
This typically occurs when a corrected, replacement, or follow-up claim is submitted, but the original claim was denied as non-covered, making the new submission invalid unless the original issue is resolved.
Payers require the base/original claim to be payable before processing any related claims. If the original claim is denied for coverage reasons, all dependent claims will also be denied.</t>
  </si>
  <si>
    <t>Original claim denied as non-covered → corrected claim also denied.
Resubmission without fixing original denial → repeated denial issued.
Dependent claim submitted before original adjudication → rejected.
Adjustment submitted on non-covered service → claim denied.
Original claim not processed successfully → follow-up claim invalid.</t>
  </si>
  <si>
    <t>Original claim denied as non-covered service.
Failure to resolve initial denial before resubmission.
Incorrect resubmission or correction process.
Missing or invalid reference to original claim.
Lack of awareness of claim dependency rules.</t>
  </si>
  <si>
    <t>Review original claim and denial reason.
Resolve coverage issue on original claim (coding, documentation, eligibility).
Appeal or correct original claim as needed.
Once original claim is payable, resubmit corrected or related claim.
Ensure proper reference to original claim number (DCN).</t>
  </si>
  <si>
    <t>Invalid Treatment Dates</t>
  </si>
  <si>
    <t>Invalid Pregnancy Indicator</t>
  </si>
  <si>
    <t>The claim was rejected because the rendering provider identifier (typically NPI or other required identifier) was missing, incomplete, invalid, or not properly reported. The rendering provider is the individual who performed or supervised the service, and their identifier is required for provider validation, credentialing, and reimbursement eligibility.
Without a valid rendering provider identifier, the payer cannot confirm who performed the service, resulting in claim rejection.</t>
  </si>
  <si>
    <t>Rendering provider NPI missing → claim rejected.
Invalid or inactive NPI submitted → denial applied.
Mismatch between rendering provider and service billed → rejection issued.
Rendering provider not enrolled with payer → claim denied.
System failed to transmit rendering provider identifier → claim unprocessable.</t>
  </si>
  <si>
    <t>Missing rendering provider identifier during claim entry.
Incorrect or outdated NPI.
Rendering provider not enrolled or inactive with payer.
Mismatch between documentation and billing data.
Staff unaware of rendering provider requirements.
System or EDI mapping errors.</t>
  </si>
  <si>
    <t>Verify rendering provider identifier from medical records.
Confirm valid and active NPI with payer.
Update claim with accurate rendering provider identifier.
Ensure alignment with billing provider and documentation.
Resubmit corrected claim.
Appeal if denial occurred despite valid information.</t>
  </si>
  <si>
    <t>The claim was rejected because the facility’s primary identifier (typically the facility NPI) was missing, incomplete, invalid, or does not match payer enrollment records. The facility identifier is required to verify the location of service, billing entity, and eligibility for reimbursement.
Without a valid facility identifier, the payer cannot confirm the facility’s enrollment status or association with the billed services, resulting in claim rejection.</t>
  </si>
  <si>
    <t>Facility NPI missing → claim rejected.
Invalid or inactive facility NPI → denial applied.
Mismatch between facility name and NPI → rejection issued.
Facility not enrolled with payer → claim denied.
System failed to transmit facility identifier → claim unprocessable.</t>
  </si>
  <si>
    <t>Missing facility identifier during claim entry.
Incorrect or outdated facility NPI.
Facility not enrolled or inactive with payer.
Mismatch between billing system and payer records.
Staff unaware of facility identifier requirements.
System or EDI mapping errors.</t>
  </si>
  <si>
    <t>Verify correct facility NPI from enrollment records.
Confirm facility is active and enrolled with payer.
Update claim with accurate facility identifier.
Ensure consistency between facility name and NPI.
Resubmit corrected claim.
Confirm claim acceptance through clearinghouse or payer portal.</t>
  </si>
  <si>
    <t>The claim was rejected because the supervising provider information (such as name, NPI, or other required identifiers) was missing, incomplete, invalid, or not properly reported. A supervising provider is required in scenarios where services are performed under supervision requirements (e.g., incident-to services, certain diagnostic tests, resident supervision, or non-physician practitioners).
On the UB-04 claim form, supervising provider information may be included in Form Locator (FL) 76–79 — Attending/Operating/Other Providers, based on the service type.</t>
  </si>
  <si>
    <t>Supervising provider NPI missing for incident-to service → claim rejected.
Invalid or inactive supervising provider NPI → denial applied.
Service requiring supervision billed without supervising provider → rejection issued.
Mismatch between supervising and rendering provider → claim denied.
System failed to transmit supervising provider details → claim unprocessable.</t>
  </si>
  <si>
    <t>Missing supervising provider information during claim entry.
Incorrect or outdated supervising provider NPI.
Failure to identify supervision-required services.
Mismatch between documentation and billing data.
Staff unaware of supervision requirements.
System or EDI mapping errors.</t>
  </si>
  <si>
    <t>Verify supervising provider details from clinical documentation.
Confirm valid and active NPI.
Update claim with accurate supervising provider information.
Ensure alignment between rendering and supervising providers.
Resubmit corrected claim.
Appeal if denial occurred despite valid information.</t>
  </si>
  <si>
    <t>• Ordering provider address missing → claim rejected.
• Incomplete address (missing ZIP/state) → denial applied.
• Mismatch between submitted address and payer records → rejection issued.
• Outdated ordering provider address used → claim denied.
• System failed to transmit ordering provider address → claim unprocessable.</t>
  </si>
  <si>
    <t>• Onset date field left blank → claim rejected.
• Invalid or future onset date entered → denial applied.
• Mismatch between onset date and service dates → rejection issued.
• Accident-related claim missing injury onset date → claim denied.
• System failed to transmit onset date → claim unprocessable.</t>
  </si>
  <si>
    <t>• Missing ordering provider address during claim entry.
• Incorrect or outdated provider demographic information.
• Mismatch between billing system and payer enrollment records.
• Staff unaware of ordering provider requirements.
• System or EDI mapping errors.
• Incomplete provider setup in billing system.</t>
  </si>
  <si>
    <t>• Missing onset date during registration or claim entry.
• Incorrect or invalid date format.
• Mismatch between clinical documentation and billing data.
• Failure to capture condition onset during intake.
• Staff unaware of onset date requirements.
• System or EDI mapping errors.</t>
  </si>
  <si>
    <t>Invalid Date of Service</t>
  </si>
  <si>
    <t>The claim was rejected because the date of service (DOS) was missing, incomplete, invalid, or not properly reported. The date of service is a critical data element used to determine coverage eligibility, timely filing compliance, medical necessity, and reimbursement accuracy.
If the DOS is incorrect, missing, or inconsistent with payer records or eligibility periods, the payer cannot adjudicate the claim.</t>
  </si>
  <si>
    <t>Date of service missing → claim rejected.
Invalid or incorrect date format entered → denial applied.
Future date of service submitted → rejection issued.
Mismatch between service date and eligibility → claim denied.
System failed to transmit date of service → claim unprocessable.</t>
  </si>
  <si>
    <t>Missing date of service during claim entry.
Incorrect or invalid date format.
Mismatch between clinical documentation and billing data.
Failure to verify eligibility for service date.
Staff unaware of DOS requirements.
System or EDI mapping errors.</t>
  </si>
  <si>
    <t>Verify correct date of service from medical records.
Ensure DOS aligns with eligibility and treatment timeline.
Update claim with accurate date(s) of service.
Resubmit corrected claim.
Confirm claim acceptance through clearinghouse or payer portal.</t>
  </si>
  <si>
    <t>The claim was rejected because the subscriber (insured/policyholder) information was missing, incomplete, invalid, or does not match payer records. Subscriber information is critical for eligibility verification, coverage determination, and claim adjudication.
This includes details such as subscriber name, ID number, date of birth, and relationship to patient. If any of these elements are incorrect or missing, the payer cannot identify the correct policy or process the claim.
On the CMS-1500 claim form, subscriber information is reported in:
Box 1a — Insured’s ID Number
Box 4 — Insured’s Name
Box 7 — Insured’s Address
Box 11 — Insured’s Policy/Group Information
On the UB-04 claim form, this information is reflected in:
Form Locator (FL) 58 — Insured’s Name
FL 59 — Patient Relationship
FL 60 — Insured’s Unique ID</t>
  </si>
  <si>
    <t>Subscriber ID missing → claim rejected.
Incorrect subscriber name or DOB → denial applied.
Mismatch between submitted data and payer records → rejection issued.
Wrong subscriber selected (e.g., spouse vs self) → claim denied.
System failed to transmit subscriber details → claim unprocessable.</t>
  </si>
  <si>
    <t>Missing subscriber information during registration.
Incorrect or outdated insurance details.
Mismatch between billing system and payer records.
Failure to verify eligibility prior to service.
Staff unaware of subscriber data requirements.
System or EDI mapping errors.</t>
  </si>
  <si>
    <t>Verify subscriber information from insurance card or eligibility portal.
Confirm accuracy of ID, name, DOB, and policy details.
Update claim with correct subscriber information.
Ensure consistency across all demographic fields.
Resubmit corrected claim.
Confirm claim acceptance through clearinghouse or payer portal.</t>
  </si>
  <si>
    <t>Invalid Information for Ambulatory Surgical Center (ASC)</t>
  </si>
  <si>
    <t>The claim was rejected because the required information related to Ambulatory Surgical Center (ASC) procedures was missing, incomplete, invalid, or not properly reported. ASC claims must include specific details such as procedure codes, modifiers, facility identifiers, surgeon information, and compliance with ASC billing guidelines.
Without complete and accurate ASC-specific data, the payer cannot validate the procedure, facility eligibility, reimbursement methodology, or compliance with ASC payment rules, resulting in claim rejection.</t>
  </si>
  <si>
    <t>ASC procedure billed without required modifier → claim rejected.
Missing facility NPI or ASC identifier → denial applied.
Incorrect revenue code for ASC service → rejection issued.
Procedure billed does not align with ASC guidelines → claim denied.
System failed to transmit ASC-specific data → claim unprocessable.</t>
  </si>
  <si>
    <t>Missing ASC-specific billing information.
Incorrect or incomplete procedure coding/modifiers.
Invalid or missing facility identifier.
Mismatch between ASC documentation and claim data.
Staff unaware of ASC billing requirements.
System or EDI mapping errors.</t>
  </si>
  <si>
    <t>Verify ASC procedure details and documentation.
Ensure correct CPT/HCPCS codes and required modifiers.
Confirm facility NPI and ASC enrollment status.
Update claim with complete and accurate ASC information.
Resubmit corrected claim.
Appeal if denial occurred despite correct information.</t>
  </si>
  <si>
    <t>The claim was rejected because the required clinical or laboratory findings/report was missing, incomplete, invalid, or not properly submitted. Many services—especially laboratory tests, pathology, diagnostic imaging, and specialized procedures—require supporting clinical results, test findings, or interpretation reports to validate medical necessity and accuracy of the service billed.
Without these findings, the payer cannot confirm that the service was performed appropriately, medically necessary, or consistent with the diagnosis, resulting in claim rejection.</t>
  </si>
  <si>
    <t>Invalid Clinical/Laboratory Findings Report</t>
  </si>
  <si>
    <t>Lab test billed without result report → claim rejected.
Pathology service submitted without findings → denial applied.
Imaging procedure billed without interpretation report → rejection issued.
Incomplete clinical findings submitted → claim denied.
System failed to attach lab/clinical report → claim unprocessable.</t>
  </si>
  <si>
    <t>Missing clinical or lab report.
Incomplete or invalid findings documentation.
Failure to attach required supporting documents.
Mismatch between billed service and submitted findings.
Staff unaware of documentation requirements.
System or EDI attachment errors.</t>
  </si>
  <si>
    <t>Obtain complete clinical/laboratory findings report.
Verify accuracy and completeness of results.
Attach documentation via correct channel (EDI/portal).
Ensure alignment between findings and billed service.
Resubmit corrected claim.
Follow up to confirm receipt and processing.</t>
  </si>
  <si>
    <t>Invalid Medical Record Number</t>
  </si>
  <si>
    <t>The claim was denied because the physician progress notes—which document the patient’s condition, treatment, and clinical decision-making—were missing, incomplete, invalid, or not properly submitted.
Progress notes are essential to support medical necessity, level of service, and continuity of care. Payers rely on these notes to validate that the service was performed, appropriate, and justified based on the patient’s condition.</t>
  </si>
  <si>
    <t>E/M service billed without progress notes → claim denied.
Incomplete notes missing key elements (history, exam, MDM) → denial applied.
Progress notes not submitted during audit/ADR → rejection issued.
Documentation does not support billed service → claim denied.
System failed to attach progress notes → claim unprocessable.</t>
  </si>
  <si>
    <t>Missing physician progress notes.
Incomplete or insufficient documentation.
Mismatch between notes and billed services.
Failure to submit documentation when requested (ADR).
Staff unaware of documentation requirements.
System or workflow gaps in document attachment.</t>
  </si>
  <si>
    <t>Retrieve complete physician progress notes from medical records.
Ensure notes include required elements (history, exam, MDM, plan).
Verify alignment with billed services and diagnosis.
Submit notes via appropriate channel (EDI, portal, or audit request).
Resubmit claim or respond to payer request.
Appeal with supporting documentation if necessary.</t>
  </si>
  <si>
    <t>Patient Ineligible for the Service</t>
  </si>
  <si>
    <t>CO 26/27</t>
  </si>
  <si>
    <t>The claim was denied because the patient is not eligible for coverage for this specific service under their insurance plan at the time it was rendered. This may be due to inactive coverage, benefit restrictions, eligibility limitations, or plan-specific exclusions.
This differs from general eligibility denials, as the patient may have active coverage, but the specific service is not eligible under their plan conditions or status.</t>
  </si>
  <si>
    <t>Patient coverage active but service excluded → claim denied.
Service requires specific eligibility criteria not met → denial applied.
Patient not eligible on date of service → rejection issued.
Benefit category not available under plan → claim denied.
Eligibility lapse or restriction applies → service not covered.</t>
  </si>
  <si>
    <t>Patient not eligible for the specific service.
Coverage limitations or exclusions under plan.
Eligibility not verified prior to service.
Mismatch between service and benefit category.
Incorrect assumption of coverage.
Staff unaware of plan-specific eligibility rules.</t>
  </si>
  <si>
    <t>Exceeded Exercise Time/Number/Frequency</t>
  </si>
  <si>
    <t>The claim was denied or adjusted because the exercise-related service details—such as time spent, number of sessions, frequency, program type, or institutional/program information—were missing, incomplete, invalid, exceeded allowed limits, or not properly reported.</t>
  </si>
  <si>
    <t>Therapy/exercise sessions billed without duration → claim denied.
Number of sessions exceeds payer limit → denial applied.
Frequency of visits not documented → rejection issued.
Program type (e.g., cardiac rehab) not specified → claim denied.
Mismatch between billed units and documented time → claim unprocessable.</t>
  </si>
  <si>
    <t>Missing or incomplete exercise/service details.
Exceeding payer frequency or session limits.
Incorrect unit or time reporting.
Mismatch between documentation and billing.
Staff unaware of program-specific requirements.
System or EDI mapping errors.</t>
  </si>
  <si>
    <t>Review clinical documentation for exercise/service details.
Verify time, number of sessions, and frequency.
Ensure compliance with payer limits and program guidelines.
Update claim with accurate units and program information.
Resubmit corrected claim.
Appeal if denial occurred despite valid documentation.</t>
  </si>
  <si>
    <t>Invalid Health Care Provider Taxonomy Code</t>
  </si>
  <si>
    <t>The claim was rejected because the treatment dates (start date, end date, or specific service dates within a treatment plan) were missing, incomplete, invalid, or not properly reported. Treatment dates are essential for determining medical necessity, continuity of care, coverage eligibility, and compliance with payer guidelines.
Without accurate treatment dates, the payer cannot validate when services were provided, whether they fall within authorized or eligible periods, or if they align with the treatment plan, resulting in claim rejection.</t>
  </si>
  <si>
    <t>Treatment start or end date missing → claim rejected.
Invalid date range (end date before start date) → denial applied.
Mismatch between treatment plan and service dates → rejection issued.
Dates fall outside authorization or eligibility period → claim denied.
System failed to transmit treatment dates → claim unprocessable.</t>
  </si>
  <si>
    <t>Missing treatment dates during claim entry.
Incorrect or invalid date sequencing.
Mismatch between clinical documentation and billing data.
Failure to align treatment dates with authorization or eligibility.
Staff unaware of treatment date requirements.
System or EDI mapping errors.</t>
  </si>
  <si>
    <t>Pre-certification / Notification Absent or Insufficient</t>
  </si>
  <si>
    <t>CO 197/198</t>
  </si>
  <si>
    <t>The claim was denied because the required prior authorization, pre-certification, or notification was missing, insufficient, or not properly obtained before the service was rendered. Many payers require advance approval for certain services to ensure medical necessity, cost control, and compliance with plan guidelines.
If authorization was not obtained—or was incomplete, expired, or did not match the service—the payer will deny or reduce payment.</t>
  </si>
  <si>
    <t>Surgery performed without prior authorization → claim denied.
Authorization obtained but expired → denial applied.
Authorization does not match CPT code or dates → rejection issued.
Notification required but not submitted → claim denied.
Incomplete authorization details → claim unprocessable.</t>
  </si>
  <si>
    <t>Failure to obtain prior authorization.
Incorrect or incomplete authorization details.
Authorization expired or mismatched with service.
Lack of awareness of payer authorization requirements.
Breakdown in scheduling/authorization workflow.
System or data entry errors.</t>
  </si>
  <si>
    <t>Verify if authorization was required for the service.
Check if authorization was obtained and valid.
Update claim with correct authorization details.
Request retro authorization if allowed by payer.
Resubmit corrected claim.
Appeal with supporting documentation if authorization existed but was not recognized.</t>
  </si>
  <si>
    <t>Home Health Visits Limited to Physician Certification</t>
  </si>
  <si>
    <t>This alert indicates that home health visits are covered only to the extent certified by the physician, and payment has been limited accordingly. The payer relies on the physician’s certification and plan of care to determine the number, frequency, and duration of home health visits that are medically necessary and eligible for reimbursement.</t>
  </si>
  <si>
    <t>More visits billed than authorized in plan of care → excess visits denied.
Frequency of visits exceeds physician certification → adjustment applied.
Services billed outside certified period → claim denied.
Plan of care not updated for additional visits → non-payment issued.
Mismatch between billed visits and certification → claim adjusted.</t>
  </si>
  <si>
    <t>Visits exceed physician-certified limits.
Plan of care not updated or recertified.
Mismatch between documentation and billing.
Failure to track authorized visit counts.
Staff unaware of certification limitations.</t>
  </si>
  <si>
    <t>Review physician certification and plan of care.
Verify number and frequency of authorized visits.
Ensure billed services align with certification period.
Update plan of care or obtain recertification if needed.
Resubmit corrected claim if applicable.
Appeal if denial occurred despite valid certification.</t>
  </si>
  <si>
    <t>Invalid Date of Birth for the Insured</t>
  </si>
  <si>
    <t>The claim was rejected because the insured’s date of birth (DOB) was missing, incomplete, invalid, or does not match payer records. The insured’s DOB is a critical demographic element used for identity verification, eligibility validation, and accurate claim adjudication.
Without a valid DOB, the payer cannot correctly identify the insured or confirm coverage, resulting in claim rejection.
On the CMS-1500 claim form, the insured’s DOB is associated with Box 11a — Insured’s Date of Birth/Sex, which must align with Box 1a — Insured’s ID Number. On the UB-04 claim form, this information is reflected in Form Locator (FL) 58 — Insured’s Name and FL 60 — Insured’s Unique ID, with DOB maintained in payer eligibility records.</t>
  </si>
  <si>
    <t>Insured DOB missing → claim rejected.
Incorrect DOB entered → denial applied.
Mismatch between submitted DOB and payer records → rejection issued.
Default or placeholder DOB used → claim denied.
System failed to transmit DOB → claim unprocessable.</t>
  </si>
  <si>
    <t>Missing DOB during registration.
Incorrect or outdated insured demographic information.
Mismatch between billing system and payer records.
Failure to verify eligibility prior to service.
Staff unaware of demographic data requirements.
System or EDI mapping errors.</t>
  </si>
  <si>
    <t>Verify insured DOB from insurance card or eligibility portal.
Ensure DOB matches payer records exactly.
Update claim with accurate DOB information.
Resubmit corrected claim.
Confirm claim acceptance through clearinghouse or payer portal.</t>
  </si>
  <si>
    <t>The claim was rejected because the pregnancy indicator was missing, incomplete, invalid, or not properly reported. This indicator specifies whether the patient is pregnant at the time of service, which is critical for determining coverage, medical necessity, benefit eligibility, and coordination of benefits (COB)—especially for maternity-related or condition-specific services.
Without a valid pregnancy indicator, the payer cannot correctly apply maternity benefits, risk adjustments, or condition-based coverage rules, resulting in claim rejection.
On the CMS-1500 claim form, the pregnancy indicator is reported in Box 10d — Reserved for Local Use (or via EDI fields depending on payer) and supported by diagnosis codes in Box 21 (e.g., pregnancy-related ICD codes). On the UB-04 claim form, pregnancy-related information is reflected through diagnosis codes (FL 67–75) and condition codes where applicable.</t>
  </si>
  <si>
    <t>Pregnancy-related service billed without pregnancy indicator → claim rejected.
Indicator missing for OB/maternity services → denial applied.
Incorrect pregnancy status submitted → rejection issued.
Mismatch between diagnosis (pregnancy) and indicator → claim denied.
System failed to transmit pregnancy indicator → claim unprocessable.</t>
  </si>
  <si>
    <t>Missing pregnancy indicator during claim entry.
Incorrect or inconsistent pregnancy status reporting.
Mismatch between diagnosis codes and indicator.
Failure to capture pregnancy status during intake.
Staff unaware of pregnancy indicator requirements.
System or EDI mapping errors.</t>
  </si>
  <si>
    <t>Verify pregnancy status from clinical documentation.
Ensure diagnosis codes support pregnancy-related services.
Update claim with correct pregnancy indicator.
Align indicator with clinical and billing data.
Resubmit corrected claim.
Confirm claim acceptance through clearinghouse or payer portal.</t>
  </si>
  <si>
    <t>Invalid Patient’s Relationship to the Subscriber/Insured</t>
  </si>
  <si>
    <t>The claim was rejected because the patient’s relationship to the subscriber/insured (e.g., self, spouse, child, dependent) was missing, incomplete, invalid, or does not match payer records. This information is essential to determine eligibility, benefit coverage, and coordination of benefits (COB).
Without a valid relationship indicator, the payer cannot confirm how the patient is covered under the policy, resulting in claim rejection.
On the CMS-1500 claim form, the relationship is reported in Box 6 — Patient Relationship to Insured, which must align with Box 1a — Insured’s ID Number and subscriber details. On the UB-04 claim form, this is reported in Form Locator (FL) 59 — Patient Relationship, which must match payer eligibility records.</t>
  </si>
  <si>
    <t>Relationship field left blank → claim rejected.
Incorrect relationship selected (e.g., self instead of dependent) → denial applied.
Mismatch between relationship and subscriber data → rejection issued.
Dependent billed as subscriber incorrectly → claim denied.
System failed to transmit relationship code → claim unprocessable.</t>
  </si>
  <si>
    <t>Missing relationship information during registration.
Incorrect selection of relationship type.
Mismatch between patient and subscriber details.
Failure to verify eligibility and demographics.
Staff unaware of relationship coding requirements.
System or EDI mapping errors.</t>
  </si>
  <si>
    <t>Verify patient relationship from insurance card or eligibility portal.
Ensure correct relationship code (self, spouse, child, etc.).
Update claim with accurate relationship information.
Ensure consistency across all demographic fields.
Resubmit corrected claim.
Confirm claim acceptance through clearinghouse or payer portal.</t>
  </si>
  <si>
    <t>Invalid Payer Claim Number for Secondary/Tertiary Payer</t>
  </si>
  <si>
    <t>The claim was rejected because the payer claim number (also known as ICN/DCN — Internal Control Number/Document Control Number) from the primary payer was missing, incomplete, invalid, or not properly reported when billing a secondary or tertiary payer.
The claim was rejected because the payer claim number (also known as ICN/DCN — Internal Control Number/Document Control Number) from the primary payer was missing, incomplete, invalid, or not properly reported when billing a secondary or tertiary payer.</t>
  </si>
  <si>
    <t>Secondary claim submitted without primary payer ICN/DCN → claim rejected.
Invalid or incorrect claim control number entered → denial applied.
Mismatch between EOB and submitted DCN → rejection issued.
COB claim missing prior payer reference → claim denied.
System failed to transmit claim control number → claim unprocessable.</t>
  </si>
  <si>
    <t>Missing primary payer claim control number.
Incorrect or invalid ICN/DCN entry.
Failure to capture DCN during payment posting.
Staff unaware of COB claim reference requirements.
System or EDI mapping errors.
Incomplete secondary billing workflow.</t>
  </si>
  <si>
    <t>Obtain primary payer EOB and identify correct ICN/DCN.
Verify accuracy of claim control number.
Update claim with correct payer claim number in COB fields.
Ensure alignment with EOB and prior payer data.
Resubmit corrected claim.
Confirm claim acceptance through clearinghouse or payer portal.</t>
  </si>
  <si>
    <t>The claim was rejected because it was not submitted with detailed line item charges. Payers require claims to include individual service line details, rather than a single total or lump-sum charge, to properly evaluate each service, apply pricing logic, and adjudicate accurately.
Without line-level detail (e.g., procedure codes, units, charges per service), the payer cannot determine what services were provided or how reimbursement should be calculated, resulting in claim rejection.
On the CMS-1500 claim form, services must be reported individually in Box 24 — Service Lines (24A–24G), including dates, CPT/HCPCS codes, units, and charges per line. On the UB-04 claim form, services are reported in Form Locator (FL) 42–47 — Revenue Codes, HCPCS Codes, Charges, and Units, which must reflect itemized billing.</t>
  </si>
  <si>
    <t>Claim submitted with total charge only → rejected.
Multiple services billed as a single line → denial applied.
Missing individual procedure codes and charges → rejection issued.
Bundled services reported without line-level breakdown → claim denied.
System sends aggregated charges instead of detailed lines → claim unprocessable.</t>
  </si>
  <si>
    <t>Failure to itemize services on claim.
Incorrect billing format (lump sum vs line item).
Missing CPT/HCPCS codes or units.
System or EDI configuration issues.
Staff unaware of line-level billing requirements.</t>
  </si>
  <si>
    <t>Break down total charges into individual service lines.
Assign correct CPT/HCPCS codes, units, and charges per line.
Ensure each service is reported separately.
Update claim with detailed line item billing.
Resubmit corrected claim.
Confirm claim acceptance through clearinghouse or payer portal.</t>
  </si>
  <si>
    <t>Claim Must Be Billed with Line Item Charges</t>
  </si>
  <si>
    <t>Patient Does Not Qualify for Service Based on Diagnosis or Condition</t>
  </si>
  <si>
    <t>The claim was denied because the patient’s diagnosis or medical condition does not meet the payer’s criteria for coverage of the billed service. This means the service is only covered for specific diagnoses, severity levels, or clinical indications, and the submitted condition does not qualify.
This is a medical necessity and policy-based denial, where coverage depends on whether the diagnosis aligns with payer-approved indications for the service.
On the CMS-1500 claim form, diagnosis codes in Box 21 must support procedures in Box 24D — CPT/HCPCS Codes. On the UB-04 claim form, diagnosis codes in FL 67–75 must justify services billed in FL 44 — HCPCS Codes.</t>
  </si>
  <si>
    <t>Procedure covered only for specific diagnoses → submitted diagnosis not eligible → denied.
Lab test requires qualifying condition → diagnosis does not meet criteria → rejection issued.
Imaging service billed without approved clinical indication → denial applied.
Service restricted to certain severity levels → condition does not qualify → claim denied.
Preventive vs diagnostic mismatch → service not covered under submitted diagnosis.</t>
  </si>
  <si>
    <t>Diagnosis does not meet payer coverage criteria.
Incorrect or non-specific diagnosis coding.
Mismatch between diagnosis and procedure.
Insufficient documentation of medical necessity.
Staff unaware of payer-specific diagnosis requirements.
Coding or system mapping errors.</t>
  </si>
  <si>
    <t>Review clinical documentation for accurate diagnosis.
Verify payer policy for covered diagnoses/conditions.
Update claim with appropriate diagnosis (if supported).
Ensure documentation supports medical necessity.
Resubmit corrected claim.
Appeal with clinical justification if criteria were met.</t>
  </si>
  <si>
    <t>The claim was rejected because the medical record number (MRN) was missing, incomplete, invalid, or not properly reported. The MRN is a unique identifier assigned by the provider or facility to track the patient’s medical history, encounters, and documentation.
Payers may require the MRN for claim tracking, medical record retrieval, audits, or validation of services. Without a valid MRN, the payer may be unable to link the claim to the corresponding medical records, resulting in claim rejection.
On the CMS-1500 claim form, the MRN may be reported in Box 26 — Patient’s Account Number or Box 19 — Additional Claim Information, depending on payer requirements. On the UB-04 claim form, it is typically reported in Form Locator (FL) 3b — Medical Record Number</t>
  </si>
  <si>
    <t>Medical record number missing on claim → claim rejected.
Invalid or truncated MRN submitted → denial applied.
Mismatch between MRN and patient account → rejection issued.
Incorrect MRN format not accepted by payer → claim denied.
System failed to transmit MRN → claim unprocessable.</t>
  </si>
  <si>
    <t>Missing MRN during claim entry.
Incorrect or invalid MRN format.
Mismatch between MRN and patient records.
Staff unaware of MRN reporting requirements.
System or EDI mapping errors.
Incomplete patient account setup.</t>
  </si>
  <si>
    <t>Service/Procedure Partially Adjudicated</t>
  </si>
  <si>
    <t>Invalid Prior Authorization Number</t>
  </si>
  <si>
    <t>The claim was rejected because the prior authorization number was missing, incomplete, invalid, or does not match payer records. This number is required to confirm that the service was approved in advance by the payer, ensuring compliance with medical necessity and coverage requirements.
Without a valid prior authorization number, the payer cannot verify approval, resulting in claim rejection or denial.
On the CMS-1500 claim form, the authorization number is reported in Box 23 — Prior Authorization Number. On the UB-04 claim form, it is reported in Form Locator (FL) 63 — Treatment Authorization Codes, which must align with the billed services and dates.</t>
  </si>
  <si>
    <t>Authorization obtained but not entered on claim → claim rejected.
Invalid or incorrect authorization number submitted → denial applied.
Authorization expired or not valid for service dates → rejection issued.
Authorization does not match CPT code or provider → claim denied.
System failed to transmit authorization number → claim unprocessable.</t>
  </si>
  <si>
    <t>Missing prior authorization number.
Incorrect or invalid authorization details.
Expired or mismatched authorization.
Failure to verify authorization prior to service.
Staff unaware of authorization requirements.
System or EDI mapping errors.</t>
  </si>
  <si>
    <t>Verify authorization number from payer or authorization records.
Ensure authorization is valid for service, provider, and dates.
Update claim with correct authorization number.
Resubmit corrected claim.
Request retro authorization if allowed by payer.
Appeal with documentation if authorization existed but was not recognized.</t>
  </si>
  <si>
    <t>No Record of Prior Authorization</t>
  </si>
  <si>
    <t>The claim was denied because the payer has no record of a required prior authorization, preauthorization, or referral for the service billed. This means that either:
Authorization/referral was not obtained, or
It was obtained but not recognized or not on file with the payer
Payers require prior authorization or referrals for certain services to ensure medical necessity, network compliance, and cost control. Without a valid record, the claim is denied.</t>
  </si>
  <si>
    <t>Service performed without obtaining authorization → claim denied.
Authorization obtained but not linked to claim → denial applied.
Referral required from PCP but not documented → rejection issued.
Authorization exists but payer has no record → claim denied.
Incorrect authorization number submitted → treated as no authorization.</t>
  </si>
  <si>
    <t>Authorization/referral not obtained prior to service.
Authorization not recorded in payer system.
Incorrect or missing authorization number on claim.
Mismatch between authorization and billed service/provider/dates.
Staff unaware of authorization/referral requirements.
Workflow gaps between scheduling and authorization teams.</t>
  </si>
  <si>
    <t>Verify if authorization/referral was obtained.
Check payer system or portal for authorization record.
Update claim with correct authorization/referral details.
Request retro authorization if allowed.
Resubmit corrected claim.
Appeal with documentation if authorization existed but was not recognized.</t>
  </si>
  <si>
    <t>Maximum Frequency Limitation</t>
  </si>
  <si>
    <t>This alert indicates that the service was adjusted or denied because it exceeded the payer’s maximum frequency limitation. Payers define how often certain services can be performed within a specific time period (e.g., per day, month, or year) based on medical necessity and policy guidelines.
If the billed service exceeds these limits, the payer will reduce payment or deny the excess services.</t>
  </si>
  <si>
    <t>Multiple therapy sessions billed beyond allowed visits → excess denied.
Lab test performed more frequently than allowed → denial applied.
Preventive service billed more than once per year → rejection issued.
Procedure repeated within restricted timeframe → claim adjusted.
Units of service exceed daily or monthly limit → partial payment issued.</t>
  </si>
  <si>
    <t>Exceeding payer-defined frequency limits.
Lack of tracking of prior services/utilization.
Duplicate or repeated billing.
Failure to verify coverage limitations.
Staff unaware of payer frequency rules.</t>
  </si>
  <si>
    <t>Review payer policy for frequency limitations.
Verify number of services already billed for patient.
Identify if excess services were medically necessary.
Correct units or remove excess services if billed in error.
Appeal with documentation if additional services are justified.</t>
  </si>
  <si>
    <t>Invalid Date of Prior Authorization</t>
  </si>
  <si>
    <t>The claim was rejected because the date of prior authorization was missing, incomplete, invalid, or does not match payer records. In addition to the authorization number, payers require the authorization date to verify that approval was obtained before the service was rendered and within the valid timeframe.
Without a valid authorization date, the payer cannot confirm that the service falls within the approved authorization period, resulting in claim rejection or denial.</t>
  </si>
  <si>
    <t>Authorization number submitted without date → claim rejected.
Authorization date outside service period → denial applied.
Invalid or incorrect authorization date entered → rejection issued.
Authorization expired before service date → claim denied.
System failed to transmit authorization date → claim unprocessable.</t>
  </si>
  <si>
    <t>Missing authorization date during claim submission.
Incorrect or invalid date entry.
Mismatch between authorization and service dates.
Expired or improperly documented authorization.
Staff unaware of authorization date requirements.
System or EDI mapping errors.</t>
  </si>
  <si>
    <t>Verify authorization date from payer or authorization records.
Ensure authorization is valid for service dates.
Update claim with correct authorization date.
Align authorization details with billed services.
Resubmit corrected claim.
Request retro authorization if allowed.
Appeal if denial occurred despite valid authorization.</t>
  </si>
  <si>
    <t>Invalid Number of Authorized Visits/Services</t>
  </si>
  <si>
    <t>The claim was rejected because the number of authorized visits or services was missing, incomplete, invalid, or not properly reported. For services requiring prior authorization (e.g., therapy, home health, specialty care), payers specify the approved number of visits, sessions, or units.
Without this information—or if the number billed exceeds the authorized limit—the payer cannot determine whether the services fall within the approved scope, resulting in claim rejection or adjustment.</t>
  </si>
  <si>
    <t>Therapy visits billed without indicating authorized number → claim rejected.
More visits billed than approved → excess denied.
Authorization exists but visit count not submitted → rejection issued.
Mismatch between authorized units and billed units → claim denied.
System failed to transmit authorized visit count → claim unprocessable.</t>
  </si>
  <si>
    <t>Missing authorized visit/service count.
Incorrect or incomplete authorization details.
Exceeding authorized number of visits/services.
Mismatch between authorization and billed units.
Staff unaware of authorization quantity requirements.
System or EDI mapping errors.</t>
  </si>
  <si>
    <t>Verify authorization details including number of approved visits/services.
Ensure billed units align with authorized limits.
Update claim with correct authorization information.
Adjust units if overbilled or obtain additional authorization if needed.
Resubmit corrected claim.
Appeal if denial occurred despite valid authorization.</t>
  </si>
  <si>
    <t>Incorrect Billing Code for Service</t>
  </si>
  <si>
    <t>The claim was rejected because an incorrect billing code (CPT/HCPCS/revenue code) was used for the service provided. The code submitted does not accurately represent the procedure, service, or level of care performed, or it is not valid under payer guidelines.</t>
  </si>
  <si>
    <t>Wrong CPT code selected for procedure → claim rejected.
Outdated or deleted code used → denial applied.
Code does not match diagnosis or service → rejection issued.
Incorrect modifier leading to wrong code interpretation → claim denied.
Service billed under incorrect code category → claim unprocessable.</t>
  </si>
  <si>
    <t>Incorrect CPT/HCPCS/revenue code selection.
Use of outdated or invalid codes.
Mismatch between documentation and coding.
Lack of coding knowledge or updates.
Missing or incorrect modifiers.
System or coding tool errors.</t>
  </si>
  <si>
    <t>Review clinical documentation for accurate service details.
Identify correct CPT/HCPCS/revenue code.
Ensure code aligns with diagnosis and payer guidelines.
Apply appropriate modifiers if required.
Update and resubmit corrected claim.
Appeal if denial occurred despite correct coding.</t>
  </si>
  <si>
    <t>Invalid Claim Type Indicator</t>
  </si>
  <si>
    <t>The claim was rejected because the health care provider taxonomy code was missing, incomplete, invalid, or not properly reported. The taxonomy code is a 10-character alphanumeric code that identifies the provider’s specialty and classification (e.g., internal medicine, physical therapy, cardiology).
Payers use taxonomy codes to determine provider eligibility, specialty-specific reimbursement, network participation, and coverage rules. Without a valid taxonomy code, the payer cannot correctly classify the provider or process the claim.
On the CMS-1500 claim form, the taxonomy code is reported in Box 33b — Other ID# (Qualifier ZZ) and may also be included in EDI segments linked to Box 33a — NPI and Box 24J — Rendering Provider NPI. On the UB-04 claim form, taxonomy codes are typically transmitted via EDI provider segments associated with Form Locator (FL) 56 — NPI.</t>
  </si>
  <si>
    <t>Taxonomy code missing on claim → claim rejected.
Incorrect taxonomy code not matching provider specialty → denial applied.
Mismatch between NPI and taxonomy code → rejection issued.
Payer requires taxonomy for specialty billing → claim denied.
System failed to transmit taxonomy code → claim unprocessable.</t>
  </si>
  <si>
    <t>Missing taxonomy code during claim submission.
Incorrect or outdated taxonomy code.
Mismatch between provider specialty and taxonomy.
Provider enrollment not aligned with taxonomy.
Staff unaware of taxonomy requirements.
System or EDI mapping errors.</t>
  </si>
  <si>
    <t>Verify correct taxonomy code from provider enrollment records.
Ensure taxonomy aligns with provider specialty and payer records.
Update claim with valid taxonomy code (Qualifier ZZ).
Confirm consistency with NPI and billing provider details.
Resubmit corrected claim.
Confirm claim acceptance through clearinghouse or payer portal.</t>
  </si>
  <si>
    <t>Incorrect Modifier(s) for the Service</t>
  </si>
  <si>
    <t>The claim was rejected because the modifier(s) appended to the CPT/HCPCS code were incorrect, invalid, missing, or not appropriate for the service billed. Modifiers provide additional information about the service—such as distinct procedural service, multiple procedures, professional vs technical component, or special circumstances.
If modifiers are incorrect or inconsistent with payer rules, the payer cannot accurately interpret the service, leading to claim rejection or denial.
On the CMS-1500 claim form, modifiers are reported in Box 24D — CPT/HCPCS Codes (Modifier field). On the UB-04 claim form, modifiers are included in Form Locator (FL) 44 — HCPCS Codes, alongside</t>
  </si>
  <si>
    <t>Missing modifier required for distinct service (e.g., -59) → claim rejected.
Incorrect modifier applied (e.g., -26 vs -TC) → denial applied.
Multiple procedures billed without appropriate modifiers → rejection issued.
Modifier not supported by payer policy → claim denied.
Mismatch between modifier and documentation → claim unprocessable.</t>
  </si>
  <si>
    <t>Incorrect modifier selection.
Missing required modifier.
Use of outdated or invalid modifiers.
Mismatch between documentation and modifier usage.
Lack of knowledge of payer-specific modifier rules.
Coding or system errors.</t>
  </si>
  <si>
    <t>Review clinical documentation for service details.
Identify correct modifier(s) based on coding guidelines.
Ensure modifier aligns with payer-specific rules.
Update claim with appropriate modifier(s).
Resubmit corrected claim.
Appeal if denial occurred despite correct modifier usage.</t>
  </si>
  <si>
    <t>Benefit Exhausted</t>
  </si>
  <si>
    <t>The claim was denied or adjusted because the patient has exhausted the available benefits for this service under their insurance plan. This means the patient has reached the maximum allowable limit, which may be based on number of visits, units, or total dollar amount within a defined benefit period.
Once the benefit limit is reached, the payer will no longer reimburse for additional services of that type under the current plan period.</t>
  </si>
  <si>
    <t>Physical therapy visits exceed annual limit → additional visits denied.
Chiropractic services exceed covered sessions → no payment issued.
Mental health benefits reach maximum → further claims denied.
DME benefit cap reached → additional rentals not covered.
Dollar-based benefit maximum exceeded → claim denied.</t>
  </si>
  <si>
    <t>Benefit maximum reached (visits, units, or dollar limit).
High utilization of limited services.
Failure to track remaining benefits.
Lack of eligibility and benefit verification.
Plan-specific coverage limits exceeded.</t>
  </si>
  <si>
    <t>Verify benefit usage and remaining limits with payer.
Confirm that benefit maximum has been reached.
Check for secondary insurance or alternate coverage.
Inform patient of financial responsibility.
Appeal only if benefit exhaustion was applied incorrectly.</t>
  </si>
  <si>
    <t>Invalid Questionnaire/Assessment Form</t>
  </si>
  <si>
    <t>The claim was rejected because a required questionnaire or assessment form was missing, incomplete, invalid, or not properly submitted. Many payers require specific forms to capture clinical, functional, or eligibility-related information needed to support medical necessity, treatment planning, or coverage determination.
These forms may include therapy evaluations, behavioral health assessments, functional status reports, risk assessments, or payer-specific questionnaires. Without a properly completed form, the payer cannot adjudicate the claim.</t>
  </si>
  <si>
    <t>Therapy claim submitted without evaluation/assessment form → claim rejected.
Behavioral health service missing required questionnaire → denial applied.
Incomplete assessment form (missing fields/signatures) → rejection issued.
Payer-specific form not submitted → claim denied.
System failed to attach required form → claim unprocessable.</t>
  </si>
  <si>
    <t>Missing required questionnaire/assessment form.
Incomplete or improperly filled form.
Failure to identify payer-specific form requirements.
Missing signatures or required fields.
Staff unaware of documentation requirements.
System or EDI attachment errors.</t>
  </si>
  <si>
    <t>Identify required questionnaire/assessment form based on payer policy.
Obtain and complete form accurately (including signatures).
Verify all required fields are filled.
Attach form via correct submission channel (EDI/portal/fax).
Resubmit claim with supporting documentation.
Follow up to confirm receipt and processing.</t>
  </si>
  <si>
    <t>Invalid Related Procedure Code</t>
  </si>
  <si>
    <t>Invalid Facility Code Qualifier</t>
  </si>
  <si>
    <t>The claim was rejected because the related procedure code required to support the billed service was missing, incomplete, invalid, or not properly reported. Certain services must be billed in conjunction with another primary or associated procedure code to establish medical necessity, context, or correct billing relationship.</t>
  </si>
  <si>
    <t>Add-on code billed without primary procedure → claim rejected.
Supporting procedure missing for diagnostic service → denial applied.
Invalid or unrelated procedure code submitted → rejection issued.
Required base procedure not included → claim denied.
System failed to transmit related procedure code → claim unprocessable.</t>
  </si>
  <si>
    <t>Missing related/primary procedure code.
Incorrect pairing of procedure codes.
Use of add-on codes without base code.
Mismatch between documentation and billed procedures.
Staff unaware of code dependency rules.
System or EDI mapping errors.</t>
  </si>
  <si>
    <t>Review coding guidelines for required related procedures.
Identify correct primary and associated procedure codes.
Ensure proper pairing of add-on and base codes.
Update claim with complete and accurate procedure coding.
Resubmit corrected claim.
Appeal if denial occurred despite correct coding.</t>
  </si>
  <si>
    <t>The claim was rejected because the Assignment of Benefits (AOB) indicator was missing, incomplete, invalid, or not properly reported. The AOB indicator specifies whether the patient has authorized the payer to send payment directly to the provider instead of the patient.
Without a valid AOB indicator, the payer cannot determine who should receive payment (provider vs patient), which impacts claim processing and reimbursement routing.
On the CMS-1500 claim form, the AOB indicator is reported in Box 27 — Accept Assignment? (Yes/No).</t>
  </si>
  <si>
    <t>Invalid Assignment of Benefits (AOB) Indicator</t>
  </si>
  <si>
    <t>Assignment indicator left blank → claim rejected.
Invalid value entered (not Yes/No) → denial applied.
Mismatch between AOB indicator and payer records → rejection issued.
Provider expects direct payment but AOB not indicated → claim denied.
System failed to transmit AOB indicator → claim unprocessable.</t>
  </si>
  <si>
    <t>Missing AOB indicator during claim entry.
Incorrect or invalid assignment value.
Mismatch between billing system and payer requirements.
Staff unaware of assignment requirements.
System or EDI mapping errors.</t>
  </si>
  <si>
    <t>Verify assignment of benefits status from patient authorization records.
Ensure correct AOB indicator (Yes/No).
Update claim with valid assignment information in Box 27.
Resubmit corrected claim.
Confirm claim acceptance through clearinghouse or payer portal.</t>
  </si>
  <si>
    <t>Original Claim Already Processed – Submit as Corrected Claim</t>
  </si>
  <si>
    <t>This alert indicates that the original claim has already been processed by the payer, and any subsequent submission must be sent as a corrected (replacement) claim, not as a new/original claim.
If a claim is resubmitted without proper correction indicators, the payer treats it as a duplicate and rejects it. To make changes to an already processed claim, it must include corrected claim frequency codes and reference to the original claim number (ICN/DCN).
On the CMS-1500 claim form, corrected claims are submitted using frequency code “7” (replacement) or “8” (void) in Box 22 — Resubmission Code, along with the original claim number. On the UB-04 claim form, corrected claims use Type of Bill frequency codes (e.g., 117, 137, etc.),</t>
  </si>
  <si>
    <t>Claim resubmitted without correction indicator → rejected as duplicate.
Changes made to previously processed claim but sent as new claim → denial applied.
Correction needed (coding, charges) but no DCN referenced → rejection issued.
System resubmits claim instead of marking as corrected → claim denied.
Duplicate submission after payment → flagged as already processed.</t>
  </si>
  <si>
    <t>Failure to use corrected claim process.
Missing original claim reference number (ICN/DCN).
Incorrect frequency code usage.
Duplicate claim submission instead of correction.
Staff unaware of resubmission workflow.
System or clearinghouse configuration issues.</t>
  </si>
  <si>
    <t>Identify original processed claim and obtain ICN/DCN.
Determine required correction (coding, charges, demographics).
Submit claim as corrected (replacement) claim with proper frequency code.
Include original claim number in resubmission field.
Resubmit through clearinghouse or payer portal.
Verify acceptance and processing status.</t>
  </si>
  <si>
    <t>Invalid Number of Patients in Transport</t>
  </si>
  <si>
    <t>The claim was rejected because the number of patients transported during a shared or multi-patient transport service was missing, incomplete, invalid, or not properly reported.
This is commonly applicable to ambulance or medical transport services, where multiple patients may be transported simultaneously. Payers require the number of patients in the transport to correctly calculate cost allocation, reimbursement, and compliance with transport billing rules.</t>
  </si>
  <si>
    <t>Ambulance claim submitted without number of patients transported → claim rejected.
Shared transport billed as single patient without indicator → denial applied.
Incorrect patient count entered → rejection issued.
Multiple patients transported but not documented → claim denied.
System failed to transmit transport details → claim unprocessable.</t>
  </si>
  <si>
    <t>Missing patient count for shared transport.
Incorrect or invalid number of patients reported.
Failure to capture transport details during documentation.
Staff unaware of transport billing requirements.
System or EDI mapping errors.</t>
  </si>
  <si>
    <t>Verify number of patients transported from transport documentation.
Ensure accurate reporting of patient count.
Update claim with correct transport details.
Resubmit corrected claim.
Confirm claim acceptance through clearinghouse or payer portal.</t>
  </si>
  <si>
    <t>National Coverage Determination (NCD)</t>
  </si>
  <si>
    <t>The claim was denied or adjusted because the decision was based on a National Coverage Determination (NCD). An NCD is a Medicare-established policy that defines whether a specific item or service is covered nationally, including coverage criteria, limitations, and medical necessity requirements.
If the service does not meet the conditions outlined in the NCD, Medicare (or Medicare-based plans) will deny or limit payment, regardless of provider billing.</t>
  </si>
  <si>
    <t>Service not covered under Medicare NCD → claim denied.
Diagnosis does not meet NCD criteria → denial applied.
Frequency exceeds NCD limits → adjustment issued.
Service considered not medically necessary per NCD → claim denied.
Required documentation for NCD not provided → rejection issued.</t>
  </si>
  <si>
    <t>Service does not meet NCD coverage criteria.
Incorrect or unsupported diagnosis coding.
Failure to meet medical necessity requirements.
Exceeding NCD frequency or utilization limits.
Missing documentation required by NCD.
Lack of awareness of Medicare policies.</t>
  </si>
  <si>
    <t>Review applicable NCD policy for the service.
Verify if service meets coverage and medical necessity criteria.
Update diagnosis or documentation if applicable.
Submit supporting clinical documentation.
Resubmit corrected claim if criteria are met.
Appeal with strong clinical justification if appropriate.</t>
  </si>
  <si>
    <t>Invalid Comprehensive Assessment</t>
  </si>
  <si>
    <t>Invalid Discharge Plan</t>
  </si>
  <si>
    <t>The claim was rejected because the claim type indicator was missing, incomplete, invalid, or not properly reported. The claim type indicator specifies the type of claim being submitted, such as original, corrected, replacement, void, or encounter claim, and is essential for the payer to determine how the claim should be processed.
Without a valid claim type indicator, the payer cannot correctly identify the claim’s purpose or processing workflow, resulting in claim rejection.
On the UB-04 claim form, the claim type is defined by the Type of Bill (TOB), specifically the third digit (frequency code), which indicates the claim submission type.</t>
  </si>
  <si>
    <t>Corrected claim submitted without resubmission code → claim rejected.
Invalid frequency code used → denial applied.
Duplicate claim sent as original instead of corrected → rejection issued.
Void/replacement indicator missing → claim denied.
System failed to transmit claim type indicator → claim unprocessable.</t>
  </si>
  <si>
    <t>Missing claim type indicator during submission.
Incorrect or invalid resubmission/frequency code.
Failure to distinguish between original and corrected claims.
Staff unaware of claim type requirements.
System or EDI mapping errors.</t>
  </si>
  <si>
    <t>Determine correct claim type (original, corrected, void).
Verify appropriate resubmission/frequency code.
Update claim with correct claim type indicator.
Include original claim reference number if required.
Resubmit corrected claim.
Confirm claim acceptance through clearinghouse or payer portal.</t>
  </si>
  <si>
    <t>Duplicate of a Service Already Adjudicated</t>
  </si>
  <si>
    <t>The claim was rejected or denied because the same service has already been processed (adjudicated) by the payer. This means the payer has identified the submitted claim or service line as a duplicate of a previously submitted and processed claim.
Duplicate detection is based on matching key data elements such as patient, provider, date of service, procedure code, and charges. If these match a prior claim, the payer will not process it again.</t>
  </si>
  <si>
    <t>Same claim submitted twice → second claim denied as duplicate.
Claim resubmitted without correction indicator → rejected.
Multiple billings for same date/service → denial applied.
System auto-resubmits claim → duplicate rejection issued.
Secondary claim submitted incorrectly as primary → flagged as duplicate.</t>
  </si>
  <si>
    <t>Duplicate claim submission.
Failure to check claim status before resubmission.
Missing corrected claim indicator (frequency code).
System auto-resubmission errors.
Lack of coordination between billing and clearinghouse.</t>
  </si>
  <si>
    <t>Check claim status using payer portal or clearinghouse.
Identify original claim and confirm adjudication details.
Avoid resubmitting if already processed.
If correction needed, submit as corrected claim with proper reference (ICN/DCN).
Appeal only if duplicate denial is incorrect.</t>
  </si>
  <si>
    <t>Invalid Period of Care Dates/Information</t>
  </si>
  <si>
    <t>The claim was rejected because the period of care dates or related information (such as start date, end date, or care duration) was missing, incomplete, invalid, or not properly reported. The period of care defines the timeframe during which services were provided and is essential for determining coverage eligibility, medical necessity, and reimbursement.
Without accurate period of care information, the payer cannot validate when care was delivered, whether it falls within authorized or eligible periods, or how services relate to the treatment plan, resulting in claim rejection. 
On the UB-04 claim form, the care period is reported in Form Locator (FL) 6 — Statement Covers Period</t>
  </si>
  <si>
    <t>Start or end date of care missing → claim rejected.
Invalid care period (end date before start date) → denial applied.
Mismatch between treatment plan and service dates → rejection issued.
Care dates fall outside authorization or eligibility → claim denied.
System failed to transmit period of care → claim unprocessable.</t>
  </si>
  <si>
    <t>Missing period of care information during claim entry.
Incorrect or invalid date sequencing.
Mismatch between clinical documentation and billing data.
Failure to align care dates with authorization or eligibility.
Staff unaware of period of care requirements.
System or EDI mapping errors.</t>
  </si>
  <si>
    <t>Verify period of care dates from clinical records and treatment plan.
Ensure start and end dates are accurate and logical.
Align care period with authorization and eligibility.
Update claim with correct period of care information.
Resubmit corrected claim.
Confirm claim acceptance through clearinghouse or payer portal.</t>
  </si>
  <si>
    <t>The claim was denied or rejected because the required comprehensive assessment was missing, incomplete, invalid, or not properly submitted. A comprehensive assessment is a detailed evaluation of the patient’s medical condition, functional status, care needs, and treatment plan, often required for services such as home health, hospice, therapy, skilled nursing, and long-term care.
Payers rely on this assessment to determine medical necessity, level of care, and eligibility for services. Without a valid assessment, the payer cannot justify reimbursement.
On the CMS-1500 claim form, assessment details may be referenced in Box 19 — Additional Claim Information or submitted via attachments/EDI. On the UB-04 claim form, supporting documentation may be referenced in Form Locator (FL) 80 — Remarks</t>
  </si>
  <si>
    <t>Home health claim submitted without OASIS/comprehensive assessment → claim denied.
Incomplete assessment missing key elements → rejection applied.
Assessment not updated for continued care → denial issued.
Mismatch between assessment and billed services → claim denied.
System failed to attach assessment documentation → claim unprocessable.</t>
  </si>
  <si>
    <t>Missing comprehensive assessment documentation.
Incomplete or outdated assessment.
Mismatch between assessment and billed services.
Failure to submit required documentation.
Staff unaware of assessment requirements.
System or EDI attachment errors.</t>
  </si>
  <si>
    <t>Obtain complete comprehensive assessment from clinical records.
Ensure assessment includes all required elements.
Verify alignment with billed services and treatment plan.
Attach assessment via correct channel (EDI/portal).
Resubmit corrected claim.
Appeal if denial occurred despite valid documentation.</t>
  </si>
  <si>
    <t>Invalid Certification of Medical Necessity (CMN)</t>
  </si>
  <si>
    <t>The claim was denied or rejected because the Certification of Medical Necessity (CMN) was missing, incomplete, invalid, or not properly submitted. A CMN is a payer-required document, primarily used for services such as Durable Medical Equipment (DME), oxygen therapy, prosthetics, and certain specialized treatments, to certify that the service or item is medically necessary.</t>
  </si>
  <si>
    <t>DME claim submitted without CMN → claim denied.
CMN missing physician signature or date → rejection applied.
Incomplete CMN lacking required clinical details → denial issued.
Expired CMN used for ongoing service → claim denied.
System failed to attach CMN → claim unprocessable.</t>
  </si>
  <si>
    <t>Missing CMN documentation.
Incomplete or improperly filled CMN.
Missing physician signature or certification date.
Expired or outdated CMN.
Staff unaware of CMN requirements.
System or EDI attachment errors.</t>
  </si>
  <si>
    <t>Obtain completed CMN from treating physician.
Ensure CMN includes all required fields, signature, and date.
Verify CMN validity period aligns with service dates.
Attach CMN via correct submission channel (EDI/portal).
Resubmit corrected claim.
Appeal if denial occurred despite valid CMN.</t>
  </si>
  <si>
    <t>The claim was denied or rejected because the required discharge plan was missing, incomplete, invalid, or not properly submitted. A discharge plan outlines the patient’s post-care instructions, follow-up services, transition of care, and ongoing treatment needs after discharge from a facility or care setting.
Payers require a discharge plan to ensure continuity of care, medical necessity of services, and appropriate utilization of healthcare resources. Without a valid discharge plan, the payer cannot verify that the care provided and subsequent services are clinically appropriate, resulting in claim denial.
On the CMS-1500 claim form, discharge-related details may be referenced in Box 19 — Additional Claim Information or submitted via attachments. On the UB-04 claim form, discharge planning information may be tied to Form Locator (FL) 17 — Patient Discharge Status and FL 80 — Remarks</t>
  </si>
  <si>
    <t>Inpatient stay billed without discharge plan → claim denied.
Incomplete discharge plan missing follow-up care details → rejection applied.
Post-acute services billed without documented discharge planning → denial issued.
Mismatch between discharge plan and services billed → claim denied.
System failed to attach discharge documentation → claim unprocessable.</t>
  </si>
  <si>
    <t>Missing discharge plan documentation.
Incomplete or insufficient discharge details.
Mismatch between discharge plan and billed services.
Failure to submit required documentation.
Staff unaware of discharge documentation requirements.
System or EDI attachment errors.</t>
  </si>
  <si>
    <t>Obtain complete discharge plan from clinical records.
Ensure plan includes follow-up care, instructions, and transition details.
Verify alignment with billed services and level of care.
Attach discharge plan via correct submission channel (EDI/portal).
Resubmit corrected claim.
Appeal if denial occurred despite valid documentation.</t>
  </si>
  <si>
    <t>Procedure Code Not Compatible with Tooth Number/Letter</t>
  </si>
  <si>
    <t>The claim was rejected because the procedure code billed is not compatible with the reported tooth number or tooth letter. In dental billing, certain procedures are only valid for specific teeth, tooth surfaces, or arches, and must align with the correct tooth identifier.
If the procedure code does not logically correspond to the tooth number/letter submitted, the payer cannot validate the service, resulting in claim rejection.
On the ADA Dental Claim Form, tooth information is reported in Box 25 — Tooth Number(s) or Letter(s) and Box 26 — Tooth Surface(s), which must align with the procedure code in Box 29 — Procedure Code.</t>
  </si>
  <si>
    <t>Procedure billed for wrong tooth number → claim rejected.
Primary tooth code used with permanent tooth number → denial applied.
Procedure requires specific tooth surface but not provided → rejection issued.
Mismatch between procedure and tooth location → claim denied.
System mapped incorrect tooth number → claim unprocessable.</t>
  </si>
  <si>
    <t>Incorrect tooth number or letter selection.
Mismatch between procedure code and tooth anatomy.
Use of primary vs permanent tooth incorrectly.
Missing or invalid tooth surface details.
Staff unaware of dental coding rules.
System or data entry errors.</t>
  </si>
  <si>
    <t>Review clinical documentation for correct tooth identification.
Verify correct tooth number/letter and surfaces.
Ensure procedure code is appropriate for the tooth billed.
Update claim with accurate tooth and procedure details.
Resubmit corrected claim.
Confirm claim acceptance through clearinghouse or payer portal.</t>
  </si>
  <si>
    <t>Invalid Provider Identifier at Additional Payer</t>
  </si>
  <si>
    <t>The claim was rejected because the provider’s primary or secondary identifier (such as NPI, Tax ID, or payer-specific ID) was missing, incomplete, invalid, or not properly reported for an additional payer (typically in Coordination of Benefits – COB scenarios).
When billing secondary or tertiary payers, provider identifiers must be correctly submitted for all payer levels, ensuring that each payer can identify the provider consistently across claims. Without valid provider identification at the additional payer level, the claim cannot be processed.
On the CMS-1500 claim form, additional payer provider information is transmitted via EDI loops (e.g., 2330B/2420A) and supported by Box 9–9d — Other Insured Information. On the UB-04 claim form, similar provider identifiers are transmitted electronically and must align with Form Locator (FL) 56 — NPI and COB-related segments.</t>
  </si>
  <si>
    <t>Secondary claim submitted without provider NPI for additional payer → claim rejected.
Mismatch in provider ID between primary and secondary claims → denial applied.
Missing payer-specific provider ID for COB claim → rejection issued.
Invalid or inactive provider identifier at secondary payer → claim denied.
System failed to transmit provider ID in COB segment → claim unprocessable.</t>
  </si>
  <si>
    <t>Missing provider identifier for additional payer.
Incorrect or inconsistent provider IDs across payers.
Provider not enrolled with secondary/tertiary payer.
Mismatch between billing system and payer records.
Staff unaware of COB provider identification requirements.
System or EDI mapping errors.</t>
  </si>
  <si>
    <t>Verify provider identifiers (NPI, Tax ID, payer-specific IDs).
Ensure provider is enrolled with all relevant payers.
Update claim with correct provider identifiers for additional payer.
Align provider data across primary and secondary claims.
Resubmit corrected claim.
Confirm claim acceptance through clearinghouse or payer portal.</t>
  </si>
  <si>
    <t>The claim was rejected because the facility code qualifier (such as place of service qualifier, facility type code, or related identifier) was missing, incomplete, invalid, or incorrectly submitted for an additional payer in a Coordination of Benefits (COB) scenario.
When billing secondary or tertiary payers, the facility information must be clearly identified using valid qualifiers so the payer can correctly interpret where and how services were rendered. If the qualifier is absent or invalid, the payer cannot process the claim accurately.
On the CMS-1500 claim form, facility-related details are typically associated with:
Box 24B (Place of Service)
EDI loops such as 2310C / 2420C (Service Facility Location)
On the UB-04 claim form, facility information is conveyed through:
Form Locators such as FL 4 (Type of Bill) and FL 42–44 (Revenue Codes)
EDI institutional loops (e.g., 2310E)</t>
  </si>
  <si>
    <t>Secondary claim submitted with missing place of service qualifier → claim rejected.
Invalid facility type code sent to additional payer → denial issued.
Mismatch in facility qualifier between primary and secondary claims → COB rejection.
Incorrect or non-standard qualifier used in EDI loop → claim unprocessable.
System failed to populate facility qualifier in COB segment → claim denied.</t>
  </si>
  <si>
    <t>Missing facility code qualifier for additional payer.
Use of invalid or non-standard qualifier values.
Inconsistent facility data between primary and secondary claims.
Billing system not configured for COB facility mapping.
Lack of staff awareness on qualifier requirements.
EDI mapping or clearinghouse transmission errors.</t>
  </si>
  <si>
    <t>Verify facility qualifier codes (Place of Service, Type of Bill, etc.).
Ensure qualifiers match payer-specific requirements.
Correct facility information in claim (EDI loops or claim form fields).
Align facility data between primary and secondary claims.
Update system mappings for COB segments if needed.
Resubmit corrected claim.
Confirm acceptance via clearinghouse or payer portal.</t>
  </si>
  <si>
    <t>Included in another service)</t>
  </si>
  <si>
    <t>The claim was denied because the services billed are not considered related to the hospital admission.
Payers expect that services billed during an inpatient stay must be directly associated with the diagnosis, treatment, or condition that required the admission. If services appear unrelated, incidental, or independent, they are not reimbursed under the inpatient claim.
In Coordination of Benefits (COB) or inpatient billing scenarios, all services must align with:
The admitting diagnosis
The principal diagnosis
The treatment plan documented during hospitalization
On the UB-04 claim form, this is validated through:
FL 67–72 (Diagnosis Codes)
FL 42–44 (Revenue Codes / HCPCS)
FL 46 (Units of Service)
On the CMS-1500, professional services must align with inpatient context and are supported through:
Diagnosis pointers (Box 24E)
Place of Service (Box 24B – typically inpatient)</t>
  </si>
  <si>
    <t>Diagnostic test billed during admission unrelated to admitting condition → denied.
Specialist consultation unrelated to hospitalization diagnosis → rejected.
Preventive or routine service billed during inpatient stay → non-covered.
Procedure billed that does not align with inpatient treatment plan → denial issued.
Secondary payer rejects service as unrelated after primary processed inpatient claim.</t>
  </si>
  <si>
    <t>Diagnosis mismatch between service and admission.
Incorrect or missing diagnosis pointers.
Services rendered for unrelated conditions during admission.
Billing errors in linking procedures to appropriate diagnoses.
Lack of documentation supporting medical necessity.
Coding inaccuracies or incomplete clinical documentation.</t>
  </si>
  <si>
    <t>Review medical records to confirm service relevance to admission.
Validate linkage between procedure codes and diagnosis codes.
Correct diagnosis pointers or update diagnosis codes if appropriate.
Remove or separate unrelated services (bill independently if allowed).
Add supporting documentation for medical necessity (if applicable).
Resubmit corrected claim.
Monitor payer response for acceptance.</t>
  </si>
  <si>
    <t>Service Not Covered Unless Performed by Appropriate Provider Type</t>
  </si>
  <si>
    <t>The claim was denied because the service is only covered when performed by a specific provider type, and the billing provider does not meet the payer’s eligibility requirements for that service.
Payers define strict rules on which provider specialties or credentials can perform and bill certain procedures. If the provider type (e.g., physician specialty, mid-level provider, facility type) does not align with these rules, the service is considered non-covered.
Provider type validation is typically based on:
NPI taxonomy codes
Provider specialty enrollment with payer
Rendering vs billing provider roles
On the CMS-1500 claim form, this is reflected through:
Box 24J (Rendering Provider NPI)
Box 33 (Billing Provider Info)
EDI loops 2310B / 2420A (Rendering Provider)
On the UB-04 claim form, provider type is validated through:
FL 56 (NPI)
FL 76–79 (Attending/Operating Provider)
Associated taxonomy/specialty in EDI</t>
  </si>
  <si>
    <t>Procedure restricted to a specialist billed by a general physician → denied.
Service requiring licensed therapist billed under non-qualified provider → rejected.
Mid-level provider billed independently when payer requires supervising physician → denial.
Facility type not eligible for specific service (e.g., outpatient vs inpatient) → non-covered.
Provider taxonomy not matching enrolled specialty → claim rejected.</t>
  </si>
  <si>
    <t>Incorrect provider specialty or taxonomy on claim.
Provider not enrolled for that service with payer.
Rendering provider not matching service requirements.
Billing under wrong provider (billing vs rendering mismatch).
Lack of awareness of payer-specific provider rules.
Credentialing or enrollment gaps.</t>
  </si>
  <si>
    <t>Verify provider eligibility for the billed service (specialty, credentials).
Check taxonomy codes and NPI enrollment with payer.
Correct rendering/billing provider details if incorrect.
Reassign claim to appropriate qualified provider (if applicable).
Update provider enrollment or credentialing if missing.
Resubmit corrected claim.
Validate acceptance with payer or clearinghouse.</t>
  </si>
  <si>
    <t>Invalid Plan of Care</t>
  </si>
  <si>
    <t>The claim was denied because the plan of care (POC) was missing, incomplete, invalid, or not properly documented/submitted.
A plan of care is required for services such as therapy (PT/OT/ST), home health, hospice, and certain outpatient treatments, where ongoing care must be medically necessary, physician-directed, and periodically reviewed.
Payers require that the plan of care includes:
Diagnosis and treatment goals
Type, frequency, and duration of services
Ordering/referring physician authorization
Certification and recertification (as applicable)
Without a valid plan of care, the payer cannot confirm that services are medically necessary and properly authorized, resulting in denial.
On the CMS-1500 claim form, plan of care is supported through:
Box 17 (Referring Provider)
Box 21 (Diagnosis Codes)
Box 24 (Service details linked to diagnosis)
On the UB-04 claim form, supporting elements include:
FL 67–72 (Diagnosis Codes)
FL 76–79 (Attending/Ordering Provider)</t>
  </si>
  <si>
    <t>Therapy services billed without a documented plan of care → denied.
Plan of care missing physician signature or certification → rejection.
Frequency/duration of services not specified in POC → claim unprocessable.
Expired plan of care used for ongoing treatment → denial issued.
Home health services billed without valid POC on file → non-covered.</t>
  </si>
  <si>
    <t>Missing or incomplete plan of care documentation.
Lack of physician certification or signature.
Expired or outdated plan of care.
Incomplete details (frequency, duration, goals).
Poor documentation workflow or tracking.
Staff unaware of payer-specific POC requirements.</t>
  </si>
  <si>
    <t>Obtain or review plan of care documentation.
Ensure POC includes all required elements:
Diagnosis
Treatment plan
Frequency &amp; duration
Physician certification
Verify POC is current and not expired.
Attach or make documentation available if required by payer.
Update claim information to reflect correct ordering/referring provider.
Resubmit corrected claim.
Monitor payer response for approval.</t>
  </si>
  <si>
    <t>Invalid Re-certification / Re-authorization</t>
  </si>
  <si>
    <t>The claim was denied because the required re-certification or re-authorization for ongoing services was missing, incomplete, invalid, or not obtained within the required timeframe.
For services that extend over a period (e.g., therapy, home health, hospice, DME rentals, behavioral health), payers require periodic review and approval to confirm continued medical necessity. This is typically done through:
Re-certification (clinical validation by physician)
Re-authorization (payer approval for continued services)
If services continue beyond the initially approved period without proper renewal, the claim becomes non-payable.
On the CMS-1500 claim form, this is supported through:
Box 23 (Prior Authorization Number)
Box 17 (Referring/Ordering Provider)
Dates of service (Box 24A)
On the UB-04 claim form, relevant fields include:
FL 63 (Authorization Code)
FL 76–79 (Attending/Ordering Provider)
Service date spans tied to authorization periods</t>
  </si>
  <si>
    <t>Therapy continued beyond authorized visits without re-authorization → denied.
Home health services billed after certification period expired → rejection.
Missing updated physician certification for ongoing care → non-covered.
Authorization number invalid or expired at time of service → claim denied.
Re-certification obtained but not documented or linked to claim → rejection.</t>
  </si>
  <si>
    <t>Failure to track authorization or certification expiration dates.
Missing re-certification from physician.
Authorization not renewed timely with payer.
Incorrect or outdated authorization number on claim.
Poor workflow coordination between clinical and billing teams.
Lack of system alerts for expiring approvals.</t>
  </si>
  <si>
    <t>Verify authorization and certification status for dates of service.
Obtain valid re-certification (physician) or re-authorization (payer).
Ensure documentation includes:
Updated approval dates
Medical necessity justification
Update claim with correct authorization number and provider details.
Adjust dates of service if needed to match approval period.
Resubmit corrected claim.
Confirm acceptance with payer or clearinghouse.</t>
  </si>
  <si>
    <t>Incorrect Payer Submission</t>
  </si>
  <si>
    <t>The claim was rejected because it was sent to the wrong payer or incorrect payer channel, and does not align with the payer’s claim submission instructions.
Each payer has defined rules for:
Where to submit claims (primary vs secondary payer, correct insurance)
How to submit claims (electronic vs paper, specific clearinghouse routes)
What identifiers to use (payer ID, plan ID, claim type)
If a claim is routed incorrectly—such as sending a primary claim to a secondary payer, or using the wrong payer ID or submission pathway—the payer will reject it as misrouted.</t>
  </si>
  <si>
    <t>Claim sent to wrong insurance payer → rejected as misrouted.
Secondary claim submitted as primary without COB information → denial issued.
Incorrect payer ID used in EDI submission → claim not recognized.
Claim routed through wrong clearinghouse channel → rejected.
Medicare claim mistakenly sent to commercial payer → unprocessable.</t>
  </si>
  <si>
    <t>Incorrect payer selection in billing system.
Invalid or outdated payer ID.
Missing or incorrect COB sequencing (primary vs secondary).
Lack of understanding of payer submission rules.
Front-end insurance verification errors.
Clearinghouse routing configuration issues.</t>
  </si>
  <si>
    <t>Verify patient insurance details (primary, secondary, tertiary).
Confirm correct payer ID and submission route.
Check payer-specific billing instructions (EDI vs paper).
Correct COB sequencing if applicable.
Update claim with correct payer information.
Resubmit claim to the appropriate payer.
Validate claim acceptance via clearinghouse or payer portal.</t>
  </si>
  <si>
    <t>Due to Pre-existing Condition</t>
  </si>
  <si>
    <t>CO 172</t>
  </si>
  <si>
    <t>The claim was denied or adjusted because the condition being treated is considered pre-existing under the patient’s health plan coverage.
A pre-existing condition is a medical condition that:
Existed prior to the effective date of coverage, or
Was diagnosed/treated during a look-back period defined by the payer
Some payer plans impose:
Waiting periods before covering such conditions
Exclusions or limitations on benefits related to these conditions
If the services fall within these restrictions, the payer will deny or reduce payment.</t>
  </si>
  <si>
    <t>Patient receives treatment for a chronic condition shortly after policy activation → denied.
Services fall within pre-existing condition waiting period → not covered.
Diagnosis indicates condition existed before coverage start date → claim adjusted.
Secondary payer denies claim based on pre-existing clause despite primary payment → COB denial.
Insufficient documentation to prove condition is new → treated as pre-existing.</t>
  </si>
  <si>
    <t>Coverage effective date not aligned with date of service.
Payer policy includes pre-existing condition exclusion.
Incorrect or unclear diagnosis coding.
Lack of documentation proving condition onset after coverage.
Insurance verification gaps at registration.
COB rules not properly evaluated.</t>
  </si>
  <si>
    <t>Verify patient policy details:
Effective date
Pre-existing condition clause
Waiting period (if applicable)
Review medical records to determine condition onset.
Validate diagnosis coding accuracy.
Submit supporting documentation if condition is not pre-existing.
Appeal claim if denial is incorrect.
Bill patient if liability applies per payer rules.
Track payer response and finalize account resolution.</t>
  </si>
  <si>
    <t>Invalid Physician Certification of Patient Eligibility</t>
  </si>
  <si>
    <t>Reason</t>
  </si>
  <si>
    <t>The claim was denied because documentation is missing, incomplete, or invalid confirming that a physician or qualified non-physician practitioner certified the patient’s eligibility for services.
Certain services—such as home health, hospice, therapy, DME, and skilled nursing care—require formal certification of medical necessity and eligibility by an authorized provider (e.g., physician, nurse practitioner, physician assistant).
Certification must:
Be completed prior to or at the start of care
Include clinical justification and eligibility criteria
Be signed and dated by an authorized provider
Without valid certification, the payer cannot confirm that the patient qualifies for the service, resulting in denial.</t>
  </si>
  <si>
    <t>Home health services billed without physician certification → denied.
Certification present but missing provider signature/date → rejection.
Non-qualified provider issued certification → invalid documentation.
Certification completed after services started → non-compliant.
Documentation not available during audit → claim denied.</t>
  </si>
  <si>
    <t>Missing certification documentation.
Incomplete certification (missing signature, date, or required elements).
Certification by unauthorized provider type.
Delayed certification beyond allowed timeframe.
Poor documentation management or tracking.
Staff unaware of certification requirements.</t>
  </si>
  <si>
    <t>Obtain valid certification from authorized provider.
Ensure documentation includes:
Patient eligibility criteria
Medical necessity
Provider signature and date
Verify certification timing aligns with payer requirements.
Update or attach documentation as required.
Correct claim details (referring/ordering provider if needed).
Resubmit claim with complete documentation.
Confirm acceptance via payer or clearinghouse.</t>
  </si>
  <si>
    <t>The claim was denied because documentation supporting a required medical review is missing, incomplete, or invalid.
A medical review is performed by the payer (or required prior to payment) to determine:
Medical necessity
Appropriateness of care
Compliance with payer guidelines
For certain services (e.g., high-cost procedures, therapy, inpatient stays, DME), payers may require:
Pre-payment review
Post-payment audit
Utilization review documentation
If the required clinical documentation is not submitted, incomplete, or does not meet payer standards, the claim is denied.</t>
  </si>
  <si>
    <t>Invalid Documentation of Medical Review</t>
  </si>
  <si>
    <t>Payer requested records for medical review but documentation not submitted → denied.
Submitted records missing key clinical details → rejection.
Documentation does not support medical necessity → non-covered.
Post-payment audit identifies insufficient review documentation → recoupment.
Incorrect or partial records uploaded to payer portal → claim denied.</t>
  </si>
  <si>
    <t>Failure to respond to medical record requests.
Incomplete or poor-quality clinical documentation.
Lack of coordination between clinical and billing teams.
Missing medical necessity details in records.
Incorrect documentation submission process.
Staff unaware of payer review requirements.</t>
  </si>
  <si>
    <t>Review payer request for medical review documentation.
Gather complete medical records, including:
Progress notes
Physician orders
Test results
Treatment plans
Ensure documentation clearly supports medical necessity.
Submit records via correct payer channel (portal, fax, EDI).
Track submission and confirm receipt.
Appeal if denial was issued prematurely or incorrectly.
Monitor claim status until resolution.</t>
  </si>
  <si>
    <t>Additional Documentation Required to Process Claim</t>
  </si>
  <si>
    <t>The claim is pending or denied because the payer requires additional documentation to complete processing.
This is not always a final denial—it is often a request for information (RFI) indicating that the payer cannot determine:
Medical necessity
Eligibility
Authorization compliance
Accuracy of billed services
The payer will typically specify minimum required documents in the notice. Failure to submit the requested information within the timeframe may result in a full denial.</t>
  </si>
  <si>
    <t>Payer requests medical records for review → documentation not submitted → claim denied.
Operative report required for procedure validation → missing → claim pended.
Authorization proof requested but not provided → processing delayed.
Incomplete clinical notes submitted → insufficient → denial issued.
Incorrect documents uploaded (wrong patient/encounter) → claim not processed.</t>
  </si>
  <si>
    <t>Review payer notice to identify required documentation.
Collect all relevant records, such as:
Progress notes
Operative reports
Physician orders
Authorization details
Test results
Validate documentation for completeness and accuracy.
Submit documents via correct payer channel (portal, fax, EDI).
Include claim reference details (claim number, patient info).
Track submission and confirm receipt.
Follow up until claim is processed.</t>
  </si>
  <si>
    <t>Invalid Date of Last Seen</t>
  </si>
  <si>
    <t>The claim was rejected because the “date of last seen” (the last encounter date between the patient and the referring/ordering provider) is missing, incomplete, invalid, or incorrectly reported.
This field is commonly required for services such as:
Durable Medical Equipment (DME)
Home health services
Therapy services
Specialist referrals
Payers require the date last seen to confirm:
The patient had a recent clinical evaluation
The ordering/referring provider has established medical necessity
The service is clinically appropriate and timely
On the CMS-1500 claim form, this is captured in:
Box 14 (Date of Current Illness/Injury or Date Last Seen)</t>
  </si>
  <si>
    <t>DME claim submitted without date last seen → rejected.
Invalid date format (future date or incorrect structure) → denial.
Date last seen too old per payer guidelines → non-compliant.
Missing linkage between referring provider and encounter date → rejection.
System failed to populate Box 14 → claim unprocessable.</t>
  </si>
  <si>
    <t>Missing entry of date last seen in claim.
Incorrect or invalid date format.
Lack of recent patient visit documentation.
Staff unaware of requirement for specific services.
EHR/billing system not integrated properly.
Data mapping issues in EDI transmission.</t>
  </si>
  <si>
    <t>Verify patient encounter records with referring/ordering provider.
Identify correct date last seen.
Ensure date is:
Valid format
Not in the future
Within payer-required timeframe
Update claim (Box 14 or EDI equivalent).
Confirm referring provider details align with encounter.
Resubmit corrected claim.
Track claim status for acceptance.</t>
  </si>
  <si>
    <t>Invalid Operative Report</t>
  </si>
  <si>
    <t>Invalid Admission Hour</t>
  </si>
  <si>
    <t>Invalid Clinical Documentation</t>
  </si>
  <si>
    <t>The claim was rejected because the payer identifier (such as payer ID, insurance carrier code, or EDI receiver ID) is missing, incomplete, invalid, or not recognized.
The payer identifier is essential to:
Route the claim to the correct insurance payer
Ensure proper EDI processing and adjudication
Link the claim to the correct payer system and plan
If the payer ID is incorrect or missing, the claim cannot reach the intended payer or may be rejected before processing.</t>
  </si>
  <si>
    <t>Claim submitted without payer ID → rejected immediately.
Incorrect payer ID used (e.g., wrong insurance plan) → misrouted or denied.
Outdated payer ID after payer merger/update → claim not recognized.
Secondary payer ID missing in COB claim → rejection issued.
Clearinghouse routing mismatch due to invalid payer ID → claim failure.</t>
  </si>
  <si>
    <t>Missing payer identifier in claim.
Incorrect or outdated payer ID in system.
Insurance information entered incorrectly during registration.
Failure to update payer database after changes.
COB payer sequencing errors.
Clearinghouse or EDI mapping issues.</t>
  </si>
  <si>
    <t>Verify payer details from patient insurance card or eligibility check.
Confirm correct payer ID / EDI receiver ID.
Update claim with accurate payer identifier.
Validate COB sequence (primary, secondary, tertiary).
Correct clearinghouse routing if needed.
Resubmit corrected claim.
Monitor acknowledgment reports (999/277CA) for acceptance.</t>
  </si>
  <si>
    <t>Invalid Billing Provider NPI</t>
  </si>
  <si>
    <t>The claim was rejected because the billing provider’s National Provider Identifier (NPI) is missing, incomplete, invalid, or not recognized by the payer.
The billing provider NPI is a mandatory identifier used to:
Identify the entity submitting the claim for payment
Link the claim to the provider’s enrollment and contract with the payer
Ensure proper reimbursement and adjudication
If the billing NPI is absent or incorrect, the payer cannot validate the provider, resulting in rejection.
On the CMS-1500 claim form, this is captured in: Box 33a (Billing Provider NPI)
On the UB-04 claim form, this corresponds to:FL 56 (NPI)</t>
  </si>
  <si>
    <t>Claim submitted without billing provider NPI → rejected.
Invalid or inactive NPI used → denial issued.
NPI does not match payer enrollment records → claim unprocessable.
Missing NPI in EDI Loop 2010AA → rejection.
Billing under wrong entity NPI (group vs individual mismatch) → denial.</t>
  </si>
  <si>
    <t>Missing billing provider NPI in claim.
Typographical error or incorrect NPI entry.
Provider not enrolled with payer under submitted NPI.
Mismatch between billing system and payer records.
EDI mapping issues or configuration errors.
Lack of validation before claim submission.</t>
  </si>
  <si>
    <t>Verify correct billing provider NPI.
Confirm NPI is:
Active
Enrolled with payer
Check claim fields:
CMS-1500 Box 33a
EDI Loop 2010AA
Correct any mismatches (group vs individual NPI).
Update billing system or EDI configuration if needed.
Resubmit corrected claim.
Confirm acceptance via payer or clearinghouse.</t>
  </si>
  <si>
    <t>Invalid Pre-operative and Post-operative Images</t>
  </si>
  <si>
    <t>The claim was denied because the required pre-operative and/or post-operative images are missing, incomplete, invalid, or not submitted.
For certain procedures—especially in wound care, dermatology, plastic surgery, dental/oral surgery, and some orthopedic services—payers require visual documentation to:
Validate medical necessity
Confirm procedure performance
Assess treatment outcomes
If these images are not submitted or do not meet payer standards, the claim cannot be fully reviewed and is denied.</t>
  </si>
  <si>
    <t>Wound care procedure billed without before/after images → denied.
Submitted images are unclear or incomplete → rejection issued.
Post-operative images missing for procedure validation → claim denied.
Images not linked to correct patient or date of service → unprocessable.
Payer requested images during review but not provided → denial.</t>
  </si>
  <si>
    <t>Failure to capture required clinical images.
Poor image quality or incomplete documentation.
Missing upload during claim submission or review.
Incorrect file attachment (wrong patient/encounter).
Lack of standardized workflow for image documentation.
Staff unaware of payer-specific imaging requirements.</t>
  </si>
  <si>
    <t>Verify payer requirements for imaging documentation.
Retrieve or capture required:
Pre-operative images
Post-operative images
Ensure images are:
Clear and legible
Properly labeled (patient, date, procedure)
Submit images via correct payer channel (portal, attachment, fax).
Link images to correct claim and encounter.
Resubmit or reopen claim.
Track payer response for approval.</t>
  </si>
  <si>
    <t>Invalid Primary Diagnosis on Claim from Other Payer (COB)</t>
  </si>
  <si>
    <t>The claim was rejected because the primary diagnosis from the other payer (usually primary insurance) is missing, incomplete, invalid, or not properly transmitted on the secondary/tertiary claim.
In Coordination of Benefits (COB) scenarios, secondary payers rely on:
The primary payer’s adjudicated claim data
Accurate diagnosis codes used by the primary payer
If the primary diagnosis is not included or does not match expected formats, the secondary payer cannot:
Evaluate medical necessity
Align benefits correctly
Process the claim
On the CMS-1500 claim form, COB-related diagnosis data is supported through:Box 21 (Diagnosis Codes) 
On the UB-04 claim form, diagnosis alignment is reflected in: FL 67–72 (Diagnosis Codes)</t>
  </si>
  <si>
    <t>Secondary claim submitted without primary diagnosis → rejected.
Diagnosis codes missing from COB segment → denial issued.
Invalid or truncated diagnosis from primary payer → unprocessable.
Mismatch between billed diagnosis and primary payer diagnosis → rejection.
Clearinghouse failed to carry forward primary diagnosis → claim denied.</t>
  </si>
  <si>
    <t>Missing primary diagnosis in COB data.
Incorrect or incomplete EDI mapping (loops 2320/2330).
Diagnosis mismatch between primary and secondary claims.
Invalid diagnosis format (ICD version issues).
Billing system not configured to capture primary payer data.
Staff unaware of COB diagnosis requirements.</t>
  </si>
  <si>
    <t>Review primary payer EOB/ERA for diagnosis details.
Extract correct primary diagnosis code(s).
Update secondary claim with:
Matching diagnosis codes
Proper COB data segments
Validate EDI loops (2320/2330) for completeness.
Ensure diagnosis format is valid (ICD-10 compliant).
Resubmit corrected claim.
Confirm acceptance via clearinghouse/payer response.</t>
  </si>
  <si>
    <t>The claim was rejected because the admission type is missing, incomplete, invalid, or incorrectly reported.
Admission type indicates the circumstances under which a patient was admitted (e.g., emergency, urgent, elective, newborn, trauma). Payers use this information to:
Determine medical necessity
Validate billing classification
Apply appropriate reimbursement rules
If the admission type is absent or invalid, the payer cannot correctly adjudicate the claim.
On the UB-04 claim form, admission type is reported in: FL 14 (Type of Admission)</t>
  </si>
  <si>
    <t>Inpatient claim submitted without admission type → rejected.
Invalid admission type code (not recognized by payer) → denial.
Admission type inconsistent with diagnosis (e.g., elective for emergency condition) → rejection.
Missing admission details in EDI CL1 segment → claim unprocessable.
System defaulted incorrect admission type → denial issued.</t>
  </si>
  <si>
    <t>Missing admission type in claim form or EDI.
Use of invalid or outdated admission type codes.
Incorrect data entry during patient registration.
Mismatch between clinical documentation and billing data.
EDI mapping or system configuration issues.
Lack of validation rules for institutional claims.</t>
  </si>
  <si>
    <t>Review patient admission records.
Identify correct admission type (e.g., emergency, urgent, elective).
Update claim:
UB-04 FL 14
EDI CL1 segment
Ensure consistency with diagnosis and clinical documentation.
Validate code against payer requirements.
Resubmit corrected claim.
Confirm acceptance via payer or clearinghouse.</t>
  </si>
  <si>
    <t>Invalid ZIP/Postal Code for Service Location</t>
  </si>
  <si>
    <t>The claim was rejected because the ZIP/postal code for the service location is missing, incomplete, or invalid.
On the CMS-1500 claim form, this is reported in: Box 32 (Service Facility Location Address – ZIP Code) &amp; Box 33 (Billing Provider Address – ZIP Code)
On the UB-04 claim form, ZIP code is included in: FL 1 (Provider Address)</t>
  </si>
  <si>
    <t>Claim submitted without service location ZIP code → rejected.
Invalid ZIP code (incorrect format or non-existent) → denial.
Mismatch between ZIP code and provider enrollment address → rejection.
Missing ZIP in EDI Loop 2310C → claim unprocessable.
System truncated ZIP+4 causing invalid value → denial issued.</t>
  </si>
  <si>
    <t>Missing ZIP/postal code in claim.
Typographical errors or invalid ZIP format.
Mismatch between billing system and payer records.
Incomplete address data entry during setup.
EDI mapping or truncation issues.
Lack of validation rules for address fields.</t>
  </si>
  <si>
    <t>Verify correct service location address.
Confirm valid ZIP/postal code (including ZIP+4 if required).
Update claim fields:
CMS-1500 Box 32/33
EDI Loop 2310C / 2010AA
Ensure alignment with provider enrollment records.
Correct any system or mapping issues.
Resubmit corrected claim.
Confirm acceptance via payer/clearinghouse response.</t>
  </si>
  <si>
    <t>Duplicated Procedure Code for Covered Service</t>
  </si>
  <si>
    <t>The claim was rejected because the procedure code (CPT/HCPCS) is missing, invalid, incomplete, or duplicated, preventing accurate claim adjudication.
On the CMS-1500, procedure codes must be correctly reported in Box 24D along with applicable modifiers.
On the UB-04, procedure details are reported in FL 44 (HCPCS/Rates) and FL 74 (Principal Procedure Code). Inaccurate or duplicate entries in these fields will result in rejection.</t>
  </si>
  <si>
    <t>Procedure code missing from claim → rejected
Invalid or outdated CPT/HCPCS code → denied
Duplicate procedure billed without appropriate modifier → rejected</t>
  </si>
  <si>
    <t>Incorrect or outdated coding
Duplicate charge entry
Missing or incorrect modifiers
Data entry or EDI mapping errors</t>
  </si>
  <si>
    <t>Review medical records and confirm correct CPT/HCPCS codes
Remove duplicate entries or append appropriate modifiers (e.g., 59, 76)
Update claim with accurate coding
Resubmit claim</t>
  </si>
  <si>
    <t>Invalid Documentation for Medical Necessity</t>
  </si>
  <si>
    <t>The claim was denied because documentation does not adequately support medical necessity, or required records are missing/incomplete.
Payers require clinical documentation to justify that services are reasonable, necessary, and aligned with diagnosis and treatment guidelines.
On the CMS-1500, medical necessity is supported through:
Box 21 (Diagnosis Codes)
Box 24E (Diagnosis Pointer linking to CPT/HCPCS)
On the UB-04, it is supported through:
FL 67–72 (Diagnosis Codes)
FL 42–44 (Revenue Codes/HCPCS)</t>
  </si>
  <si>
    <t>Medical records not submitted upon payer request → denied
Documentation does not support billed service → rejection
Diagnosis does not justify procedure → non-covered</t>
  </si>
  <si>
    <t>Missing or incomplete clinical documentation
Poor linkage between diagnosis and procedure
Insufficient detail to support medical necessity
Failure to respond to documentation requests</t>
  </si>
  <si>
    <t>Review payer requirements and denial reason
Gather complete medical records (notes, reports, orders)
Ensure documentation supports medical necessity
Correct diagnosis–procedure linkage if needed
Resubmit or appeal with supporting documents</t>
  </si>
  <si>
    <t>Invalid Prior Claims Information (COB)</t>
  </si>
  <si>
    <t>The claim was rejected because prior claim information (from primary or previous payer) is missing, incomplete, or invalid, preventing proper Coordination of Benefits (COB) processing.
Secondary/tertiary payers require accurate prior claim details such as:
Paid amount
Patient responsibility
Claim control number
Adjustment details
On the CMS-1500, COB data is supported through:
Box 9–9d (Other Insured Information)
Box 29 (Amount Paid)
On the UB-04, COB information is reported in:
FL 50–55 (Payer Information)
FL 54 (Prior Payments)
In EDI, this is transmitted via Loop 2320/2330 (Other Payer Information).</t>
  </si>
  <si>
    <t>Secondary claim submitted without primary EOB details → rejected
Missing prior payment amount → denial
Invalid claim control number from primary payer → unprocessable</t>
  </si>
  <si>
    <t>Missing primary payer adjudication data
Incorrect COB information entry
EDI mapping issues (Loop 2320/2330)
Lack of staff awareness on COB requirements</t>
  </si>
  <si>
    <t>Review primary payer EOB/ERA
Capture complete prior claim details
Update COB fields accurately
Validate EDI loops (2320/2330)
Resubmit corrected claim</t>
  </si>
  <si>
    <t>Invalid Statement Date Range</t>
  </si>
  <si>
    <t>The claim was denied because the operative report is missing, incomplete, or invalid, preventing the payer from verifying the procedure performed and its medical necessity.
Operative reports are required for surgical procedures to support:
Procedure details performed
Medical necessity
Accuracy of billed CPT/HCPCS codes
On the CMS-1500, procedures are billed in Box 24D, and must be supported by operative documentation.
On the UB-04, procedures are reported in FL 44 (HCPCS) and FL 74 (Procedure Code), which must align with the operative report.</t>
  </si>
  <si>
    <t>Surgical claim submitted without operative report → denied
Incomplete operative note (missing details/signature) → rejection
Procedure billed does not match operative documentation → denial</t>
  </si>
  <si>
    <t>Missing operative report in records
Incomplete or unsigned documentation
Mismatch between procedure and documentation
Failure to submit report when requested</t>
  </si>
  <si>
    <t>Obtain complete operative report
Ensure report includes procedure details and provider signature
Verify alignment with billed CPT/HCPCS codes
Submit documentation to payer
Resubmit or appeal claim</t>
  </si>
  <si>
    <t>Missing Explanation of Benefits</t>
  </si>
  <si>
    <t>The claim was rejected because the Explanation of Benefits (EOB) from the primary payer is missing, which is required for Coordination of Benefits (COB) or Medicare Secondary Payer (MSP) processing.
Secondary payers need the EOB to determine:
What the primary payer paid
Patient responsibility
Remaining payable amount
On the CMS-1500, COB details are supported through:
Box 9–9d (Other Insurance Information)
Box 29 (Amount Paid)
On the UB-04, COB information is reported in:
FL 50–55 (Payer Information)
FL 54 (Prior Payments)</t>
  </si>
  <si>
    <t>Secondary claim submitted without primary EOB → rejected
Medicare secondary claim missing MSP information → denial
Incorrect or incomplete EOB details → unprocessable</t>
  </si>
  <si>
    <t>Failure to obtain primary payer EOB
Missing COB data on claim
Incorrect EOB entry or mapping
Lack of coordination between billing and posting teams</t>
  </si>
  <si>
    <t>Obtain primary payer EOB/ERA
Capture accurate payment and adjustment details
Update COB fields on claim
Attach or transmit EOB as required
Resubmit corrected claim</t>
  </si>
  <si>
    <t>Invalid Quantity</t>
  </si>
  <si>
    <t>The claim was rejected because the admission hour is missing, incomplete, or invalid, preventing accurate claim processing and validation of admission timing.
Admission hour is required to:
Determine billing accuracy (e.g., same-day discharge rules)
Validate medical necessity and level of care
Support timely admission documentation
On the UB-04 claim form, admission hour is reported in:
FL 13 (Admission Hour)</t>
  </si>
  <si>
    <t>Admission hour missing on inpatient claim → rejected
Invalid hour format (not 00–23) → denial
Mismatch between admission date and hour → unprocessable</t>
  </si>
  <si>
    <t>Missing data during registration
Invalid or incorrect time format
EDI mapping or system errors
Lack of validation rules</t>
  </si>
  <si>
    <t>Verify admission details from patient records
Enter correct admission hour (00–23 format)
Update claim (FL 13 / EDI segment)
Resubmit claim</t>
  </si>
  <si>
    <t>The claim was denied because clinical documentation is missing, incomplete, or invalid, preventing the payer from verifying the services rendered and medical necessity.
Clinical documentation must clearly support:
Diagnosis and treatment provided
Medical necessity
Accuracy of billed services
On the CMS-1500, this is supported through:
Box 21 (Diagnosis Codes)
Box 24 (Service details linked to diagnosis)
On the UB-04, it is supported through:
FL 67–72 (Diagnosis Codes)
FL 42–44 (Revenue Codes/HCPCS)</t>
  </si>
  <si>
    <t>Medical records not submitted when requested → denied
Incomplete progress notes → rejection
Documentation does not support billed service → denial</t>
  </si>
  <si>
    <t>Missing or incomplete clinical records
Poor documentation quality
Lack of coordination between clinical and billing teams
Failure to respond to payer requests</t>
  </si>
  <si>
    <t>Gather complete clinical documentation (notes, reports, orders)
Ensure documentation supports medical necessity
Correct any inconsistencies
Submit records to payer
Resubmit or appeal claim</t>
  </si>
  <si>
    <t>The claim was rejected because the statement date range (from–through dates of service) is missing, incomplete, or invalid, preventing proper claim adjudication.
The statement date range defines the period during which services were provided and is essential for:
Determining coverage eligibility
Validating billing period and charges
Applying payer rules for inpatient/outpatient claims
On the UB-04 claim form, this is reported in:
FL 6 (Statement Covers Period – From/Through Dates)</t>
  </si>
  <si>
    <t>Missing statement dates on institutional claim → rejected
Invalid date range (end date before start date) → denial
Dates outside coverage period → unprocessable</t>
  </si>
  <si>
    <t>Missing or incorrect date entry
Invalid date format
System or EDI mapping errors
Lack of validation controls</t>
  </si>
  <si>
    <t>Verify correct service date range
Update claim with valid “from–through” dates
Ensure dates align with services and coverage
Resubmit claim</t>
  </si>
  <si>
    <t>Invalid Procedure Code for Related Service</t>
  </si>
  <si>
    <t>The claim was rejected because the procedure code for a related or supporting service is missing, incomplete, or invalid, preventing proper evaluation of the primary service.
Certain procedures require associated/related codes (e.g., add-on codes, bundled services, or supporting procedures) to validate:
Medical necessity
Correct coding relationships
Appropriate reimbursement
On the CMS-1500, procedure codes are reported in Box 24D, and related services must be coded appropriately with correct linkages and modifiers.
On the UB-04, they are reported in FL 44 (HCPCS) and FL 74 (Procedure Code), which must reflect all required related services.</t>
  </si>
  <si>
    <t>Primary procedure billed without required add-on code → rejected
Related service code missing → denial
Invalid supporting CPT/HCPCS code → unprocessable</t>
  </si>
  <si>
    <t>Missing related/add-on procedure codes
Incorrect or outdated CPT/HCPCS codes
Lack of understanding of coding dependencies
EDI or charge entry errors</t>
  </si>
  <si>
    <t>Review coding guidelines for required related services
Identify and add correct CPT/HCPCS codes
Ensure proper modifiers and code relationships
Update and resubmit claim</t>
  </si>
  <si>
    <t>Invalid Other Payer Patient Responsibility Amount (COB)</t>
  </si>
  <si>
    <t>The claim was rejected because the patient responsibility amount from the primary/other payer (e.g., deductible, coinsurance, copay) is missing, incomplete, or invalid, preventing proper Coordination of Benefits (COB) processing.
Secondary payers require this amount to determine:
Remaining liability
Accurate payment calculation
On the CMS-1500, this is supported through:
Box 29 (Amount Paid)
COB details in Box 9–9d
On the UB-04, it is reported in:
FL 54 (Prior Payments)
FL 50–55 (Payer Information)</t>
  </si>
  <si>
    <t>Secondary claim submitted without patient responsibility → rejected
Incorrect deductible/coinsurance amount → denial
Missing COB financial details from primary payer → unprocessable</t>
  </si>
  <si>
    <t>Missing EOB/ERA data from primary payer
Incorrect posting of patient responsibility
EDI mapping errors (Loop 2320 AMT segments)
Lack of COB validation</t>
  </si>
  <si>
    <t>Review primary payer EOB/ERA
Capture accurate patient responsibility amounts
Update COB fields on claim
Validate EDI segments (Loop 2320 AMT)
Resubmit corrected claim</t>
  </si>
  <si>
    <t>Invalid Discharge / End of Care Information</t>
  </si>
  <si>
    <t>The claim was rejected because the discharge or end-of-care information is missing, incomplete, or invalid, preventing accurate claim adjudication.
This information is required to:
Define the end of service period
Determine patient status and billing outcome
Apply correct reimbursement and discharge rules
On the UB-04 claim form, this is reported in:
FL 17 (Patient Discharge Status)
FL 6 (Statement From–Through Dates)</t>
  </si>
  <si>
    <t>Missing discharge status on inpatient claim → rejected
Invalid discharge code → denial
Discharge date not aligned with statement dates → unprocessable</t>
  </si>
  <si>
    <t>Missing discharge information during billing
Incorrect or invalid discharge status codes
Mismatch between clinical and billing data
EDI mapping or system errors</t>
  </si>
  <si>
    <t>Verify discharge/end-of-care details from medical records
Update correct discharge status and dates
Ensure alignment with statement date range
Resubmit claim</t>
  </si>
  <si>
    <t>Invalid Date of Service for This Order</t>
  </si>
  <si>
    <t>The claim was rejected because the date of service (DOS) associated with the order is missing, incomplete, or invalid, preventing the payer from validating the timing and medical necessity of the service.
The DOS must align with:
Physician order date
Service performed date
Coverage eligibility period
On the CMS-1500, DOS is reported in:
Box 24A (Date(s) of Service)
On the UB-04, it is reflected within:
FL 6 (Statement From–Through Dates)
Service line dates in FL 45 (Service Date</t>
  </si>
  <si>
    <t>Missing DOS on claim → rejected
Invalid date format or future date → denial
DOS does not match physician order date → unprocessable</t>
  </si>
  <si>
    <t>Missing or incorrect DOS entry
Data entry or formatting errors
Mismatch between order and service dates
EDI mapping issues</t>
  </si>
  <si>
    <t>Verify correct date of service from records
Ensure DOS matches physician order and documentation
Update claim with valid date
Resubmit claim</t>
  </si>
  <si>
    <t>Invalid Date of Previous Replacement</t>
  </si>
  <si>
    <t>The claim was rejected because the date of previous replacement (e.g., DME, orthotic, or prosthetic item) is missing, incomplete, or invalid, preventing the payer from determining replacement eligibility and frequency limits.
Payers require this date to:
Verify medical necessity for replacement
Ensure compliance with frequency/utilization rules
On the CMS-1500, this information is typically reported in:
Box 19 (Additional Claim Information)</t>
  </si>
  <si>
    <t>Replacement item billed without prior replacement date → rejected
Invalid or future date submitted → denial
Replacement requested before allowed timeframe → unprocessable</t>
  </si>
  <si>
    <t>Missing prior replacement date
Incorrect or invalid date format
Lack of patient equipment history
EDI or documentation mapping errors</t>
  </si>
  <si>
    <t>Verify patient history for prior replacement
Enter accurate previous replacement date
Ensure compliance with payer frequency rules
Update claim and resubmit</t>
  </si>
  <si>
    <t>Payment/Reduction Based on Provider Qualification</t>
  </si>
  <si>
    <t>The claim was reduced or denied because payment is based on the provider’s qualifications, and the billed provider does not meet the payer’s criteria for full reimbursement.
Payers evaluate provider qualifications based on:
Specialty and taxonomy
Credentials and licensure
Enrollment and contract status
On the CMS-1500, provider details are captured in:
Box 24J (Rendering Provider NPI)
Box 33 (Billing Provider Information)
On the UB-04, they are reported in:
FL 56 (NPI)
FL 76–79 (Attending/Operating Provider)</t>
  </si>
  <si>
    <t>Service performed by non-qualified provider → reduced payment
Mid-level provider billed at physician rate → adjustment
Provider specialty not eligible for service → denial</t>
  </si>
  <si>
    <t>Incorrect provider specialty or taxonomy
Provider not enrolled for specific service
Billing under wrong provider
Credentialing gaps</t>
  </si>
  <si>
    <t>Verify provider qualifications and eligibility
Check taxonomy and enrollment with payer
Correct rendering/billing provider details
Rebill or adjust claim as appropriate</t>
  </si>
  <si>
    <t>Electronic Interchange Agreement Not on File for Provider</t>
  </si>
  <si>
    <t>The claim was rejected because an Electronic Data Interchange (EDI) agreement is not on file for the provider or submitter with the payer.
Payers require an active EDI agreement to:
Authorize electronic claim submission
Validate submitter/provider identity
Enable electronic transactions (837/835)</t>
  </si>
  <si>
    <t>New provider submits electronic claim without EDI enrollment → rejected
Clearinghouse not linked to payer for provider → denial
Submitter ID not registered with payer → unprocessable</t>
  </si>
  <si>
    <t>Missing EDI enrollment with payer
Incorrect or inactive submitter ID
Clearinghouse not configured properly
Provider not authorized for electronic submission</t>
  </si>
  <si>
    <t>Verify EDI enrollment status with payer
Complete and submit EDI enrollment agreement
Confirm submitter ID and clearinghouse linkage
Wait for payer approval/activation
Resubmit claim electronically (or via paper if allowed)</t>
  </si>
  <si>
    <t>Incorrect or Missing Revenue Code</t>
  </si>
  <si>
    <t>The claim was rejected because the Revenue Code is missing, invalid, or incorrect for the billed service.
Revenue codes are used to identify the department or type of service provided in institutional billing and must align with:
HCPCS/CPT codes
Type of service and billing guidelines
On the UB-04 claim form, revenue codes are reported in:
FL 42 (Revenue Code)
They must correspond with:
FL 44 (HCPCS/Rates)</t>
  </si>
  <si>
    <t>Incorrect revenue code for service type → rejected
Missing revenue code on claim line → denial
Revenue code does not match HCPCS → unprocessable</t>
  </si>
  <si>
    <t>Incorrect revenue code selection
Missing revenue code during charge entry
Mismatch between revenue code and procedure
Outdated billing guidelines</t>
  </si>
  <si>
    <t>Review service and correct revenue code
Ensure alignment with HCPCS/CPT code
Update claim with valid revenue code
Resubmit claim</t>
  </si>
  <si>
    <t>Due to Non-Participating Provider Status</t>
  </si>
  <si>
    <t>The claim was reduced or denied because the provider is classified as a non-participating (out-of-network) provider with the payer.
Non-participating providers:
Do not have a contractual agreement with the payer
Are reimbursed at lower allowed amounts or not covered
May result in higher patient responsibility</t>
  </si>
  <si>
    <t>Out-of-network provider billing in-network rate → reduced payment
Non-participating provider service not covered → denial
Patient seen by provider not contracted with payer → adjustment</t>
  </si>
  <si>
    <t>Provider not enrolled as participating with payer
Incorrect assumption of in-network status
Billing without verifying network participation
Credentialing or contract gaps</t>
  </si>
  <si>
    <t>Verify provider participation status with payer
Review contract and reimbursement terms
Adjust claim or rebill if incorrect provider used
Bill patient as per out-of-network benefits (if applicable)</t>
  </si>
  <si>
    <t>N527 | N528—Payment/Reduction based on this provider's status as a non-participating provider</t>
  </si>
  <si>
    <t>Invalid Provider Credential</t>
  </si>
  <si>
    <t>The claim was denied because the provider’s credentialing or enrollment information is missing, incomplete, invalid, or not on file with the payer.
Payers require valid provider enrollment to:
Verify provider identity and qualifications
Confirm eligibility to bill and receive payment
Apply correct contracted reimbursement terms</t>
  </si>
  <si>
    <t>Provider not enrolled with payer → denied
Expired or incomplete credentialing → rejection
NPI not linked to payer enrollment → unprocessable</t>
  </si>
  <si>
    <t>Missing provider enrollment with payer
Expired or incomplete credentialing records
Incorrect provider details on claim
Delay in enrollment approval</t>
  </si>
  <si>
    <t>Verify provider enrollment status with payer
Complete or update credentialing/enrollment
Ensure NPI is correctly linked to payer
Resubmit claim after enrollment is active</t>
  </si>
  <si>
    <t>The claim was rejected because the quantity of services/units is missing, incomplete, or invalid, preventing accurate reimbursement calculation.
Quantity represents the number of units, services, or items provided and must align with:
Procedure code (CPT/HCPCS)
Dosage or service duration
On the CMS-1500, quantity is reported in:
Box 24G (Days or Units)
On the UB-04, it is reported in:
FL 46 (Units of Service)</t>
  </si>
  <si>
    <t>Units field left blank → rejected
Invalid quantity (e.g., zero or excessive units) → denial
Quantity does not match service billed → unprocessable</t>
  </si>
  <si>
    <t>Missing units during charge entry
Incorrect unit calculation
Data entry or EDI mapping errors
Lack of validation rules</t>
  </si>
  <si>
    <t>Verify correct quantity based on service provided
Update units field accurately
Ensure alignment with CPT/HCPCS code
Resubmit claim</t>
  </si>
  <si>
    <t>Invalid Date of Service or Coverage Period</t>
  </si>
  <si>
    <t>The claim was rejected because the date of service (DOS) or coverage period is missing, incomplete, or invalid, preventing verification of service timing and eligibility.
Dates must align with:
Actual service provided
Patient coverage period
Related documentation (orders, authorization, etc.)
On the CMS-1500, DOS is reported in:
Box 24A (Date(s) of Service)
On the UB-04, it is reported in:
FL 6 (Statement From–Through Dates)
FL 45 (Service Date)</t>
  </si>
  <si>
    <t>Missing DOS on claim → rejected
Invalid or future date → denial
DOS outside coverage period → unprocessable</t>
  </si>
  <si>
    <t>Missing or incorrect date entry
Invalid format or system error
Mismatch with coverage eligibility
EDI mapping issues</t>
  </si>
  <si>
    <t>Verify correct dates from records
Ensure alignment with coverage period
Update claim with valid DOS
Resubmit claim</t>
  </si>
  <si>
    <t>Claim Not Covered or Payable by This Plan</t>
  </si>
  <si>
    <t>The claim was denied because the services are not covered under the patient’s current insurance plan, or the plan is not responsible for payment.
This may occur due to:
Benefit exclusions
Incorrect payer billed
Coverage limitations or plan rules
On the CMS-1500, coverage is validated through:
Box 1–13 (Insurance Information)
Box 24 (Service details)
On the UB-04, it is supported through:
FL 50–55 (Payer Information)
FL 6 (Statement Dates)</t>
  </si>
  <si>
    <t>Service not included in patient’s benefits → denied
Claim sent to wrong payer → not payable
Coverage inactive on date of service → rejection</t>
  </si>
  <si>
    <t>Incorrect insurance selection
Lack of eligibility verification
Services excluded under plan
COB errors</t>
  </si>
  <si>
    <t>Verify patient eligibility and benefits
Confirm correct payer and coverage
Rebill to appropriate payer if applicable
Bill patient if non-covered per plan</t>
  </si>
  <si>
    <t>Procedure code/bill type inconsistent with POS</t>
  </si>
  <si>
    <t>The claim payment was adjusted due to the place of service (POS) where the procedure was performed.
Payers apply different reimbursement rates depending on the service location (e.g., office, outpatient hospital, inpatient facility). Certain services are paid differently or reduced when performed in specific settings.
On the CMS-1500, POS is reported in:
Box 24B (Place of Service Code)
On the UB-04, facility type and service location are reflected through:
FL 4 (Type of Bill)
FL 42 (Revenue Code)</t>
  </si>
  <si>
    <t>Procedure performed in hospital outpatient setting → reduced professional fee
Office-based service billed with facility POS → payment adjusted
POS does not align with payer reimbursement policy → reduced payment</t>
  </si>
  <si>
    <t>Incorrect POS code selection
Lack of awareness of POS-based reimbursement rules
Mismatch between actual location and billed POS
System default errors</t>
  </si>
  <si>
    <t>Verify actual place of service
Correct POS code if inaccurate
Review payer-specific reimbursement rules
Rebill if correction is needed</t>
  </si>
  <si>
    <t>Invalid Responsible Payer Name/Address</t>
  </si>
  <si>
    <t>The claim was rejected because the responsible payer’s name and/or address is missing, incomplete, or invalid, preventing proper claim routing and processing.
Accurate payer information is required to:
Ensure the claim is sent to the correct insurance entity
Enable proper adjudication and communication
On the CMS-1500, payer details are captured in:
Box 1–13 (Insurance Information)
On the UB-04, they are reported in:
FL 50 (Payer Name)
FL 51 (Health Plan ID)</t>
  </si>
  <si>
    <t>Missing payer name/address → rejected
Incorrect payer address → claim not processed
Incomplete payer details in EDI → unprocessable</t>
  </si>
  <si>
    <t>Missing or incorrect payer information entry
Outdated payer address database
Registration or data entry errors
EDI mapping issues</t>
  </si>
  <si>
    <t>Verify correct payer name and address
Update claim with accurate payer details
Ensure EDI Loop 2010BB is properly populated
Resubmit claim</t>
  </si>
  <si>
    <t>Invalid Claim Frequency/Type Code</t>
  </si>
  <si>
    <t>The claim was rejected because the claim frequency/type code is missing, incomplete, or invalid, preventing the payer from identifying the claim as original, corrected, void, or replacement.
This code is essential for:
Processing adjustments or resubmissions
Linking to previous claims
Preventing duplicate or incorrect processing
On the CMS-1500, frequency/type is typically indicated via:
Box 22 (Resubmission Code / Original Reference Number)
On the UB-04, it is reported in:
FL 4 (Type of Bill – includes frequency digit)</t>
  </si>
  <si>
    <t>Corrected claim submitted without frequency code → rejected
Invalid frequency code used → denial
Replacement claim not linked to original → unprocessable</t>
  </si>
  <si>
    <t>Missing resubmission indicator
Incorrect frequency/type code selection
Lack of linkage to original claim
EDI mapping or system errors</t>
  </si>
  <si>
    <t>Identify correct claim type (original, corrected, void)
Enter appropriate frequency code
Include original claim reference number
Resubmit claim</t>
  </si>
  <si>
    <t>The claim was denied because the certification of terminal illness is missing, incomplete, or invalid, which is required for services such as hospice care.
Payers require this certification to confirm that:
The patient is terminally ill (life expectancy ≤ 6 months)
Services meet hospice eligibility criteria
Certification is signed and dated by a physician
On the CMS-1500, supporting elements include:
Box 17 (Referring/Ordering Provider)
Box 21 (Diagnosis Codes)
On the UB-04, it is supported through:
FL 67–72 (Diagnosis Codes)
FL 76 (Attending Provider)</t>
  </si>
  <si>
    <t>Hospice claim submitted without certification → denied
Missing physician signature/date → rejection
Expired or incomplete certification → non-covered</t>
  </si>
  <si>
    <t>Missing certification documentation
Incomplete or unsigned certification
Certification not updated timely
Staff unaware of hospice requirements</t>
  </si>
  <si>
    <t>Obtain valid certification of terminal illness
Ensure physician signature and date are present
Verify certification is current and meets payer criteria
Submit documentation if required
Resubmit claim</t>
  </si>
  <si>
    <t>Invalid Certification of Terminal Illness</t>
  </si>
  <si>
    <t>Invalid Hospice Revocation</t>
  </si>
  <si>
    <t>The claim was denied because the hospice revocation documentation is missing, incomplete, or invalid, preventing confirmation that the patient has formally revoked hospice care.
Hospice revocation is required when a patient elects to:
Terminate hospice benefits
Resume curative treatment or other services
Payers require:
A signed and dated revocation statement from the patient
Proper documentation of the effective date of revocation</t>
  </si>
  <si>
    <t>Services billed after hospice without revocation → denied
Missing signed revocation form → rejection
Invalid or incorrect revocation date → unprocessable</t>
  </si>
  <si>
    <t>Missing hospice revocation documentation
Incomplete or unsigned revocation form
Incorrect effective date
Lack of coordination between clinical and billing teams</t>
  </si>
  <si>
    <t>Obtain valid hospice revocation documentation
Ensure patient signature and correct date
Verify revocation effective date aligns with services
Submit documentation if required
Resubmit claim</t>
  </si>
  <si>
    <t>Incorrect Procedure Code for Service/Date</t>
  </si>
  <si>
    <t>The claim was denied because the procedure code (CPT/HCPCS) billed is not valid for the service performed or the date of service.
This may occur if:
The code is outdated or inactive
The code does not match the service rendered
The code is not valid for the DOS (e.g., deleted or replaced code)
On the CMS-1500, procedure codes are reported in:
Box 24D (CPT/HCPCS + Modifiers)
On the UB-04, they are reported in:
FL 44 (HCPCS/Rates)
FL 74 (Procedure Code)</t>
  </si>
  <si>
    <t>Deleted CPT code used for current DOS → denied
Incorrect code selected for service → rejection
Code not valid for billing date → unprocessable</t>
  </si>
  <si>
    <t>Use of outdated CPT/HCPCS codes
Coding errors during charge entry
Lack of updated coding references
System not updated with current code sets</t>
  </si>
  <si>
    <t>Verify correct CPT/HCPCS code for service and DOS
Update to valid/current code
Ensure proper modifiers if required
Resubmit claim</t>
  </si>
  <si>
    <t>Invalid Date of Birth</t>
  </si>
  <si>
    <t>The claim was rejected because the patient’s date of birth (DOB) is missing, incomplete, or invalid, preventing proper patient identification and eligibility verification.
DOB is required to:
Confirm patient identity
Validate insurance eligibility
Ensure accurate claim matching
On the CMS-1500, DOB is reported in:
Box 3 (Patient’s Date of Birth)
On the UB-04, it is reported in:
FL 10 (Patient Date of Birth)</t>
  </si>
  <si>
    <t>DOB missing on claim → rejected
Invalid DOB format → denial
DOB mismatch with payer records → unprocessable</t>
  </si>
  <si>
    <t>Missing or incorrect DOB entry
Typographical or format errors
Registration data mismatch
EDI mapping issues</t>
  </si>
  <si>
    <t>Verify correct DOB from patient records
Update claim with accurate DOB
Ensure proper format (MM/DD/YYYY)
Resubmit claim</t>
  </si>
  <si>
    <t>Invalid Date of Death</t>
  </si>
  <si>
    <t>The claim was rejected because the patient’s date of death (DOD) is missing, incomplete, or invalid, which is required for claims involving deceased patients.
Payers require this information to:
Validate eligibility and coverage termination
Ensure correct billing period and services
Prevent inappropriate payments after death
On the CMS-1500, DOD is typically included in:
Box 19 (Additional Claim Information) (if required)
On the UB-04, it is reported in:
FL 12 (Admission Date) and related patient status fields
FL 17 (Discharge Status – includes death indicators)</t>
  </si>
  <si>
    <t>Claim for deceased patient without DOD → rejected
Invalid or future DOD → denial
Services billed after recorded death date → unprocessable</t>
  </si>
  <si>
    <t>Missing DOD in patient records
Incorrect or invalid date entry
Mismatch between clinical and billing data
EDI mapping issues</t>
  </si>
  <si>
    <t>Verify date of death from official records
Update claim with accurate DOD
Ensure services billed are prior to death date
Resubmit claim</t>
  </si>
  <si>
    <t>Invalid Date of Last Service</t>
  </si>
  <si>
    <t>The claim was rejected because the date of last service is missing, incomplete, or invalid, preventing the payer from determining the end of treatment or service period.
This date is important to:
Define the completion of services
Validate billing period and continuity of care
Ensure alignment with coverage and authorization timelines
On the CMS-1500, this may be reflected through:
Box 24A (Date(s) of Service)
On the UB-04, it is reported in:
FL 6 (Statement From–Through Dates)</t>
  </si>
  <si>
    <t>Missing last service date → rejected
Invalid or incorrect date → denial
Date not aligned with treatment period → unprocessable</t>
  </si>
  <si>
    <t>Missing or incorrect date entry
Data entry or formatting errors
Mismatch between clinical and billing data
EDI mapping issues</t>
  </si>
  <si>
    <t>Verify correct last service date from records
Update claim with accurate date
Ensure alignment with service period
Resubmit claim</t>
  </si>
  <si>
    <t>Payment Adjusted Based on Information from Another Payer</t>
  </si>
  <si>
    <t>OA 23</t>
  </si>
  <si>
    <t>The claim payment was adjusted based on information received from another payer (primary or prior payer) under Coordination of Benefits (COB).
The secondary payer uses data from the primary payer such as:
Paid amount
Patient responsibility (deductible, coinsurance, copay)
Adjustments and contractual obligations
This results in reduced or zero payment depending on the remaining allowable amount.</t>
  </si>
  <si>
    <t>Primary payer paid majority → secondary pays minimal or zero
Patient responsibility applied → adjustment made
COB rules limit additional payment → reduced reimbursement</t>
  </si>
  <si>
    <t>Normal COB adjudication process
Primary payer payment exceeding allowable
Incorrect expectations of secondary payment
Misinterpretation of COB rules</t>
  </si>
  <si>
    <t>Review primary payer EOB/ERA
Analyze COB calculations and adjustments
Verify accuracy of prior payer information
Appeal only if discrepancy is identified</t>
  </si>
  <si>
    <t>Invalid Provider Identifier</t>
  </si>
  <si>
    <t>Service Not Covered Without Required Pre-requisite Procedure</t>
  </si>
  <si>
    <t>The claim was denied because the billed service requires a pre-requisite procedure or service, which was not performed, not documented, or not submitted.
Payers require certain services to be preceded by specific diagnostic tests, evaluations, or treatments to establish:
Medical necessity
Appropriate treatment sequence</t>
  </si>
  <si>
    <t>Advanced procedure billed without prior diagnostic test → denied
Therapy billed without initial evaluation → rejection
Add-on service billed without primary procedure → unprocessable</t>
  </si>
  <si>
    <t>Missing prerequisite service
Failure to bill or document prior procedure
Incorrect sequencing of services
Lack of awareness of payer guidelines</t>
  </si>
  <si>
    <t>Verify if prerequisite service was performed
Bill or include required prior procedure (if applicable)
Ensure proper sequencing and documentation
Update claim and resubmit</t>
  </si>
  <si>
    <t>Invalid Other Diagnosis</t>
  </si>
  <si>
    <t>Invalid Patient Weight</t>
  </si>
  <si>
    <t>Invalid Facility Information</t>
  </si>
  <si>
    <t>The claim was rejected because an additional/other diagnosis code is missing, incomplete, or invalid, which is required to fully support the billed services.
Payers may require secondary diagnoses to:
Provide complete clinical context
Support medical necessity
Justify certain procedures or conditions
On the CMS-1500, diagnosis codes are reported in:
Box 21 (Diagnosis Codes)
On the UB-04, they are reported in:
FL 67–72 (Principal and Other Diagnosis Codes)</t>
  </si>
  <si>
    <t>Secondary diagnosis missing for procedure → rejected
Invalid ICD code used → denial
Incomplete diagnosis list → unprocessable</t>
  </si>
  <si>
    <t>Missing additional diagnosis codes
Incorrect or outdated ICD codes
Incomplete clinical documentation
Coding or data entry errors</t>
  </si>
  <si>
    <t>Review medical records for complete diagnoses
Add all relevant and valid ICD codes
Ensure proper sequencing (primary vs secondary)
Update and resubmit claim</t>
  </si>
  <si>
    <t>Payment Adjusted Based on PQRS Incentive Program</t>
  </si>
  <si>
    <t>The claim payment was adjusted based on the Physician Quality Reporting System (PQRS) requirements.
PQRS is a quality reporting program where providers must report specific quality measures. Payment adjustments occur when:
Required quality data is not reported
Reporting is incomplete or incorrect
Provider does not meet PQRS compliance standards
This results in a negative payment adjustment (penalty) applied to the claim.
On the CMS-1500, PQRS reporting is typically captured via:
Box 24D (CPT Category II / G-codes for quality reporting)
On the UB-04, PQRS is generally not directly reported but may be reflected through associated coding and provider reporting compliance.</t>
  </si>
  <si>
    <t>Quality measures not submitted with claim → payment reduced
Incorrect PQRS codes reported → adjustment applied
Provider failed annual PQRS reporting requirements → penalty</t>
  </si>
  <si>
    <t>Missing PQRS reporting codes
Incorrect or incomplete quality data submission
Lack of awareness of PQRS requirements
System not configured for quality reporting</t>
  </si>
  <si>
    <t>Review PQRS reporting requirements for the service
Ensure correct quality codes (Category II / G-codes) are included
Verify provider compliance status
Appeal only if reporting was correctly submitted</t>
  </si>
  <si>
    <t>Invalid CLIA Certification Number</t>
  </si>
  <si>
    <t>The claim was denied because the CLIA (Clinical Laboratory Improvement Amendments) certification number is missing, incomplete, or invalid for laboratory services.
CLIA certification is required to:
Verify the laboratory is authorized to perform the test
Ensure compliance with federal quality standards
Validate eligibility for reimbursement
On the CMS-1500, CLIA number is reported in:
Box 23 (Prior Authorization Number – used for CLIA in this context)
On the UB-04, it is included via:
FL 39–41 (Value Codes – CLIA number when required)</t>
  </si>
  <si>
    <t>Lab claim submitted without CLIA number → denied
Invalid or expired CLIA certification → rejection
CLIA number does not match performing lab → unprocessable</t>
  </si>
  <si>
    <t>Verify correct CLIA certification number
Ensure lab is certified for the service performed
Update claim with valid CLIA number
Resubmit claim</t>
  </si>
  <si>
    <t>Missing CLIA number on claim
Incorrect or outdated certification number
Lab not properly certified for test performed
Data entry or EDI mapping errors</t>
  </si>
  <si>
    <t>Invalid Subscriber Identity</t>
  </si>
  <si>
    <t>The claim was rejected because the subscriber (insured) information is missing, incomplete, or invalid, preventing proper identification and eligibility verification.
Subscriber details are required to:
Link the claim to the correct insurance policy
Validate coverage and benefits
Ensure accurate claim adjudication
On the CMS-1500, subscriber information is reported in:
Box 1–13 (Insured/Subscriber Information)
On the UB-04, it is reported in:
FL 58–62 (Insured’s Information)</t>
  </si>
  <si>
    <t>Incorrect or incomplete registration data
Missing subscriber ID or demographic details
Data entry errors
EDI mapping issues</t>
  </si>
  <si>
    <t>Verify subscriber information from insurance card
Update claim with accurate details
Ensure consistency with payer records
Resubmit claim</t>
  </si>
  <si>
    <t>Deductible Not Allowed – Medicaid / QMB Patient</t>
  </si>
  <si>
    <t>The claim was adjusted because the patient is a Medicaid beneficiary or Qualified Medicare Beneficiary (QMB), and no deductible, coinsurance, or copay can be collected from the patient.
Under QMB rules:
The patient is protected from cost-sharing
Providers must not bill or collect deductibles or coinsurance
Payment is limited to payer-allowed amounts</t>
  </si>
  <si>
    <t>Deductible applied to QMB patient → adjusted to $0
Patient billed for coinsurance incorrectly → must be refunded
Secondary Medicaid covers remaining balance → no patient liability</t>
  </si>
  <si>
    <t>Failure to identify QMB/Medicaid status
Incorrect application of patient responsibility
Eligibility verification gaps
Billing system not configured for QMB rules</t>
  </si>
  <si>
    <t>Verify patient eligibility (QMB/Medicaid status)
Remove patient responsibility from account
Refund any collected deductible (if applicable)
Bill Medicaid as secondary if required
Adjust account accordingly</t>
  </si>
  <si>
    <t>Coinsurance Not Allowed – Medicaid / QMB Patient</t>
  </si>
  <si>
    <t>The claim was adjusted because the patient is a Medicaid beneficiary or Qualified Medicare Beneficiary (QMB), and coinsurance cannot be collected from the patient.
Under QMB guidelines:
The patient has no cost-sharing liability
Providers must not bill or collect coinsurance
Medicaid or payer rules determine any remaining payment</t>
  </si>
  <si>
    <t>Coinsurance applied to QMB patient → adjusted to $0
Patient billed for coinsurance → must be refunded
Medicaid covers remaining balance → no patient liability</t>
  </si>
  <si>
    <t>Failure to verify QMB/Medicaid status
Incorrect coinsurance calculation
System not configured for QMB rules
Billing staff unaware of restrictions</t>
  </si>
  <si>
    <t>Verify QMB/Medicaid eligibility
Remove coinsurance from patient balance
Refund any collected coinsurance
Bill Medicaid if applicable
Adjust account</t>
  </si>
  <si>
    <t>Claim-Level Information Does Not Match</t>
  </si>
  <si>
    <t>The claim was rejected because information at the claim level does not match the details at the service line level, causing inconsistency in claim processing.
Payers require alignment between:
Diagnosis codes
Dates of service
Place of service / revenue codes
Units and charges
On the CMS-1500, mismatches may occur between:
Box 21 (Diagnosis Codes) and Box 24E (Diagnosis Pointers)
Claim-level vs line-level service details in Box 24
On the UB-04, inconsistencies may occur between:
FL 6 (Statement Dates) and FL 45 (Service Dates)
FL 67–72 (Diagnosis Codes) and FL 42–44 (Service Lines)</t>
  </si>
  <si>
    <t>Diagnosis at claim level not linked to service line → rejected
Service dates differ between claim and line → denial
Units/charges mismatch → unprocessable</t>
  </si>
  <si>
    <t>Data entry inconsistencies
Incorrect diagnosis pointers
Mismatched dates or charges
EDI mapping errors</t>
  </si>
  <si>
    <t>Review claim-level and line-level data
Ensure consistency across all fields
Correct diagnosis pointers, dates, and charges
Resubmit claim</t>
  </si>
  <si>
    <t>The claim was rejected because the initial treatment date is missing, incomplete, or invalid, preventing the payer from establishing the start of care and treatment timeline.
This date is required to:
Validate medical necessity and continuity of care
Determine authorization and coverage timelines
Support treatment plans (e.g., therapy, injury-related care)
On the CMS-1500, this is reported in:
Box 14 (Date of Current Illness/Injury or Initial Treatment Date)
On the UB-04, it is reflected through:
FL 6 (Statement From–Through Dates)
Supporting clinical documentation</t>
  </si>
  <si>
    <t>Initial treatment date missing → rejected
Invalid or future date → denial
Date not aligned with treatment records → unprocessable</t>
  </si>
  <si>
    <t>Missing date entry
Incorrect or invalid date format
Mismatch between clinical and billing data
EDI mapping issues</t>
  </si>
  <si>
    <t>Verify correct initial treatment date from records
Update claim with accurate date
Ensure alignment with clinical documentation
Resubmit claim</t>
  </si>
  <si>
    <t>Invalid Frequency of Treatment</t>
  </si>
  <si>
    <t>The claim was rejected because the frequency of treatment (e.g., visits per week/month) is missing, incomplete, or invalid, preventing validation of medical necessity and treatment plan compliance.
Frequency is required to:
Confirm services align with the plan of care
Validate authorization and utilization limits
Ensure appropriate billing of recurring services (e.g., therapy)
On the CMS-1500, frequency is supported through:
Box 24G (Units/Visits)
Linked to Box 21 (Diagnosis Codes)
On the UB-04, it is reflected in:
FL 46 (Units of Service)</t>
  </si>
  <si>
    <t>Therapy billed without frequency details → rejected
Units exceed authorized frequency → denial
Missing treatment schedule in documentation → unprocessable</t>
  </si>
  <si>
    <t>Missing frequency details in documentation
Incorrect unit or visit entry
Lack of alignment with plan of care
EDI or data entry errors</t>
  </si>
  <si>
    <t>Review plan of care for treatment frequency
Ensure units/visits match prescribed frequency
Update claim and documentation if needed
Resubmit claim</t>
  </si>
  <si>
    <t>The claim was rejected because the patient’s weight is missing, incomplete, or invalid, which is required for certain services to determine dosage, medical necessity, or eligibility.
Patient weight is critical for:
Drug dosage calculations
Weight-based procedures/treatments
Clinical validation for specific services
On the CMS-1500, weight is typically included in:
Box 19 (Additional Claim Information) (when required)
On the UB-04, it may be reported in:
FL 39–41 (Value Codes – Patient Weight)</t>
  </si>
  <si>
    <t>Weight missing for weight-based drug → rejected
Invalid or unrealistic weight value → denial
Documentation does not support billed dosage → unprocessable</t>
  </si>
  <si>
    <t>Missing weight in clinical documentation
Incorrect or invalid entry
Lack of integration between EHR and billing
EDI mapping issues</t>
  </si>
  <si>
    <t>Verify patient weight from clinical records
Update claim with accurate weight
Ensure consistency with dosage/services billed
Resubmit claim</t>
  </si>
  <si>
    <t>Invalid Group Name/Number</t>
  </si>
  <si>
    <t>The claim was rejected because the insurance group name and/or group number is missing, incomplete, or invalid, preventing proper identification of the patient’s benefit plan.
Group information is required to:
Identify the employer or plan group
Validate coverage and benefits
Route the claim correctly within the payer system
On the CMS-1500, this is reported in:
Box 11 (Insured’s Policy/Group Number)
On the UB-04, it is reported in:
FL 62 (Insured Group Name)</t>
  </si>
  <si>
    <t>Missing group number → rejected
Invalid group ID → denial
Mismatch with payer records → unprocessable</t>
  </si>
  <si>
    <t>Missing or incorrect insurance details at registration
Data entry errors
Outdated insurance information
EDI mapping issues</t>
  </si>
  <si>
    <t>Verify group name/number from insurance card
Update claim with accurate details
Ensure alignment with payer records
Resubmit claim</t>
  </si>
  <si>
    <t>The claim was rejected because the facility information (e.g., name, address, or identifier) is missing, incomplete, or invalid, preventing proper identification of the service location.
Facility details are required to:
Identify where services were rendered
Validate provider enrollment and location
Apply correct reimbursement rules
On the CMS-1500, facility information is reported in:
Box 32 (Service Facility Location Information)
On the UB-04, it is reported in:
FL 1 (Provider Name and Address)</t>
  </si>
  <si>
    <t>Missing facility address → rejected
Invalid facility information → denial
Mismatch with payer records → unprocessable</t>
  </si>
  <si>
    <t>Missing or incorrect facility details
Data entry errors
Mismatch with provider enrollment records
EDI mapping issues</t>
  </si>
  <si>
    <t>Verify facility name, address, and identifiers
Update claim with accurate information
Ensure alignment with payer enrollment records
Resubmit claim</t>
  </si>
  <si>
    <t>Service Included in Another Procedure</t>
  </si>
  <si>
    <t>The claim was denied because the service is considered part of another procedure that has already been paid.
This follows bundling rules (NCCI edits), where certain services are:
Included in a primary procedure
Not separately reimbursable
On the CMS-1500, procedures are billed in:
Box 24D (CPT/HCPCS + Modifiers)
On the UB-04, they are reported in:
FL 44 (HCPCS)
FL 74 (Procedure Codes)</t>
  </si>
  <si>
    <t>Minor procedure billed separately with major surgery → denied
Evaluation included in procedure → not paid separately
Duplicate or component service billed → rejected</t>
  </si>
  <si>
    <t>Unbundling of services
Lack of awareness of NCCI edits
Missing appropriate modifiers
Coding errors</t>
  </si>
  <si>
    <t>Review bundling (NCCI) guidelines
Remove bundled service or combine billing
Add modifier (e.g., 59) if separately identifiable
Resubmit claim if applicable</t>
  </si>
  <si>
    <t>Invalid Date of Medical Event</t>
  </si>
  <si>
    <t>The claim was rejected because the date of medical event (e.g., accident, injury, onset of illness) is missing, incomplete, or invalid, preventing proper evaluation of medical necessity and claim context.
This date is required to:
Establish cause and timing of condition
Determine liability (e.g., accident-related claims)
Validate coverage and coordination of benefits
On the CMS-1500, this is reported in:
Box 14 (Date of Current Illness/Injury or LMP)
On the UB-04, it is reported in:
FL 31–34 (Occurrence Codes and Dates)</t>
  </si>
  <si>
    <t>Accident date missing on injury claim → rejected
Invalid or future event date → denial
Event date not matching documentation → unprocessable</t>
  </si>
  <si>
    <t>Missing event date during registration
Incorrect or invalid date entry
Lack of documentation
EDI mapping issues</t>
  </si>
  <si>
    <t>Verify correct event date from records
Update claim with accurate date
Ensure alignment with documentation
Resubmit claim</t>
  </si>
  <si>
    <t>Invalid Date of Initial Treatment</t>
  </si>
  <si>
    <t>The claim was rejected because the date of initial treatment is missing, incomplete, or invalid, preventing the payer from establishing the start of care and treatment timeline.
This date is required to:
Validate medical necessity and continuity of care
Determine authorization and coverage timelines
Support treatment plans (e.g., therapy, injury care)
On the CMS-1500, this is reported in:
Box 14 (Date of Current Illness/Injury or Initial Treatment Date)
On the UB-04, it is reflected through:
FL 6 (Statement From–Through Dates)</t>
  </si>
  <si>
    <t>Initial treatment date missing → rejected
Invalid or future date → denial
Date not aligned with records → unprocessable</t>
  </si>
  <si>
    <t>Missing or incorrect date entry
Data entry or format errors
Mismatch with clinical documentation
EDI mapping issues</t>
  </si>
  <si>
    <t>Verify correct initial treatment date
Update claim with accurate date
Ensure alignment with documentation
Resubmit claim</t>
  </si>
  <si>
    <t>Workers' Compensation Fee Schedule Adjustment</t>
  </si>
  <si>
    <t>The claim payment was adjusted based on the workers’ compensation jurisdictional fee schedule, meaning reimbursement is limited to the state-specific allowed amount.
Workers’ compensation programs apply regulated fee schedules that determine:
Maximum allowable reimbursement
Service-specific rates based on jurisdiction
On the CMS-1500, services are billed in:
Box 24D (CPT/HCPCS)
Box 24F (Charges)
On the UB-04, they are reported in:
FL 44 (HCPCS)
FL 47 (Total Charges)</t>
  </si>
  <si>
    <t>Billed charge exceeds state fee schedule → reduced payment
Different state rules applied → adjusted reimbursement
Out-of-network provider paid per WC fee schedule → reduced amount</t>
  </si>
  <si>
    <t>Charges higher than allowed fee schedule
Lack of awareness of state-specific WC rates
Incorrect billing expectations</t>
  </si>
  <si>
    <t>Review applicable state workers’ compensation fee schedule
Compare billed vs allowed amount
Accept adjustment or appeal if discrepancy exists</t>
  </si>
  <si>
    <t>N335—Missing/incomplete/invalid referral date</t>
  </si>
  <si>
    <t>The claim was rejected because the referral date is missing, incomplete, or invalid, preventing the payer from validating that services were properly authorized and within the referral period.
Referral date is required to:
Confirm services were performed after referral was issued
Validate authorization timeframe
Ensure compliance with payer referral requirements (e.g., HMO plans)
On the CMS-1500, referral date is reported in:
Box 14 (Date of Current Illness/Injury or Referral Date)
On the UB-04, there is no direct field, but it may be conveyed via:
FL 31–34 (Occurrence Codes &amp; Dates) (if payer requires)</t>
  </si>
  <si>
    <t>Referral required but date missing → rejected
Service date before referral date → denial
Invalid or future referral date → unprocessable</t>
  </si>
  <si>
    <t>Missing referral information during billing
Incorrect or invalid date entry
Lack of referral tracking
EDI mapping issues</t>
  </si>
  <si>
    <t>Verify referral details from records
Enter correct referral date
Ensure service date falls within referral period
Update claim and resubmit</t>
  </si>
  <si>
    <t>Alert: This is the last monthly installment payment for this durable medical equipment.</t>
  </si>
  <si>
    <t>Alert: You must furnish and service this item for any period of medical need for the remainder of the reasonable useful lifetime of the equipment.</t>
  </si>
  <si>
    <t>Alert: This is the tenth rental month. You must offer the patient the choice of changing the rental to a purchase agreement.</t>
  </si>
  <si>
    <t>Alert: Please see our web site, mailings, or bulletins for more details concerning this policy/procedure/decision.</t>
  </si>
  <si>
    <t>Alert: Payment approved as you did not know, and could not reasonably have been expected to know, that this would not normally have been covered for this patient. In the future, you will be liable for charges for the same service(s) under the same or similar conditions.</t>
  </si>
  <si>
    <t>Alert: The patient has been relieved of liability of payment of these items and services under the limitation of liability provision of the law. The provider is ultimately liable for the patient's waived charges, including any charges for coinsurance, since the items or services were not reasonable and necessary or constituted custodial care, and you knew or could reasonably have been expected to know, that they were not covered. You may appeal this determination. You may ask for an appeal regarding both the coverage determination and the issue of whether you exercised due care. The appeal request must be filed within 120 days of the date you receive this notice. You must make the request through this office.</t>
  </si>
  <si>
    <t>Alert: This is a conditional payment made pending a decision on this service by the patient's primary payer. This payment may be subject to refund upon your receipt of any additional payment for this service from another payer. You must contact this office immediately upon receipt of an additional payment for this service.</t>
  </si>
  <si>
    <t>Missing/incomplete/invalid UPIN for the ordering/referring/performing provider.</t>
  </si>
  <si>
    <t>Claim lacks the CLIA certification number.</t>
  </si>
  <si>
    <t>M35</t>
  </si>
  <si>
    <t>Missing/incomplete/invalid pre-operative photos or visual field results.</t>
  </si>
  <si>
    <t>Alert: The patient is liable for the charges for this service as they were informed in writing before the service was furnished that we would not pay for it and the patient agreed to be responsible for the charges.</t>
  </si>
  <si>
    <t>Alert: The patient is not liable for payment of this service as the advance notice of non-coverage you provided the patient did not comply with program requirements.</t>
  </si>
  <si>
    <t>Payment for this service previously issued to you or another provider by another carrier/intermediary.</t>
  </si>
  <si>
    <t>Payment for services furnished to hospital inpatients (other than professional services of physicians) can only be made to the hospital. You must request payment from the hospital rather than the patient for this service.</t>
  </si>
  <si>
    <t>Missing/incomplete/invalid provider identifier.</t>
  </si>
  <si>
    <t>Missing/incomplete/invalid claim information. Resubmit claim after corrections.</t>
  </si>
  <si>
    <t>We do not pay for more than one of these on the same day.</t>
  </si>
  <si>
    <t>Missing/incomplete/invalid attending, ordering, rendering, supervising or referring physician identification.</t>
  </si>
  <si>
    <t>M72</t>
  </si>
  <si>
    <t>Did not enter full 8-digit date (MM/DD/CCYY).</t>
  </si>
  <si>
    <t>Missing/incomplete/invalid HCPCS modifier.</t>
  </si>
  <si>
    <t>We cannot pay for laboratory tests unless billed by the laboratory that did the work.</t>
  </si>
  <si>
    <t>Services subjected to review under the Home Health Medical Review Initiative.</t>
  </si>
  <si>
    <t>Begin to report the Universal Product Number on claims for items of this type. We will soon begin to deny payment for items of this type if billed without the correct UPN.</t>
  </si>
  <si>
    <t>Begin to report a G1-G5 modifier with this HCPCS. We will soon begin to deny payment for this service if billed without a G1-G5 modifier.</t>
  </si>
  <si>
    <t>Information supplied does not support a break in therapy. A new capped rental period will not begin. This is the maximum approved under the fee schedule for this item or service.</t>
  </si>
  <si>
    <t>Missing/incomplete/invalid provider identifier for the provider who interpreted the diagnostic test.</t>
  </si>
  <si>
    <t>Missing/incomplete/invalid provider identifier for the provider from whom you purchased interpretation services.</t>
  </si>
  <si>
    <t>Letter to follow containing further information.</t>
  </si>
  <si>
    <t>M120</t>
  </si>
  <si>
    <t>Missing/incomplete/invalid provider identifier for the substituting physician who furnished the service(s) under a reciprocal billing or locum tenens arrangement.</t>
  </si>
  <si>
    <t>Missing/incomplete/invalid date of the patient's last physician visit.</t>
  </si>
  <si>
    <t>Service not covered until after the patient's 50th birthday, i.e., no coverage prior to the day after the 50th birthday</t>
  </si>
  <si>
    <t>MA03</t>
  </si>
  <si>
    <t>If you do not agree with the approved amounts and $100 or more is in dispute (less deductible and coinsurance), you may ask for a hearing within six months of the date of this notice. To meet the $100, you may combine amounts on other claims that have been denied, including reopened appeals if you received a revised decision. You must appeal each claim on time.</t>
  </si>
  <si>
    <t>MA05</t>
  </si>
  <si>
    <t>Incorrect admission date patient status or type of bill entry on claim.</t>
  </si>
  <si>
    <t>MA06</t>
  </si>
  <si>
    <t>Missing/incomplete/invalid beginning and/or ending date(s).</t>
  </si>
  <si>
    <t>Alert: The claim information has also been forwarded to Medicaid for review.</t>
  </si>
  <si>
    <t>Alert: Claim information was not forwarded because the supplemental coverage is not with a Medigap plan, or you do not participate in Medicare.</t>
  </si>
  <si>
    <t>Alert: Claim submitted as unassigned but processed as assigned in accordance with our current assignment/participation agreement.</t>
  </si>
  <si>
    <t>Alert: The patient's payment was in excess of the amount owed. You must refund the overpayment to the patient.</t>
  </si>
  <si>
    <t>MA11</t>
  </si>
  <si>
    <t>Payment is being issued on a conditional basis. If no-fault insurance, liability insurance, Workers' Compensation, Department of Veterans Affairs, or a group health plan for employees and dependents also covers this claim, a refund may be due us. Please contact us if the patient is covered by any of these sources.</t>
  </si>
  <si>
    <t>Alert: You may be subject to penalties if you bill the patient for amounts not reported with the PR (patient responsibility) group code.</t>
  </si>
  <si>
    <t>Alert: The patient is a member of an employer-sponsored prepaid health plan. Services from outside that health plan are not covered. However, as you were not previously notified of this, we are paying this time. In the future, we will not pay you for non-plan services.</t>
  </si>
  <si>
    <t>Alert: Your claim has been separated to expedite handling. You will receive a separate notice for the other services reported.</t>
  </si>
  <si>
    <t>Alert: Information was not sent to the Medigap insurer due to incorrect/invalid information you submitted concerning that insurer. Please verify your information and submit your secondary claim directly to that insurer.</t>
  </si>
  <si>
    <t>Alert: Our records indicate that you were previously informed of this rule.</t>
  </si>
  <si>
    <t>Alert: Receipt of this notice by a physician or supplier who did not accept assignment is for information only and does not make the physician or supplier a party to the determination. No additional rights to appeal this decision, above those rights already provided for by regulation/instruction, are conferred by receipt of this notice.</t>
  </si>
  <si>
    <t>MA29</t>
  </si>
  <si>
    <t>Missing/incomplete/invalid provider name, city, state, or zip code.</t>
  </si>
  <si>
    <t>Missing/incomplete/invalid birth date.</t>
  </si>
  <si>
    <t>Alert: No appeal rights. Adjudicative decision based on law.</t>
  </si>
  <si>
    <t>Alert: As previously advised, a portion or all of your payment is being held in a special account.</t>
  </si>
  <si>
    <t>Alert: The new information was considered but additional payment will not be issued.</t>
  </si>
  <si>
    <t>Missing/incomplete/invalid six-digit provider identifier for home health agency or hospice for physician(s) performing care plan oversight services.</t>
  </si>
  <si>
    <t>MA51</t>
  </si>
  <si>
    <t>Missing/incomplete/invalid CLIA certification number for laboratory services billed by physician office laboratory.</t>
  </si>
  <si>
    <t>MA52</t>
  </si>
  <si>
    <t>Missing/incomplete/invalid date.</t>
  </si>
  <si>
    <t>Alert: The patient overpaid you for these services. You must issue the patient a refund within 30 days for the difference between his/her payment and the total amount shown as patient responsibility on this notice.</t>
  </si>
  <si>
    <t>Alert: This is a telephone review decision.</t>
  </si>
  <si>
    <t>Alert: Correction to a prior claim.</t>
  </si>
  <si>
    <t>Alert: We did not crossover this claim because the secondary insurance information on the claim was incomplete. Please supply complete information or use the PLANID of the insurer to assure correct and timely routing of the claim.</t>
  </si>
  <si>
    <t>Alert: The patient overpaid you for these assigned services. You must issue the patient a refund within 30 days for the difference between his/her payment to you and the total of the amount shown as patient responsibility and as paid to the patient on this notice.</t>
  </si>
  <si>
    <t>Alert: This payment replaces an earlier payment for this claim that was either lost, damaged or returned.</t>
  </si>
  <si>
    <t>Alert: The patient overpaid you. You must issue the patient a refund within 30 days for the difference between the patient's payment less the total of our and other payer payments and the amount shown as patient responsibility on this notice.</t>
  </si>
  <si>
    <t>The patient overpaid you. You must issue the patient a refund within 30 days for the difference between our allowed amount total and the amount paid by the patient.</t>
  </si>
  <si>
    <t>Missing/incomplete/invalid provider/supplier billing number/identifier or billing name, address, city, state, zip code, or phone number.</t>
  </si>
  <si>
    <t>MA85</t>
  </si>
  <si>
    <t>Our records indicate that a primary payer exists (other than ourselves); however, you did not complete or enter accurately the insurance plan/group/program name or identification number. Enter the PlanID when effective.</t>
  </si>
  <si>
    <t>Missing/incomplete/invalid group or policy number of the insured for the primary coverage.</t>
  </si>
  <si>
    <t>Missing/incomplete/invalid insured's name for the primary payer.</t>
  </si>
  <si>
    <t>Alert: This determination is the result of the appeal you filed.</t>
  </si>
  <si>
    <t>A not otherwise classified or unlisted procedure code(s) was billed but a narrative description of the procedure was not entered on the claim. Refer to item 19 on the HCFA-1500.</t>
  </si>
  <si>
    <t>Claim Rejected. Does not contain the correct Medicare Managed Care Demonstration contract number for this beneficiary.</t>
  </si>
  <si>
    <t>A Skilled Nursing Facility (SNF) is responsible for payment of outside providers who furnish these services/supplies to residents.</t>
  </si>
  <si>
    <t>MA102</t>
  </si>
  <si>
    <t>Missing/incomplete/invalid name or provider identifier for the rendering/referring/ ordering/ supervising provider.</t>
  </si>
  <si>
    <t>MA104</t>
  </si>
  <si>
    <t>Missing/incomplete/invalid date the patient was last seen or the provider identifier of the attending physician.</t>
  </si>
  <si>
    <t>Missing/incomplete/invalid provider number for this place of service.</t>
  </si>
  <si>
    <t>Alert: No Medicare payment issued for this claim for services or supplies furnished to a Medicare-eligible veteran through a facility of the Department of Veterans Affairs. Coinsurance and/or deductible are applicable.</t>
  </si>
  <si>
    <t>Provider level adjustment for late claim filing applies to this claim.</t>
  </si>
  <si>
    <t>MA124</t>
  </si>
  <si>
    <t>Processed for IME only.</t>
  </si>
  <si>
    <t>Reserved for future use.</t>
  </si>
  <si>
    <t>MA129</t>
  </si>
  <si>
    <t>This provider was not certified for this procedure on this date of service.</t>
  </si>
  <si>
    <t>Alert: You may appeal this decision in writing within the required time limits following receipt of this notice by following the instructions included in your contract, plan benefit documents or jurisdiction statutes. Refer to the URL provided in the ERA for the payer website to access the appeals process guidelines.</t>
  </si>
  <si>
    <t>Alert: Processing of this claim/service has included consideration under Major Medical provisions.</t>
  </si>
  <si>
    <t>Payment based on a contractual amount or agreement, fee schedule, or maximum allowable amount.</t>
  </si>
  <si>
    <t>Per admission deductible.</t>
  </si>
  <si>
    <t>N18</t>
  </si>
  <si>
    <t>Payment based on the Medicare allowed amount.</t>
  </si>
  <si>
    <t>Alert: Your line item has been separated into multiple lines to expedite handling.</t>
  </si>
  <si>
    <t>Alert: This procedure code was added/changed because it more accurately describes the services rendered.</t>
  </si>
  <si>
    <t>Alert: Patient liability may be affected due to coordination of benefits with other carriers and/or maximum benefit provisions.</t>
  </si>
  <si>
    <t>Missing documentation/orders/notes/summary/report/chart.</t>
  </si>
  <si>
    <t>N38</t>
  </si>
  <si>
    <t>Missing/incomplete/invalid place of service.</t>
  </si>
  <si>
    <t>Authorization request denied.</t>
  </si>
  <si>
    <t>Payer's share of regulatory surcharges, assessments, allowances or health care-related taxes paid directly to the regulatory authority.</t>
  </si>
  <si>
    <t>Alert: Please refer to your provider manual for additional program and provider information.</t>
  </si>
  <si>
    <t>A valid NDC is required for payment of drug claims effective October 02.</t>
  </si>
  <si>
    <t>N66</t>
  </si>
  <si>
    <t>Missing/incomplete/invalid documentation.</t>
  </si>
  <si>
    <t>Alert: PPS (Prospective Payment System) code changed by claims processing system.</t>
  </si>
  <si>
    <t>N73</t>
  </si>
  <si>
    <t>A Skilled Nursing Facility is responsible for payment of outside providers who furnish these services/supplies under arrangement to its residents.</t>
  </si>
  <si>
    <t>Alert: Further installment payments are forthcoming.</t>
  </si>
  <si>
    <t>Alert: This is the final installment payment.</t>
  </si>
  <si>
    <t>Alert: 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</si>
  <si>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Alert: Payment information for this claim has been forwarded to more than one other payer, but format limitations permit only one of the secondary payers to be identified in this remittance advice.</t>
  </si>
  <si>
    <t>PPS (Prospect Payment System) code corrected during adjudication.</t>
  </si>
  <si>
    <t>Additional information is needed in order to process this claim. Please resubmit the claim with the identification number of the provider where this service took place. The Medicare number of the site of service provider should be preceded with the letters 'HSP' and entered into item #32 on the claim form. You may bill only one site of service provider number per claim.</t>
  </si>
  <si>
    <t>This claim has been denied without reviewing the medical/dental record because the requested records were not received or were not received timely.</t>
  </si>
  <si>
    <t>Alert: This claim/service was chosen for complex review.</t>
  </si>
  <si>
    <t>Alert: 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t>
  </si>
  <si>
    <t>Alert: This is a split service and represents a portion of the units from the originally submitted service.</t>
  </si>
  <si>
    <t>Alert: Payments will cease for services rendered by this US Government debarred or excluded provider after the 30 day grace period as previously notified.</t>
  </si>
  <si>
    <t>Alert: Services for predetermination and services requesting payment are being processed separately.</t>
  </si>
  <si>
    <t>Alert: This represents your scheduled payment for this service. If treatment has been discontinued, please contact Customer Service.</t>
  </si>
  <si>
    <t>Alert: To obtain information on the process to file an appeal in Arizona, call the Department's Consumer Assistance Office at (602) 912-8444 or (800) 325-2548.</t>
  </si>
  <si>
    <t>Alert: The provider acting on the Member's behalf, may file an appeal with the Payer. The provider, acting on the Member's behalf, may file a complaint with the State Insurance Regulatory Authority without first filing an appeal, if the coverage decision involves an urgent condition for which care has not been rendered. The address may be obtained from the State Insurance Regulatory Authority.</t>
  </si>
  <si>
    <t>Alert: In the event you disagree with the Dental Advisor's opinion and have additional information relative to the case, you may submit radiographs to the Dental Advisor Unit at the subscriber's dental insurance carrier for a second Independent Dental Advisor Review.</t>
  </si>
  <si>
    <t>Alert: Under 32 CFR 199.13, a non-participating provider is not an appropriate appealing party. Therefore, if you disagree with the Dental Advisor's opinion, you may appeal the determination if appointed in writing, by the beneficiary, to act as his/her representative. Should you be appointed as a representative, submit a copy of this letter, a signed statement explaining the matter in which you disagree, and any radiographs and relevant information to the subscriber's Dental insurance carrier within 90 days from the date of this letter.</t>
  </si>
  <si>
    <t>Alert: You have not been designated as an authorized OCONUS provider therefore are not considered an appropriate appealing party. If the beneficiary has appointed you, in writing, to act as his/her representative and you disagree with the Dental Advisor's opinion, you may appeal by submitting a copy of this letter, a signed statement explaining the matter in which you disagree, and any relevant information to the subscriber's Dental insurance carrier within 90 days from the date of this letter.</t>
  </si>
  <si>
    <t>Missing/incomplete/invalid provider identifier for this place of service.</t>
  </si>
  <si>
    <t>Alert: This payment was delayed for correction of provider's mailing address.</t>
  </si>
  <si>
    <t>Alert: Our records do not indicate that other insurance is on file. Please submit other insurance information for our records.</t>
  </si>
  <si>
    <t>Alert: The patient is responsible for the difference between the approved treatment and the elective treatment.</t>
  </si>
  <si>
    <t>Alert: Although your claim was paid, you have billed for a test/specialty not included in your Laboratory Certification. Your failure to correct the laboratory certification information will result in a denial of payment in the near future.</t>
  </si>
  <si>
    <t>N166</t>
  </si>
  <si>
    <t>Alert: We did not send this claim to patient's other insurer. They have indicated no additional payment can be made.</t>
  </si>
  <si>
    <t>Alert: This is a predetermination advisory message, when this service is submitted for payment additional documentation as specified in plan documents will be required to process benefits.</t>
  </si>
  <si>
    <t>Alert: Do not resubmit this claim/service.</t>
  </si>
  <si>
    <t>Alert: You may request a review in writing within the required time limits following receipt of this notice by following the instructions included in your contract or plan benefit documents.</t>
  </si>
  <si>
    <t>Alert: This service has been paid as a one-time exception to the plan's benefit restrictions.</t>
  </si>
  <si>
    <t>Alert: Patient is a Medicaid/Qualified Medicare Beneficiary.</t>
  </si>
  <si>
    <t>Alert: Specific federal/state/local program may cover this service through another payer.</t>
  </si>
  <si>
    <t>Alert: Patient eligible to apply for other coverage which may be primary.</t>
  </si>
  <si>
    <t>A mental health facility is responsible for payment of outside providers who furnish these services/supplies to residents.</t>
  </si>
  <si>
    <t>Alert: Additional information/explanation will be sent separately.</t>
  </si>
  <si>
    <t>Alert: You may appeal this decision.</t>
  </si>
  <si>
    <t>Alert: You may not appeal this decision.</t>
  </si>
  <si>
    <t>Alert: A payer providing supplemental or secondary coverage shall not require a claims determination for this service from a primary payer as a condition of making its own claims determination.</t>
  </si>
  <si>
    <t>Alert: See the payer's web site or contact the payer's Customer Service department to obtain forms and instructions for filing a provider dispute.</t>
  </si>
  <si>
    <t>N225</t>
  </si>
  <si>
    <t>Incomplete/invalid documentation/orders/notes/summary/report/chart.</t>
  </si>
  <si>
    <t>Alert: There are no scheduled payments for this service. Submit a claim for each patient visit.</t>
  </si>
  <si>
    <t>Alert: Benefits have been estimated, when the actual services have been rendered, additional payment will be considered based on the submitted claim.</t>
  </si>
  <si>
    <t>Alert: The law permits exceptions to the refund requirement in two cases: - If you did not know, and could not have reasonably been expected to know, that we would not pay for this service; or - If you notified the patient in writing before providing the service that you believed that we were likely to deny the service, and the patient signed a statement agreeing to pay for the service.</t>
  </si>
  <si>
    <t>Alert: This decision may be reviewed if additional documentation as described in the contract or plan benefit documents is submitted.</t>
  </si>
  <si>
    <t>Alert: Coordination of benefits has not been calculated when estimating benefits for this pre-determination. Submit payment information from the primary payer with the secondary claim.</t>
  </si>
  <si>
    <t>Payment adjusted based on multiple diagnostic imaging procedure rules</t>
  </si>
  <si>
    <t>Alert: in the near future we are implementing new policies/procedures that would affect this determination.</t>
  </si>
  <si>
    <t>Alert: According to our agreement, you must waive the deductible and/or coinsurance amounts.</t>
  </si>
  <si>
    <t>This procedure code is not payable. It is for reporting/information purposes only.</t>
  </si>
  <si>
    <t>Alert: The claim information has been forwarded to a Consumer Spending Account processor for review; for example, flexible spending account or health savings account.</t>
  </si>
  <si>
    <t>Alert: Although this claim has been processed, it is deficient according to state legislation/regulation.</t>
  </si>
  <si>
    <t>Alert: title of this equipment must be transferred to the patient.</t>
  </si>
  <si>
    <t>Alert: Consult our contractual agreement for restrictions/billing/payment information related to these charges.</t>
  </si>
  <si>
    <t>This decision was based on a National Coverage Determination (NCD). An NCD provides a coverage determination as to whether a particular item or service is covered. Visit CMS.gov and search for Medicare Coverage Database to find a copy of the policy.</t>
  </si>
  <si>
    <t>Alert: Submit this claim to the patient's other insurer for potential payment of supplemental benefits. We did not forward the claim information.</t>
  </si>
  <si>
    <t>Alert: Electronically enabled providers should submit claims electronically.</t>
  </si>
  <si>
    <t>Alert: Adjustment based on a Recovery Audit.</t>
  </si>
  <si>
    <t>Alert: If the injury claim is accepted, these charges will be reconsidered.</t>
  </si>
  <si>
    <t>Alert: This facility has not filed the Election for High Cost Outlier form with the Division of Workers' Compensation.</t>
  </si>
  <si>
    <t>Alert: Claim/Service(s) subject to appeal process, see section 935 of Medicare Prescription Drug, Improvement, and Modernization Act of 2003 (MMA).</t>
  </si>
  <si>
    <t>Missing Periodontal Charts.</t>
  </si>
  <si>
    <t>Incomplete/invalid Periodontal Charts.</t>
  </si>
  <si>
    <t>Alert: A network provider may bill the member for this service if the member requested the service and agreed in writing, prior to receiving the service, to be financially responsible for the billed charge.</t>
  </si>
  <si>
    <t>Alert: This response includes only services that could be estimated in real-time. No estimate will be provided for the services that could not be estimated in real-time.</t>
  </si>
  <si>
    <t>Alert: This is an estimate of the member's liability based on the information available at the time the estimate was processed. Actual coverage and member liability amounts will be determined when the claim is processed. This is not a pre-authorization or a guarantee of payment.</t>
  </si>
  <si>
    <t>Alert: This real-time claim adjudication response represents the member responsibility to the provider for services reported. The member will receive an Explanation of Benefits electronically or in the mail. Contact the insurer if there are any questions.</t>
  </si>
  <si>
    <t>Alert: A current inquiry shows the member's Consumer Spending Account contains sufficient funds to cover the member liability for this claim/service. Actual payment from the Consumer Spending Account will depend on the availability of funds and determination of eligible services at the time of payment processing.</t>
  </si>
  <si>
    <t>Alert: 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t>
  </si>
  <si>
    <t>Alert: Information on the availability of Consumer Spending Account funds to cover the member liability on this claim/service is not available at this time.</t>
  </si>
  <si>
    <t>Alert: This is the initial remit of a non-NCPDP claim originally submitted real-time without change to the adjudication.</t>
  </si>
  <si>
    <t>Alert: This is the initial remit of a non-NCPDP claim originally submitted real-time with a change to the adjudication.</t>
  </si>
  <si>
    <t>Alert: Submit this claim to the patient's other insurer for potential payment of supplemental benefits. We did not forward the claim information. (use N387 instead)</t>
  </si>
  <si>
    <t>Alert: Payment made from a Consumer Spending Account.</t>
  </si>
  <si>
    <t>Alert: We processed appeals/waiver requests on your behalf and that request has been denied.</t>
  </si>
  <si>
    <t>Alert: Although this was paid, you have billed with a referring/ordering provider that does not match our system record. Unless corrected this will not be paid in the future.</t>
  </si>
  <si>
    <t>Alert: Patient's calendar year deductible has been met.</t>
  </si>
  <si>
    <t>Alert: Patient's calendar year out-of-pocket maximum has been met.</t>
  </si>
  <si>
    <t>Alert: You have not responded to requests to revalidate your provider/supplier enrollment information. Your failure to revalidate your enrollment information will result in a payment hold in the near future.</t>
  </si>
  <si>
    <t>N553</t>
  </si>
  <si>
    <t>Payment adjusted based on a Low Income Subsidy (LIS) retroactive coverage or status change.</t>
  </si>
  <si>
    <t>Alert: Missing required provider/supplier issuance of advance patient notice of non-coverage. The patient is not liable for payment for this service.</t>
  </si>
  <si>
    <t>Alert: This non-payable reporting code requires a modifier. Future claims containing this non-payable reporting code must include an appropriate modifier for the claim to be processed.</t>
  </si>
  <si>
    <t>Alert: This procedure code requires functional reporting. Future claims containing this procedure code must include an applicable non-payable code and appropriate modifiers for the claim to be processed.</t>
  </si>
  <si>
    <t>Alert: Initial payment based on the Notice of Admission (NOA) under the Bundled Payment Model IV initiative.</t>
  </si>
  <si>
    <t>Alert: Payment will be issued quarterly by another payer/contractor.</t>
  </si>
  <si>
    <t>Alert: You have been overpaid and must refund the overpayment. The refund will be requested separately by another payer/contractor.</t>
  </si>
  <si>
    <t>Alert: Payment based on an appropriate level of care.</t>
  </si>
  <si>
    <t>Alert: Although this was paid, you have billed with an ordering provider that needs to update their enrollment record. Please verify that the ordering provider information you submitted on the claim is accurate and if it is, contact the ordering provider instructing them to update their enrollment record. Unless corrected, a claim with this ordering provider will not be paid in the future.</t>
  </si>
  <si>
    <t>Alert: Additional information is included in the 835 Healthcare Policy Identification Segment (loop 2110 Service Payment Information).</t>
  </si>
  <si>
    <t>Alert: This enrollee receiving advance payments of the premium tax credit is in the grace period of three consecutive months for non-payment of premium. Under 45 CFR 156.270, a Qualified Health Plan issuer must pay all appropriate claims for services rendered to the enrollee during the first month of the grace period and may pend claims for services rendered to the enrollee in the second and third months of the grace period.</t>
  </si>
  <si>
    <t>Alert: This enrollee is in the first month of the advance premium tax credit grace period.</t>
  </si>
  <si>
    <t>Alert: This claim will automatically be reprocessed if the enrollee pays their premiums.</t>
  </si>
  <si>
    <t>Alert: This procedure code is for quality reporting/informational purposes only.</t>
  </si>
  <si>
    <t>N632</t>
  </si>
  <si>
    <t>According to the Official Medical Fee Schedule this service has a relative value of zero and therefore no payment is due.</t>
  </si>
  <si>
    <t>Alert: Consideration of payment will be made upon receipt of a final bill.</t>
  </si>
  <si>
    <t>Alert: Amount applied to Health Insurance Offset.</t>
  </si>
  <si>
    <t>Alert: Films/Images will not be returned.</t>
  </si>
  <si>
    <t>Alert: This reversal is due to a retroactive disenrollment.</t>
  </si>
  <si>
    <t>Alert: This reversal is due to a medical or utilization review decision.</t>
  </si>
  <si>
    <t>Alert: This reversal is due to a retroactive rate change.</t>
  </si>
  <si>
    <t>Alert: This reversal is due to a provider submitted appeal.</t>
  </si>
  <si>
    <t>Alert: This reversal is due to a patient submitted appeal.</t>
  </si>
  <si>
    <t>Alert: This reversal is due to an incorrect rate on the initial adjudication.</t>
  </si>
  <si>
    <t>Alert: This reversal is due to a cancellation of the claim by the provider.</t>
  </si>
  <si>
    <t>Alert: This reversal is due to a resubmission/change to the claim by the provider.</t>
  </si>
  <si>
    <t>Alert: This reversal is due to incorrect patient financial responsibility information on the initial adjudication.</t>
  </si>
  <si>
    <t>Alert: This reversal is due to a Coordination of Benefits or Third Party Liability Recovery retroactive adjustment.</t>
  </si>
  <si>
    <t>Alert: This reversal is due to a payer's retroactive contract incentive program adjustment.</t>
  </si>
  <si>
    <t>Alert: This reversal is due to non-payment of the health insurance premiums (Health Insurance Exchange or other) by the end of the premium payment grace period, resulting in loss of coverage.</t>
  </si>
  <si>
    <t>Alert: You may not appeal this decision but can resubmit this claim/service with corrected information if warranted.</t>
  </si>
  <si>
    <t>Alert: The patient overpaid you. You may need to issue the patient a refund for the difference between the patient's payment and the amount shown as patient responsibility on this notice.</t>
  </si>
  <si>
    <t>N735</t>
  </si>
  <si>
    <t>Adjustment without review of medical/dental record because the requested records were not received or were not received timely.</t>
  </si>
  <si>
    <t>Alert: This claim was processed based on one or more ICD-9 codes. The transition to ICD-10 is required by October 1, 2015, for health care providers, health plans, and clearinghouses. More information can be found at http://www.cms.gov/Medicare/Coding/ICD10/ProviderResources.html</t>
  </si>
  <si>
    <t>Alert: Under Federal law you cannot charge more than the limiting charge amount.</t>
  </si>
  <si>
    <t>Alert: Rebill urgent/emergent and ancillary services separately.</t>
  </si>
  <si>
    <t>Alert: Refer to your Third Party Processor Agreement for specific information on fees associated with this payment type.</t>
  </si>
  <si>
    <t>Alert: Patient is a Medicaid/ Qualified Medicare Beneficiary. Review your records for any wrongfully collected deductible. This amount may be billed to a subsequent payer.</t>
  </si>
  <si>
    <t>Alert: Patient is a Medicaid/ Qualified Medicare Beneficiary. Review your records for any wrongfully collected coinsurance. This amount may be billed to a subsequent payer.</t>
  </si>
  <si>
    <t>Alert: Patient is a Medicaid/ Qualified Medicare Beneficiary. Review your records for any wrongfully collected copayment. This amount may be billed to a subsequent payer.</t>
  </si>
  <si>
    <t>Alert: Under 42 CFR 410.43, an eligible Partial Hospitalization Program (PHP) patient/beneficiary requires a minimum of 20 hours of PHP services per week, as evidenced in the plan of care. PHP services must be furnished in accordance with the plan of care.</t>
  </si>
  <si>
    <t>Alert: The third-party administrator/review organization did not receive the required information.</t>
  </si>
  <si>
    <t>Alert: Starting January 1, 2020, Medicare will ONLY accept claims submitted with the Medicare Beneficiary Identifier (MBI). Medicare will reject any claims submitted with the Health Insurance Claim Number (HICN) with a few exceptions. Please see www.cms.gov/Medicare/New-Medicare-Card/index.html for more information.</t>
  </si>
  <si>
    <t>Alert: The claim/service was processed through the Outpatient Code Editor (OCE).</t>
  </si>
  <si>
    <t>Alert: The claim/service was processed through the Correct Code Editor (CCE).</t>
  </si>
  <si>
    <t>Alert: The fee schedule amount for this service was adjusted based on prior competitive bidding rates. For more information, contact your local contractor.</t>
  </si>
  <si>
    <t>Alert: Due to federal, state or local disaster declaration, this claim has been processed at the in-network level of benefit. At the conclusion or expiration of the disaster declaration, network payment rules will be reinstated.</t>
  </si>
  <si>
    <t>Alert: Applicable laboratories are required to collect and report private payor data and report that data to CMS between January 1, 2020 - March 31, 2020.</t>
  </si>
  <si>
    <t>Alert: Payment is suppressed due to a contracted funding.</t>
  </si>
  <si>
    <t>Alert: The charge[s] for this service was processed in accordance with Federal/ State, Balance Billing/ No Surprise Billing regulations. As such, any amount identified with OA, CO, or PI cannot be collected from the member and may be considered provider liability or be billable to a subsequent payer. Any amount the provider collected over the identified PR amount must be refunded to the patient within applicable Federal/State timeframes. Payment amounts are eligible for dispute pursuant to any Federal/State documented appeal/grievance process(es).</t>
  </si>
  <si>
    <t>Alert: Missing modifier was added.</t>
  </si>
  <si>
    <t>Alert: Service/procedure postponed due to a federal, state, or local mandate/disaster declaration. Any amounts applied to deductible or member liability will be applied to the prior plan year from which the procedure was cancelled.</t>
  </si>
  <si>
    <t>Alert: North Dakota Administrative Rule 92-01-02-50.3.</t>
  </si>
  <si>
    <t>Alert: Patient cannot be billed for charges.</t>
  </si>
  <si>
    <t>Alert: Nebraska Legislative LB997 July 24, 2020 - Out of Network Emergency Medical Care Act.</t>
  </si>
  <si>
    <t>Alert: If you have primary other health insurance (OHI) coverage that has denied services, you must exhaust all appeal levels with your primary OHI before we can consider your claim for reimbursement.</t>
  </si>
  <si>
    <t>Alert: State regulations relating to an Out of Network Medical Emergency Care Act were applied to the processing of this claim. Payment amounts are eligible for dispute following the state's documented appeal/ grievance/ arbitration process.</t>
  </si>
  <si>
    <t>Alert: The Federal No Surprise Billing Act was applied to the processing of this claim. Payment amounts are eligible for dispute pursuant to any Federal documented appeal/ grievance/ dispute resolution process(es).</t>
  </si>
  <si>
    <t>Alert: The Federal No Surprise Billing Act Qualified Payment Amount (QPA) was used to calculate the member cost share(s).</t>
  </si>
  <si>
    <t>Alert: Mismatch between the submitted Patient Liability/Share of Cost and the amount on record for this recipient.</t>
  </si>
  <si>
    <t>Alert: Member cost share is in compliance with the No Surprises Act, and is calculated using the lesser of the QPA or billed charge.</t>
  </si>
  <si>
    <t>Alert: This claim is subject to the No Surprises Act (NSA). The amount paid is the final out-of-network rate and was calculated based on an All Payer Model Agreement, in accordance with the NSA.</t>
  </si>
  <si>
    <t>Alert: This claim is subject to the No Surprises Act provisions that apply to emergency services.</t>
  </si>
  <si>
    <t>Alert: This claim is subject to the No Surprises Act provisions that apply to nonemergency services furnished by nonparticipating providers during a patient visit to a participating facility.</t>
  </si>
  <si>
    <t>Alert: This claim is subject to the No Surprises Act provisions that apply to services furnished by nonparticipating providers of air ambulance services.</t>
  </si>
  <si>
    <t>Alert: Cost sharing was calculated based on a specified state law, in accordance with the No Surprises Act.</t>
  </si>
  <si>
    <t>Alert: Cost sharing was calculated based on an All-Payer Model Agreement, in accordance with the No Surprises Act.</t>
  </si>
  <si>
    <t>Alert: Cost sharing was calculated based on the qualifying payment amount, in accordance with the No Surprises Act.</t>
  </si>
  <si>
    <t>Alert: In accordance with the No Surprises Act, cost sharing was based on the billed amount because the billed amount was lower than the qualifying payment amount.</t>
  </si>
  <si>
    <t>Alert: This initial payment was calculated based on a specified state law, in accordance with the No Surprises Act.</t>
  </si>
  <si>
    <t>Alert: This final payment was calculated based on a specified state law, in accordance with the No Surprises Act.</t>
  </si>
  <si>
    <t>Alert: This final payment was calculated based on an All-Payer Model Agreement, in accordance with the No Surprises Act.</t>
  </si>
  <si>
    <t>Alert: This final payment was determined through open negotiation, in accordance with the No Surprises Act.</t>
  </si>
  <si>
    <t>Alert: This final payment equals the amount selected as the out-of-network rate by a Federal Independent Dispute Resolution Entity, in accordance with the No Surprises Act.</t>
  </si>
  <si>
    <t>Alert: This item or service is covered under the plan. This is a notice of denial of payment provided in accordance with the No Surprises Act. The provider or facility may initiate open negotiation if they desire to negotiate a higher out-of-network rate than the amount paid by the patient in cost sharing.</t>
  </si>
  <si>
    <t>Alert: This initial payment is provided in accordance with the No Surprises Act. The provider or facility may initiate open negotiation if they desire to negotiate a higher out-of-network rate.</t>
  </si>
  <si>
    <t>Alert: The provider or facility specified that notice was provided and consent to balance bill obtained, but notice and consent was not provided and obtained in a manner consistent with applicable Federal law. Thus, cost sharing and the total amount paid have been calculated based on the requirements under the No Surprises Act, and balance billing is prohibited.</t>
  </si>
  <si>
    <t>Alert: The notice and consent to balance bill, and to be charged out-of-network cost sharing, that was obtained from the patient with regard to the billed services, is not permitted for these services. Thus, cost sharing and the total amount paid have been calculated based on the requirements under the No Surprises Act, and balance billing is prohibited.</t>
  </si>
  <si>
    <t>Alert: The out-of-network payment and cost sharing amounts were based on the plan's allowance because the provider or facility obtained the patient's consent to waive the balance billing protections under the No Surprises Act.</t>
  </si>
  <si>
    <t>Alert: Processed according to state law</t>
  </si>
  <si>
    <t>Alert: The No Surprises Act may apply to this claim. Please contact payer for instructions on how to submit information regarding whether or not the item or service was furnished during a patient visit to a participating facility.</t>
  </si>
  <si>
    <t>Alert: This claim was not processed in accordance with the No Surprises Act cost-sharing or out-of-network payment requirements. The payer disagrees with your determination that those requirements apply. You may contact the payer to find out why it disagrees. You may appeal this adverse determination on behalf of the patient through the payer’s internal appeals and external review processes.</t>
  </si>
  <si>
    <t>Alert: A Health Care Claim Request for Additional Information (277 RFAI) has been sent.</t>
  </si>
  <si>
    <t>Alert: An electronic request for additional information has been sent for this claim.</t>
  </si>
  <si>
    <t>Alert: This claim was originally processed in real-time, and we sent a real-time 835 response.</t>
  </si>
  <si>
    <t>Alert: These payments are made subject to a reservation of rights for the Payor to recoup or otherwise recover all or part of these payments based on any of the following: outcome of pending or future litigation/ new or updated state, federal or regulatory guidance/ any other actions that may affect the Payor's obligation to make these payments.</t>
  </si>
  <si>
    <t>N917</t>
  </si>
  <si>
    <t>Alternative refund amount has been calculated because the maximum fair price is below the 340B ceiling price.</t>
  </si>
  <si>
    <t>N918</t>
  </si>
  <si>
    <t>No refund because CMS excludes prescription drug event records when a compound code indicates it is for a compounded drug.</t>
  </si>
  <si>
    <t>N919</t>
  </si>
  <si>
    <t>Family/member out-of-pocket maximum has been met.</t>
  </si>
  <si>
    <t>N920</t>
  </si>
  <si>
    <t>Payment to the provider has been placed on hold as a result of active contract (re)negotiation.</t>
  </si>
  <si>
    <t>N921</t>
  </si>
  <si>
    <t>The time limit for filing a reconsideration or appeal has expired.</t>
  </si>
  <si>
    <t>N922</t>
  </si>
  <si>
    <t>Missing primary care dentist information.</t>
  </si>
  <si>
    <t>The procedure code is inconsistent with the modifier used. Usage: Refer to the 835 Healthcare Policy Identification Segment (loop 2110 Service Payment Information REF), if present.</t>
  </si>
  <si>
    <t>The procedure code/type of bill is inconsistent with the place of service. Usage: Refer to the 835 Healthcare Policy Identification Segment (loop 2110 Service Payment Information REF), if present.</t>
  </si>
  <si>
    <t>The procedure/revenue code is inconsistent with the patient's age. Usage: Refer to the 835 Healthcare Policy Identification Segment (loop 2110 Service Payment Information REF), if present.</t>
  </si>
  <si>
    <t>The procedure/revenue code is inconsistent with the patient's gender. Usage: Refer to the 835 Healthcare Policy Identification Segment (loop 2110 Service Payment Information REF), if present.</t>
  </si>
  <si>
    <t>The procedure code is inconsistent with the provider type/specialty (taxonomy). Usage: Refer to the 835 Healthcare Policy Identification Segment (loop 2110 Service Payment Information REF), if present.</t>
  </si>
  <si>
    <t>The diagnosis is inconsistent with the patient's age. Usage: Refer to the 835 Healthcare Policy Identification Segment (loop 2110 Service Payment Information REF), if present.</t>
  </si>
  <si>
    <t>The diagnosis is inconsistent with the patient's gender. Usage: Refer to the 835 Healthcare Policy Identification Segment (loop 2110 Service Payment Information REF), if present.</t>
  </si>
  <si>
    <t>The diagnosis is inconsistent with the procedure. Usage: Refer to the 835 Healthcare Policy Identification Segment (loop 2110 Service Payment Information REF), if present.</t>
  </si>
  <si>
    <t>The diagnosis is inconsistent with the provider type. Usage: Refer to the 835 Healthcare Policy Identification Segment (loop 2110 Service Payment Information REF), if present.</t>
  </si>
  <si>
    <t>The date of death precedes the date of service.</t>
  </si>
  <si>
    <t>The date of birth follows the date of service.</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</si>
  <si>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</si>
  <si>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Exact duplicate claim/service (Use only with Group Code OA except where state workers' compensation regulations requires CO)</t>
  </si>
  <si>
    <t>This is a work-related injury/illness and thus the liability of the Worker's Compensation Carrier.</t>
  </si>
  <si>
    <t>This injury/illness is covered by the liability carrier.</t>
  </si>
  <si>
    <t>This injury/illness is the liability of the no-fault carrier.</t>
  </si>
  <si>
    <t>This care may be covered by another payer per coordination of benefits.</t>
  </si>
  <si>
    <t>The impact of prior payer(s) adjudication including payments and/or adjustments. (Use only with Group Code OA)</t>
  </si>
  <si>
    <t>Charges are covered under a capitation agreement/managed care plan.</t>
  </si>
  <si>
    <t>Expenses incurred after coverage terminated.</t>
  </si>
  <si>
    <t>The time limit for filing has expired.</t>
  </si>
  <si>
    <t>Patient cannot be identified as our insured.</t>
  </si>
  <si>
    <t>Our records indicate the patient is not an eligible dependent.</t>
  </si>
  <si>
    <t>Insured has no dependent coverage.</t>
  </si>
  <si>
    <t>Insured has no coverage for newborns.</t>
  </si>
  <si>
    <t>Lifetime benefit maximum has been reached.</t>
  </si>
  <si>
    <t>Charges do not meet qualifications for emergent/urgent care. Usage: Refer to the 835 Healthcare Policy Identification Segment (loop 2110 Service Payment Information REF), if present.</t>
  </si>
  <si>
    <t>Prompt-pay discount.</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</si>
  <si>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</si>
  <si>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This is a non-covered service because it is a routine/preventive exam or a diagnostic/screening procedure done in conjunction with a routine/preventive exam. Usage: Refer to the 835 Healthcare Policy Identification Segment (loop 2110 Service Payment Information REF), if present.</t>
  </si>
  <si>
    <t>These are non-covered services because this is not deemed a 'medical necessity' by the payer. Usage: Refer to the 835 Healthcare Policy Identification Segment (loop 2110 Service Payment Information REF), if present.</t>
  </si>
  <si>
    <t>These are non-covered services because this is a pre-existing condition. Usage: Refer to the 835 Healthcare Policy Identification Segment (loop 2110 Service Payment Information REF), if present.</t>
  </si>
  <si>
    <t>Services by an immediate relative or a member of the same household are not covered.</t>
  </si>
  <si>
    <t>Multiple physicians/assistants are not covered in this case. Usage: Refer to the 835 Healthcare Policy Identification Segment (loop 2110 Service Payment Information REF), if present.</t>
  </si>
  <si>
    <t>Procedure/treatment/drug is deemed experimental/investigational by the payer. Usage: Refer to the 835 Healthcare Policy Identification Segment (loop 2110 Service Payment Information REF), if present.</t>
  </si>
  <si>
    <t>Procedure/treatment has not been deemed 'proven to be effective' by the payer. Usage: Refer to the 835 Healthcare Policy Identification Segment (loop 2110 Service Payment Information REF), if present.</t>
  </si>
  <si>
    <t>Treatment was deemed by the payer to have been rendered in an inappropriate or invalid place of service. Usage: Refer to the 835 Healthcare Policy Identification Segment (loop 2110 Service Payment Information REF), if present.</t>
  </si>
  <si>
    <t>Processed based on multiple or concurrent procedure rules. (For example multiple surgery or diagnostic imaging, concurrent anesthesia.) Usage: Refer to the 835 Healthcare Policy Identification Segment (loop 2110 Service Payment Information REF), if present.</t>
  </si>
  <si>
    <t>Charges for outpatient services are not covered when performed within a period of time prior to or after inpatient services.</t>
  </si>
  <si>
    <t>Adjusted for failure to obtain second surgical opinion</t>
  </si>
  <si>
    <t>Blood Deductible.</t>
  </si>
  <si>
    <t>Day outlier amount.</t>
  </si>
  <si>
    <t>Cost outlier - Adjustment to compensate for additional costs.</t>
  </si>
  <si>
    <t>Indirect Medical Education Adjustment.</t>
  </si>
  <si>
    <t>Direct Medical Education Adjustment.</t>
  </si>
  <si>
    <t>Disproportionate Share Adjustment.</t>
  </si>
  <si>
    <t>Non-Covered days/Room charge adjustment.</t>
  </si>
  <si>
    <t>Patient Interest Adjustment (Use Only Group code PR)</t>
  </si>
  <si>
    <t>Professional fees removed from charges.</t>
  </si>
  <si>
    <t>Ingredient cost adjustment. Usage: To be used for pharmaceuticals only.</t>
  </si>
  <si>
    <t>Dispensing fee adjustment.</t>
  </si>
  <si>
    <t>Processed in Excess of charges.</t>
  </si>
  <si>
    <t>Plan procedures not followed.</t>
  </si>
  <si>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</si>
  <si>
    <t>The benefit for this service is included in the payment/allowance for another service/procedure that has already been adjudicated. Usage: Refer to the 835 Healthcare Policy Identification Segment (loop 2110 Service Payment Information REF), if present.</t>
  </si>
  <si>
    <t>Payment made to patient/insured/responsible party.</t>
  </si>
  <si>
    <t>Predetermination: anticipated payment upon completion of services or claim adjudication.</t>
  </si>
  <si>
    <t>Major Medical Adjustment.</t>
  </si>
  <si>
    <t>Provider promotional discount (e.g., Senior citizen discount).</t>
  </si>
  <si>
    <t>Managed care withholding.</t>
  </si>
  <si>
    <t>Tax withholding.</t>
  </si>
  <si>
    <t>Patient payment option/election not in effect.</t>
  </si>
  <si>
    <t>The related or qualifying claim/service was not identified on this claim. Usage: Refer to the 835 Healthcare Policy Identification Segment (loop 2110 Service Payment Information REF), if present.</t>
  </si>
  <si>
    <t>Rent/purchase guidelines were not met. Usage: Refer to the 835 Healthcare Policy Identification Segment (loop 2110 Service Payment Information REF), if present.</t>
  </si>
  <si>
    <t>Billing date predates service date.</t>
  </si>
  <si>
    <t>Not covered unless the provider accepts assignment.</t>
  </si>
  <si>
    <t>Service not furnished directly to the patient and/or not documented.</t>
  </si>
  <si>
    <t>Procedure/product not approved by the Food and Drug Administration.</t>
  </si>
  <si>
    <t>The advance indemnification notice signed by the patient did not comply with requirements.</t>
  </si>
  <si>
    <t>Transportation is only covered to the closest facility that can provide the necessary care.</t>
  </si>
  <si>
    <t>ESRD network support adjustment.</t>
  </si>
  <si>
    <t>Benefit maximum for this time period or occurrence has been reached.</t>
  </si>
  <si>
    <t>Indemnification adjustment - compensation for outstanding member responsibility.</t>
  </si>
  <si>
    <t>Psychiatric reduction.</t>
  </si>
  <si>
    <t>Newborn's services are covered in the mother's Allowance.</t>
  </si>
  <si>
    <t>Prior processing information appears incorrect. At least one Remark Code must be provided (may be comprised of either the NCPDP Reject Reason Code, or Remittance Advice Remark Code that is not an ALERT.)</t>
  </si>
  <si>
    <t>Claim submission fee.</t>
  </si>
  <si>
    <t>Claim specific negotiated discount.</t>
  </si>
  <si>
    <t>Prearranged demonstration project adjustment.</t>
  </si>
  <si>
    <t>The disposition of this service line is pending further review. (Use only with Group Code OA). Usage: Use of this code requires a reversal and correction when the service line is finalized (use only in Loop 2110 CAS segment of the 835 or Loop 2430 of the 837).</t>
  </si>
  <si>
    <t>Technical fees removed from charges.</t>
  </si>
  <si>
    <t>Interim bills cannot be processed.</t>
  </si>
  <si>
    <t>Failure to follow prior payer's coverage rules. (Use only with Group Code OA)</t>
  </si>
  <si>
    <t>Regulatory Surcharges, Assessments, Allowances or Health Related Taxes.</t>
  </si>
  <si>
    <t>Contracted funding agreement - Subscriber is employed by the provider of services. Use only with Group Code CO.</t>
  </si>
  <si>
    <t>Patient/Insured health identification number and name do not match.</t>
  </si>
  <si>
    <t>Monthly Medicaid patient liability amount.</t>
  </si>
  <si>
    <t>Portion of payment deferred.</t>
  </si>
  <si>
    <t>Incentive adjustment, e.g. preferred product/service.</t>
  </si>
  <si>
    <t>Diagnosis was invalid for the date(s) of service reported.</t>
  </si>
  <si>
    <t>Provider contracted/negotiated rate expired or not on file.</t>
  </si>
  <si>
    <t>Information from another provider was not provided or was insufficient/incomplete. At least one Remark Code must be provided (may be comprised of either the NCPDP Reject Reason Code, or Remittance Advice Remark Code that is not an ALERT.)</t>
  </si>
  <si>
    <t>Lifetime benefit maximum has been reached for this service/benefit category.</t>
  </si>
  <si>
    <t>Payer deems the information submitted does not support this level of service.</t>
  </si>
  <si>
    <t>Payment adjusted because the payer deems the information submitted does not support this many/frequency of services.</t>
  </si>
  <si>
    <t>Payer deems the information submitted does not support this length of service. Usage: Refer to the 835 Healthcare Policy Identification Segment (loop 2110 Service Payment Information REF), if present.</t>
  </si>
  <si>
    <t>Payer deems the information submitted does not support this dosage.</t>
  </si>
  <si>
    <t>Payer deems the information submitted does not support this day's supply.</t>
  </si>
  <si>
    <t>Patient refused the service/procedure.</t>
  </si>
  <si>
    <t>Service/procedure was provided as a result of an act of war.</t>
  </si>
  <si>
    <t>Service/procedure was provided outside of the United States.</t>
  </si>
  <si>
    <t>Service/procedure was provided as a result of terrorism.</t>
  </si>
  <si>
    <t>Injury/illness was the result of an activity that is a benefit exclusion.</t>
  </si>
  <si>
    <t>Attachment/other documentation referenced on the claim was not received.</t>
  </si>
  <si>
    <t>Attachment/other documentation referenced on the claim was not received in a timely fashion.</t>
  </si>
  <si>
    <t>These services were submitted after this payers responsibility for processing claims under this plan ended.</t>
  </si>
  <si>
    <t>This (these) diagnosis(es) is (are) not covered. Usage: Refer to the 835 Healthcare Policy Identification Segment (loop 2110 Service Payment Information REF), if present.</t>
  </si>
  <si>
    <t>Alternate benefit has been provided.</t>
  </si>
  <si>
    <t>Payment is denied when performed/billed by this type of provider. Usage: Refer to the 835 Healthcare Policy Identification Segment (loop 2110 Service Payment Information REF), if present.</t>
  </si>
  <si>
    <t>Payment is denied when performed/billed by this type of provider in this type of facility. Usage: Refer to the 835 Healthcare Policy Identification Segment (loop 2110 Service Payment Information REF), if present.</t>
  </si>
  <si>
    <t>Payment is adjusted when performed/billed by a provider of this specialty. Usage: Refer to the 835 Healthcare Policy Identification Segment (loop 2110 Service Payment Information REF), if present.</t>
  </si>
  <si>
    <t>Service/equipment was not prescribed by a physician.</t>
  </si>
  <si>
    <t>Service was not prescribed prior to delivery.</t>
  </si>
  <si>
    <t>Prescription is incomplete.</t>
  </si>
  <si>
    <t>Prescription is not current.</t>
  </si>
  <si>
    <t>Patient has not met the required eligibility requirements.</t>
  </si>
  <si>
    <t>Patient has not met the required spend down requirements.</t>
  </si>
  <si>
    <t>Patient has not met the required waiting requirements. Usage: Refer to the 835 Healthcare Policy Identification Segment (loop 2110 Service Payment Information REF), if present.</t>
  </si>
  <si>
    <t>Patient has not met the required residency requirements.</t>
  </si>
  <si>
    <t>Procedure code was invalid on the date of service.</t>
  </si>
  <si>
    <t>Procedure modifier was invalid on the date of service.</t>
  </si>
  <si>
    <t>The referring provider is not eligible to refer the service billed. Usage: Refer to the 835 Healthcare Policy Identification Segment (loop 2110 Service Payment Information REF), if present.</t>
  </si>
  <si>
    <t>The prescribing/ordering provider is not eligible to prescribe/order the service billed. Usage: Refer to the 835 Healthcare Policy Identification Segment (loop 2110 Service Payment Information REF), if present.</t>
  </si>
  <si>
    <t>The rendering provider is not eligible to perform the service billed. Usage: Refer to the 835 Healthcare Policy Identification Segment (loop 2110 Service Payment Information REF), if present.</t>
  </si>
  <si>
    <t>Level of care change adjustment.</t>
  </si>
  <si>
    <t>This product/procedure is only covered when used according to FDA recommendations.</t>
  </si>
  <si>
    <t>'Not otherwise classified' or 'unlisted' procedure code (CPT/HCPCS) was billed when there is a specific procedure code for this procedure/service</t>
  </si>
  <si>
    <t>Payment is included in the allowance for a Skilled Nursing Facility (SNF) qualified stay.</t>
  </si>
  <si>
    <t>Non standard adjustment code from paper remittance. Usage: This code is to be used by providers/payers providing Coordination of Benefits information to another payer in the 837 transaction only. This code is only used when the non-standard code cannot be reasonably mapped to an existing Claims Adjustment Reason Code, specifically Deductible, Coinsurance and Co-payment.</t>
  </si>
  <si>
    <t>Original payment decision is being maintained. Upon review, it was determined that this claim was processed properly.</t>
  </si>
  <si>
    <t>Anesthesia performed by the operating physician, the assistant surgeon or the attending physician.</t>
  </si>
  <si>
    <t>Refund issued to an erroneous priority payer for this claim/service.</t>
  </si>
  <si>
    <t>Precertification/notification/authorization/pre-treatment exceeded.</t>
  </si>
  <si>
    <t>Patient is responsible for amount of this claim/service through 'set aside arrangement' or other agreement. (Use only with Group Code PR) At least one Remark Code must be provided (may be comprised of either the NCPDP Reject Reason Code, or Remittance Advice Remark Code that is not an ALERT.)</t>
  </si>
  <si>
    <t>Non-covered personal comfort or convenience services.</t>
  </si>
  <si>
    <t>Discontinued or reduced service.</t>
  </si>
  <si>
    <t>National Provider Identifier - missing.</t>
  </si>
  <si>
    <t>National Provider identifier - Invalid format</t>
  </si>
  <si>
    <t>National Provider Identifier - Not matched.</t>
  </si>
  <si>
    <t>Per regulatory or other agreement. The provider cannot collect this amount from the patient. However, this amount may be billed to subsequent payer. Refund to patient if collected. (Use only with Group code OA)</t>
  </si>
  <si>
    <t>National Drug Codes (NDC) not eligible for rebate, are not covered.</t>
  </si>
  <si>
    <t>Non-compliance with the physician self referral prohibition legislation or payer policy.</t>
  </si>
  <si>
    <t>Based on the findings of a review organization or the payer's findings.</t>
  </si>
  <si>
    <t>Based on extent of injury.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</si>
  <si>
    <t>Exceeds the contracted maximum number of hours/days/units by this provider for this period. This is not patient specific. Usage: Refer to the 835 Healthcare Policy Identification Segment (loop 2110 Service Payment Information REF), if present.</t>
  </si>
  <si>
    <t>Adjustment code for mandated federal, state or local law/regulation that is not already covered by another code and is mandated before a new code can be created.</t>
  </si>
  <si>
    <t>Patient identification compromised by identity theft. Identity verification required for processing this and future claims.</t>
  </si>
  <si>
    <t>Penalty or Interest Payment by Payer (Only used for plan to plan encounter reporting within the 837)</t>
  </si>
  <si>
    <t>Information requested from the Billing/Rendering Provider was not provided or not provided timely or was insufficient/incomplete. At least one Remark Code must be provided (may be comprised of either the NCPDP Reject Reason Code, or Remittance Advice Remark Code that is not an ALERT.)</t>
  </si>
  <si>
    <t>Information requested from the patient/insured/responsible party was not provided or was insufficient/incomplete. At least one Remark Code must be provided (may be comprised of either the NCPDP Reject Reason Code, or Remittance Advice Remark Code that is not an ALERT.)</t>
  </si>
  <si>
    <t>Denied for failure of this provider, another provider or the subscriber to supply requested information to a previous payer for their adjudication</t>
  </si>
  <si>
    <t>Partial charge amount not considered by Medicare due to the initial claim Type of Bill being 12X. Usage: This code can only be used in the 837 transaction to convey Coordination of Benefits information when the secondary payer's cost avoidance policy allows providers to bypass claim submission to a prior payer. (Use only with Group Code PR)</t>
  </si>
  <si>
    <t>Mutually exclusive procedures cannot be done in the same day/setting. Usage: Refer to the 835 Healthcare Policy Identification Segment (loop 2110 Service Payment Information REF), if present.</t>
  </si>
  <si>
    <t>Institutional Transfer Amount. Usage: Applies to institutional claims only and explains the DRG amount difference when the patient care crosses multiple institutions.</t>
  </si>
  <si>
    <t>Services/charges related to the treatment of a hospital-acquired condition or preventable medical error.</t>
  </si>
  <si>
    <t>This procedure is not paid separately. At least one Remark Code must be provided (may be comprised of either the NCPDP Reject Reason Code, or Remittance Advice Remark Code that is not an ALERT.)</t>
  </si>
  <si>
    <t>This procedure or procedure/modifier combination is not compatible with another procedure or procedure/modifier combination provided on the same day according to the National Correct Coding Initiative or workers compensation state regulations/ fee schedule requirements.</t>
  </si>
  <si>
    <t>Legislated/Regulatory Penalty. At least one Remark Code must be provided (may be comprised of either the NCPDP Reject Reason Code, or Remittance Advice Remark Code that is not an ALERT.)</t>
  </si>
  <si>
    <t>Claim spans eligible and ineligible periods of coverage, this is the reduction for the ineligible period. (Use only with Group Code PR)</t>
  </si>
  <si>
    <t>Claim spans eligible and ineligible periods of coverage. Rebill separate claims.</t>
  </si>
  <si>
    <t>The diagnosis is inconsistent with the patient's birth weight. Usage: Refer to the 835 Healthcare Policy Identification Segment (loop 2110 Service Payment Information REF), if present.</t>
  </si>
  <si>
    <t>Low Income Subsidy (LIS) Co-payment Amount</t>
  </si>
  <si>
    <t>Services not authorized by network/primary care providers.</t>
  </si>
  <si>
    <t>Provider performance program withhold.</t>
  </si>
  <si>
    <t>This non-payable code is for required reporting only.</t>
  </si>
  <si>
    <t>Deductible for Professional service rendered in an Institutional setting and billed on an Institutional claim.</t>
  </si>
  <si>
    <t>Coinsurance for Professional service rendered in an Institutional setting and billed on an Institutional claim.</t>
  </si>
  <si>
    <t>This claim has been identified as a readmission. (Use only with Group Code CO)</t>
  </si>
  <si>
    <t>The attachment/other documentation that was received was the incorrect attachment/document. The expected attachment/document is still missing. At least one Remark Code must be provided (may be comprised of either the NCPDP Reject Reason Code, or Remittance Advice Remark Code that is not an ALERT).</t>
  </si>
  <si>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</si>
  <si>
    <t>An attachment/other documentation is required to adjudicate this claim/service. At least one Remark Code must be provided (may be comprised of either the NCPDP Reject Reason Code, or Remittance Advice Remark Code that is not an ALERT).</t>
  </si>
  <si>
    <t>Sequestration - reduction in federal payment</t>
  </si>
  <si>
    <t>Claim received by the dental plan, but benefits not available under this plan. Submit these services to the patient's medical plan for further consideration.</t>
  </si>
  <si>
    <t>The disposition of the claim/service is undetermined during the premium payment grace period, per Health Insurance Exchange requirements. This claim/service will be reversed and corrected when the grace period ends (due to premium payment or lack of premium payment). (Use only with Group Code OA)</t>
  </si>
  <si>
    <t>Claim/service not covered when patient is in custody/incarcerated. Applicable federal, state or local authority may cover the claim/service.</t>
  </si>
  <si>
    <t>Additional payment for Dental/Vision service utilization.</t>
  </si>
  <si>
    <t>Processed under Medicaid ACA Enhanced Fee Schedule</t>
  </si>
  <si>
    <t>The procedure or service is inconsistent with the patient's history.</t>
  </si>
  <si>
    <t>Adjustment for delivery cost. Usage: To be used for pharmaceuticals only.</t>
  </si>
  <si>
    <t>Adjustment for shipping cost. Usage: To be used for pharmaceuticals only.</t>
  </si>
  <si>
    <t>Adjustment for postage cost. Usage: To be used for pharmaceuticals only.</t>
  </si>
  <si>
    <t>Adjustment for administrative cost. Usage: To be used for pharmaceuticals only.</t>
  </si>
  <si>
    <t>Adjustment for compound preparation cost. Usage: To be used for pharmaceuticals only.</t>
  </si>
  <si>
    <t>Claim/service spans multiple months. At least one Remark Code must be provided (may be comprised of either the NCPDP Reject Reason Code, or Remittance Advice Remark Code that is not an ALERT.)</t>
  </si>
  <si>
    <t>The Claim spans two calendar years. Please resubmit one claim per calendar year.</t>
  </si>
  <si>
    <t>Anesthesia not covered for this service/procedure. Usage: Refer to the 835 Healthcare Policy Identification Segment (loop 2110 Service Payment Information REF), if present.</t>
  </si>
  <si>
    <t>Claim received by the medical plan, but benefits not available under this plan. Submit these services to the patient's dental plan for further consideration.</t>
  </si>
  <si>
    <t>Prior contractual reductions related to a current periodic payment as part of a contractual payment schedule when deferred amounts have been previously reported. (Use only with Group Code OA)</t>
  </si>
  <si>
    <t>Coverage/program guidelines were not met.</t>
  </si>
  <si>
    <t>Coverage/program guidelines were exceeded.</t>
  </si>
  <si>
    <t>Fee/Service not payable per patient Care Coordination arrangement.</t>
  </si>
  <si>
    <t>Services denied by the prior payer(s) are not covered by this payer.</t>
  </si>
  <si>
    <t>The disposition of the claim/service is undetermined during the premium payment grace period, per Health Insurance SHOP Exchange requirements. This claim/service will be reversed and corrected when the grace period ends (due to premium payment or lack of premium payment). (Use only with Group Code OA)</t>
  </si>
  <si>
    <t>Performance program proficiency requirements not met. (Use only with Group Codes CO or PI) Usage: Refer to the 835 Healthcare Policy Identification Segment (loop 2110 Service Payment Information REF), if present.</t>
  </si>
  <si>
    <t>Services not provided by Preferred network providers. Usage: Use this code when there are member network limitations. For example, using contracted providers not in the member's 'narrow' network.</t>
  </si>
  <si>
    <t>Claim received by the medical plan, but benefits not available under this plan. Submit these services to the patient's Pharmacy plan for further consideration.</t>
  </si>
  <si>
    <t>Deductible waived per contractual agreement. Use only with Group Code CO.</t>
  </si>
  <si>
    <t>The procedure/revenue code is inconsistent with the type of bill. Usage: Refer to the 835 Healthcare Policy Identification Segment (loop 2110 Service Payment Information REF), if present.</t>
  </si>
  <si>
    <t>Attending provider is not eligible to provide direction of care.</t>
  </si>
  <si>
    <t>Precertification/authorization/notification/pre-treatment number may be valid but does not apply to the billed services.</t>
  </si>
  <si>
    <t>Appeal procedures not followed</t>
  </si>
  <si>
    <t>Appeal time limits not met</t>
  </si>
  <si>
    <t>Referral exceeded</t>
  </si>
  <si>
    <t>Services considered under the dental and medical plans, benefits not available.</t>
  </si>
  <si>
    <t>Claim received by the dental plan, but benefits not available under this plan. Claim has been forwarded to the patient's medical plan for further consideration.</t>
  </si>
  <si>
    <t>Claim received by the medical plan, but benefits not available under this plan. Claim has been forwarded to the patient's dental plan for further consideration.</t>
  </si>
  <si>
    <t>Claim received by the medical plan, but benefits not available under this plan. Claim has been forwarded to the patient's pharmacy plan for further consideration.</t>
  </si>
  <si>
    <t>Payment made to employer.</t>
  </si>
  <si>
    <t>Payment made to attorney.</t>
  </si>
  <si>
    <t>Pharmacy Direct/Indirect Remuneration (DIR)</t>
  </si>
  <si>
    <t>Precertification/authorization/notification/pre-treatment number may be valid but does not apply to the provider.</t>
  </si>
  <si>
    <t>Claim received by the medical plan, but benefits not available under this plan. Submit these services to the patient's vision plan for further consideration.</t>
  </si>
  <si>
    <t>Claim received by the medical plan, but benefits not available under this plan. Claim has been forwarded to the patient's vision plan for further consideration.</t>
  </si>
  <si>
    <t>The billing provider is not eligible to receive payment for the service billed.</t>
  </si>
  <si>
    <t>Claim received by the Medical Plan, but benefits not available under this plan. Claim has been forwarded to the patient's Behavioral Health Plan for further consideration.</t>
  </si>
  <si>
    <t>Claim received by the Medical Plan, but benefits not available under this plan. Submit these services to the patient's Behavioral Health Plan for further consideration.</t>
  </si>
  <si>
    <t>Precertification/notification/authorization/pre-treatment time limit has expired.</t>
  </si>
  <si>
    <t>Prior payer's (or payers') patient responsibility (deductible, coinsurance, co-payment) not covered for Qualified Medicare and Medicaid Beneficiaries. (Use only with Group Code CO)</t>
  </si>
  <si>
    <t>Claim received by the medical plan, but benefits not available under this plan. Submit these services to the patient's hearing plan for further consideration.</t>
  </si>
  <si>
    <t>Claim received by the medical plan, but benefits not available under this plan. Claim has been forwarded to the patient's hearing plan for further consideration.</t>
  </si>
  <si>
    <t>Type of bill is inconsistent with the patient status. Usage: Refer to the 835 Healthcare Policy Identification Segment (loop 2110 Service Payment Information REF), if present.</t>
  </si>
  <si>
    <t>Medicare Maximum Fair Price Standard Default Refund Amount Adjustment. At least one Remark Code must be provided (may be comprised of either the NCPDP Reject Reason Code, or Remittance Advice Remark Code that is not an ALERT.) Usage: To be used only for the Medicare Drug Price Negotiation Program.</t>
  </si>
  <si>
    <t>Payment is adjusted due to contracted funding agreement between the payer and provider.</t>
  </si>
  <si>
    <t>A0</t>
  </si>
  <si>
    <t>Patient refund amount.</t>
  </si>
  <si>
    <t>A1</t>
  </si>
  <si>
    <t>Claim/Service denied. At least one Remark Code must be provided (may be comprised of either the NCPDP Reject Reason Code, or Remittance Advice Remark Code that is not an ALERT.) Usage: Use this code only when a more specific Claim Adjustment Reason Code is not available.</t>
  </si>
  <si>
    <t>A5</t>
  </si>
  <si>
    <t>Medicare Claim PPS Capital Cost Outlier Amount.</t>
  </si>
  <si>
    <t>A6</t>
  </si>
  <si>
    <t>Prior hospitalization or 30 day transfer requirement not met.</t>
  </si>
  <si>
    <t>A8</t>
  </si>
  <si>
    <t>Ungroupable DRG.</t>
  </si>
  <si>
    <t>B1</t>
  </si>
  <si>
    <t>Non-covered visits.</t>
  </si>
  <si>
    <t>B4</t>
  </si>
  <si>
    <t>Late filing penalty.</t>
  </si>
  <si>
    <t>B7</t>
  </si>
  <si>
    <t>This provider was not certified/eligible to be paid for this procedure/service on this date of service. Usage: Refer to the 835 Healthcare Policy Identification Segment (loop 2110 Service Payment Information REF), if present.</t>
  </si>
  <si>
    <t>B8</t>
  </si>
  <si>
    <t>Alternative services were available, and should have been utilized. Usage: Refer to the 835 Healthcare Policy Identification Segment (loop 2110 Service Payment Information REF), if present.</t>
  </si>
  <si>
    <t>B9</t>
  </si>
  <si>
    <t>Patient is enrolled in a Hospice.</t>
  </si>
  <si>
    <t>B10</t>
  </si>
  <si>
    <t>Allowed amount has been reduced because a component of the basic procedure/test was paid. The beneficiary is not liable for more than the charge limit for the basic procedure/test.</t>
  </si>
  <si>
    <t>B12</t>
  </si>
  <si>
    <t>Services not documented in patient's medical records.</t>
  </si>
  <si>
    <t>B13</t>
  </si>
  <si>
    <t>Previously paid. Payment for this claim/service may have been provided in a previous payment.</t>
  </si>
  <si>
    <t>B14</t>
  </si>
  <si>
    <t>Only one visit or consultation per physician per day is covered.</t>
  </si>
  <si>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</si>
  <si>
    <t>'New Patient' qualifications were not met.</t>
  </si>
  <si>
    <t>B20</t>
  </si>
  <si>
    <t>Procedure/service was partially or fully furnished by another provider.</t>
  </si>
  <si>
    <t>B22</t>
  </si>
  <si>
    <t>This payment is adjusted based on the diagnosis.</t>
  </si>
  <si>
    <t>B23</t>
  </si>
  <si>
    <t>Procedure billed is not authorized per your Clinical Laboratory Improvement Amendment (CLIA) proficiency test.</t>
  </si>
  <si>
    <t>P1</t>
  </si>
  <si>
    <t>State-mandated Requirement for Property and Casualty, see Claim Payment Remarks Code for specific explanation. To be used for Property and Casualty only.</t>
  </si>
  <si>
    <t>P2</t>
  </si>
  <si>
    <t>Not a work related injury/illness and thus not the liability of the workers' compensation carrier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</si>
  <si>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P3</t>
  </si>
  <si>
    <t>Workers' Compensation case settled. Patient is responsible for amount of this claim/service through WC 'Medicare set aside arrangement' or other agreement. To be used for Workers' Compensation only. (Use only with Group Code PR)</t>
  </si>
  <si>
    <t>P4</t>
  </si>
  <si>
    <t>Workers' Compensation claim adjudicated as non-compensable. This Payer not liable for claim or service/treatment.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</si>
  <si>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P5</t>
  </si>
  <si>
    <t>Based on payer reasonable and customary fees. No maximum allowable defined by legislated fee arrangement. To be used for Property and Casualty only.</t>
  </si>
  <si>
    <t>P6</t>
  </si>
  <si>
    <t>Based on entitlement to benefits.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</si>
  <si>
    <t>P7</t>
  </si>
  <si>
    <t>The applicable fee schedule/fee database does not contain the billed code. Please resubmit a bill with the appropriate fee schedule/fee database code(s) that best describe the service(s) provided and supporting documentation if required. To be used for Property and Casualty only.</t>
  </si>
  <si>
    <t>P8</t>
  </si>
  <si>
    <t>Claim is under investigation.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</si>
  <si>
    <t>P9</t>
  </si>
  <si>
    <t>No available or correlating CPT/HCPCS code to describe this service. To be used for Property and Casualty only.</t>
  </si>
  <si>
    <t>P10</t>
  </si>
  <si>
    <t>Payment reduced to zero due to litigation. Additional information will be sent following the conclusion of litigation. To be used for Property and Casualty only.</t>
  </si>
  <si>
    <t>P11</t>
  </si>
  <si>
    <t>The disposition of the related Property &amp; Casualty claim (injury or illness) is pending due to litigation. To be used for Property and Casualty only. (Use only with Group Code OA)</t>
  </si>
  <si>
    <t>Workers' compensation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Workers' Compensation only.</t>
  </si>
  <si>
    <t>P13</t>
  </si>
  <si>
    <t>Payment reduced or denied based on workers' compensation jurisdictional regulations or payment policies, use only if no other code is applicable.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</si>
  <si>
    <t>P14</t>
  </si>
  <si>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</si>
  <si>
    <t>P15</t>
  </si>
  <si>
    <t>Workers' Compensation Medical Treatment Guideline Adjustment. To be used for Workers' Compensation only.</t>
  </si>
  <si>
    <t>P16</t>
  </si>
  <si>
    <t>Medical provider not authorized/certified to provide treatment to injured workers in this jurisdiction. To be used for Workers' Compensation only. (Use with Group Code CO or OA)</t>
  </si>
  <si>
    <t>P17</t>
  </si>
  <si>
    <t>Referral not authorized by attending physician per regulatory requirement. To be used for Property and Casualty only.</t>
  </si>
  <si>
    <t>P18</t>
  </si>
  <si>
    <t>Procedure is not listed in the jurisdiction fee schedule. An allowance has been made for a comparable service. To be used for Property and Casualty only.</t>
  </si>
  <si>
    <t>P19</t>
  </si>
  <si>
    <t>Procedure has a relative value of zero in the jurisdiction fee schedule, therefore no payment is due. To be used for Property and Casualty only.</t>
  </si>
  <si>
    <t>P20</t>
  </si>
  <si>
    <t>Service not paid under jurisdiction allowed outpatient facility fee schedule. To be used for Property and Casualty only.</t>
  </si>
  <si>
    <t>P21</t>
  </si>
  <si>
    <t>Payment denied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</si>
  <si>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P22</t>
  </si>
  <si>
    <t>Payment adjusted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</si>
  <si>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P23</t>
  </si>
  <si>
    <t>Medical Payments Coverage (MPC) or Personal Injury Protection (PIP)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</si>
  <si>
    <t>P24</t>
  </si>
  <si>
    <t>Payment adjusted based on Preferred Provider Organization (PPO).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</si>
  <si>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P25</t>
  </si>
  <si>
    <t>Payment adjusted based on Medical Provider Network (MPN).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</si>
  <si>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P26</t>
  </si>
  <si>
    <t>Payment adjusted based on Voluntary Provider network (VPN).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</si>
  <si>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P27</t>
  </si>
  <si>
    <t>Payment denied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</si>
  <si>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P28</t>
  </si>
  <si>
    <t>Payment adjusted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</si>
  <si>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P29</t>
  </si>
  <si>
    <t>Liability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</si>
  <si>
    <t>P30</t>
  </si>
  <si>
    <t>Payment denied for exacerbation when supporting documentation was not complete. To be used for Property and Casualty only.</t>
  </si>
  <si>
    <t>P31</t>
  </si>
  <si>
    <t>Payment denied for exacerbation when treatment exceeds time allowed. To be used for Property and Casualty only.</t>
  </si>
  <si>
    <t>P32</t>
  </si>
  <si>
    <t>Payment adjusted due to Apportionment.</t>
  </si>
  <si>
    <t>Co 96</t>
  </si>
  <si>
    <t>N 776</t>
  </si>
  <si>
    <t>Co 16</t>
  </si>
  <si>
    <t>Co 55</t>
  </si>
  <si>
    <t>N 623</t>
  </si>
  <si>
    <t>Co 97</t>
  </si>
  <si>
    <t>N 381</t>
  </si>
  <si>
    <t>N 431</t>
  </si>
  <si>
    <t>N 130</t>
  </si>
  <si>
    <t>PR 16</t>
  </si>
  <si>
    <t>N 65</t>
  </si>
  <si>
    <t>N 390</t>
  </si>
  <si>
    <t>Co 39</t>
  </si>
  <si>
    <t>N 521</t>
  </si>
  <si>
    <t>PI 109</t>
  </si>
  <si>
    <t>OA 18</t>
  </si>
  <si>
    <t>Co 236</t>
  </si>
  <si>
    <t>PI 16</t>
  </si>
  <si>
    <t>N 34</t>
  </si>
  <si>
    <t>Co 197</t>
  </si>
  <si>
    <t>M 119</t>
  </si>
  <si>
    <t>Co 256</t>
  </si>
  <si>
    <t>M 60</t>
  </si>
  <si>
    <t>Co 242</t>
  </si>
  <si>
    <t>N 212</t>
  </si>
  <si>
    <t>N 179</t>
  </si>
  <si>
    <t>PR 109</t>
  </si>
  <si>
    <t>N 193</t>
  </si>
  <si>
    <t>Co 119</t>
  </si>
  <si>
    <t>N 640</t>
  </si>
  <si>
    <t>PI 272</t>
  </si>
  <si>
    <t>N 362</t>
  </si>
  <si>
    <t>M 15</t>
  </si>
  <si>
    <t>N 448</t>
  </si>
  <si>
    <t>N 115</t>
  </si>
  <si>
    <t>PI 199</t>
  </si>
  <si>
    <t>N 657</t>
  </si>
  <si>
    <t>Co 50</t>
  </si>
  <si>
    <t>N 386</t>
  </si>
  <si>
    <t>N 650</t>
  </si>
  <si>
    <t>Co 199</t>
  </si>
  <si>
    <t>CO 7</t>
  </si>
  <si>
    <t>Co 4</t>
  </si>
  <si>
    <t>M 97</t>
  </si>
  <si>
    <t xml:space="preserve"> </t>
  </si>
  <si>
    <t>UB-04</t>
  </si>
  <si>
    <t>https://raw.githubusercontent.com/kunalvaish49-cpu/VisualCode_UB-04/9054e7d1b9703347c37a8187be298fd19b9b1385/NDC%20-%20UB-04%20-%2043.jpg</t>
  </si>
  <si>
    <t>CMS 1500</t>
  </si>
  <si>
    <t>https://raw.githubusercontent.com/kunalvaish49-cpu/VisualCode_UB-04/main/NDC%20-%20CMS%201500%20-%2024.jpg</t>
  </si>
  <si>
    <t>https://raw.githubusercontent.com/kunalvaish49-cpu/VisualCode_UB-04/main/NDC%20Code%20Format%20%26%20Image.jpg</t>
  </si>
  <si>
    <t>NDC Image</t>
  </si>
  <si>
    <t>https://www.cgsmedicare.com/medicare_dynamic/j15/partb/ptpb/ptp.aspx</t>
  </si>
  <si>
    <t>Part B NCCI Edits</t>
  </si>
  <si>
    <t>Hyperlink</t>
  </si>
  <si>
    <t>MUE Lookup Tool Part B</t>
  </si>
  <si>
    <t>https://www.cgsmedicare.com/medicare_dynamic/j15/partb/mue/mue_tool.aspx</t>
  </si>
  <si>
    <t>https://www.cgsmedicare.com/medicare_dynamic/j15/parta/mue/mue_tool.aspx</t>
  </si>
  <si>
    <t>MUE Lookup Tool Part A</t>
  </si>
  <si>
    <t>https://www.cgsmedicare.com/medicare_dynamic/j15/partb/claimcalc/claimcalc.aspx</t>
  </si>
  <si>
    <t>Claim Timely Filling Calculator</t>
  </si>
  <si>
    <t>https://www.cgsmedicare.com/medicare_dynamic/j15/parta/modifiers/search.aspx</t>
  </si>
  <si>
    <t>Part A Modifier Finder Tool</t>
  </si>
  <si>
    <t>Part B Modifier Finder Tool</t>
  </si>
  <si>
    <t>https://www.cgsmedicare.com/medicare_dynamic/j15/partb/modifiers/search.aspx</t>
  </si>
  <si>
    <t>https://www.cgsmedicare.com/medicare_dynamic/j15/parta/ptpa/ptp.aspx</t>
  </si>
  <si>
    <t>Part A NCCI Edits</t>
  </si>
  <si>
    <t>https://www.cgsmedicare.com/partb/tools/ivr_converter.html</t>
  </si>
  <si>
    <t>MBI &amp; Name to Number Converter</t>
  </si>
  <si>
    <t>https://qcor.cms.gov/Basic_Search</t>
  </si>
  <si>
    <t>https://npiregistry.cms.hhs.gov/search</t>
  </si>
  <si>
    <t>NPPES NPI Registry</t>
  </si>
  <si>
    <t>https://www.cms.gov/medicare-coverage-database/search.aspx</t>
  </si>
  <si>
    <t>CMS Article Lookup Tool</t>
  </si>
  <si>
    <t>CLIA Lookup Tool</t>
  </si>
  <si>
    <t>https://dailymed.nlm.nih.gov/dailymed/</t>
  </si>
  <si>
    <t>DailyMed NDC Code Lookup</t>
  </si>
  <si>
    <t>&lt;a class="res-link" href="https://dailymed.nlm.nih.gov/dailymed/" target="_blank" rel="noopener"&gt;
            &lt;span class="res-icon" style="background:#e8f0ff;color:#1847cc"&gt;💊&lt;/span&gt;
            &lt;span class="res-body"&gt;
              &lt;span class="res-name"&gt;DailyMed NDC Lookup&lt;/span&gt;
              &lt;span class="res-desc"&gt;Search drug labels &amp;amp; National Drug Codes via NLM DailyMed&lt;/span&gt;
            &lt;/span&gt;
            &lt;span class="res-arrow"&gt;↗&lt;/span&gt;
          &lt;/a&gt;
          &lt;a class="res-link" href="https://www.cgsmedicare.com/medicare_dynamic/j15/partb/ptpb/ptp.aspx
" target="_blank" rel="noopener"&gt;
            &lt;span class="res-icon" style="background:#e8f6f0;color:#0a7a50"&gt;🔗&lt;/span&gt;
            &lt;span class="res-body"&gt;
              &lt;span class="res-name"&gt;Part B NCCI Procedure‑to‑Procedure Lookup&lt;/span&gt;
              &lt;span class="res-desc"&gt;Check Part B PTP edits &amp;amp; bundling conflicts&lt;/span&gt;
            &lt;/span&gt;
            &lt;span class="res-arrow"&gt;↗&lt;/span&gt;
          &lt;/a&gt;
          &lt;a class="res-link" href="https://www.cgsmedicare.com/medicare_dynamic/j15/partb/mue/mue_tool.aspx
" target="_blank" rel="noopener"&gt;
            &lt;span class="res-icon" style="background:#fff7e6;color:#b87010"&gt;📋&lt;/span&gt;
            &lt;span class="res-body"&gt;
              &lt;span class="res-name"&gt;MUE Lookup Part B&lt;/span&gt;
              &lt;span class="res-desc"&gt;Medically Unlikely Edits Part B — max units per claim line&lt;/span&gt;
            &lt;/span&gt;
            &lt;span class="res-arrow"&gt;↗&lt;/span&gt;
          &lt;/a&gt;
&lt;a class="res-link" href="https://www.cgsmedicare.com/medicare_dynamic/j15/parta/mue/mue_tool.aspx
" target="_blank" rel="noopener"&gt;
            &lt;span class="res-icon" style="background:#fff7e6;color:#b87010"&gt;📋&lt;/span&gt;
            &lt;span class="res-body"&gt;
              &lt;span class="res-name"&gt;MUE Lookup Part A&lt;/span&gt;
              &lt;span class="res-desc"&gt;Medically Unlikely Edits Part A — max units per claim line&lt;/span&gt;
            &lt;/span&gt;
            &lt;span class="res-arrow"&gt;↗&lt;/span&gt;
          &lt;/a&gt;
          &lt;a class="res-link" href="https://www.cgsmedicare.com/medicare_dynamic/j15/partb/claimcalc/claimcalc.aspx
" target="_blank" rel="noopener"&gt;
            &lt;span class="res-icon" style="background:#fdf0f0;color:#be2a2a"&gt;📅&lt;/span&gt;
            &lt;span class="res-body"&gt;
              &lt;span class="res-name"&gt;Claim Timely Filing Calculator&lt;/span&gt;
              &lt;span class="res-desc"&gt;Verify filing deadlines by payer &amp;amp; claim type&lt;/span&gt;
            &lt;/span&gt;
            &lt;span class="res-arrow"&gt;↗&lt;/span&gt;
          &lt;/a&gt;
          &lt;a class="res-link" href="https://www.cgsmedicare.com/medicare_dynamic/j15/parta/modifiers/search.aspx
" target="_blank" rel="noopener"&gt;
            &lt;span class="res-icon" style="background:#f0eaff;color:#6d28d9"&gt;🏥&lt;/span&gt;
            &lt;span class="res-body"&gt;
              &lt;span class="res-name"&gt;Part A Modifier Finder Tool&lt;/span&gt;
              &lt;span class="res-desc"&gt;Identify applicable modifiers for Part A facility claims&lt;/span&gt;
            &lt;/span&gt;
            &lt;span class="res-arrow"&gt;↗&lt;/span&gt;
          &lt;/a&gt;
          &lt;a class="res-link" href="https://www.cgsmedicare.com/medicare_dynamic/j15/partb/modifiers/search.aspx
	" target="_blank" rel="noopener"&gt;
            &lt;span class="res-icon" style="background:#e8f6f0;color:#0a6b58"&gt;🩺&lt;/span&gt;
            &lt;span class="res-body"&gt;
              &lt;span class="res-name"&gt;Part B Modifier Finder Tool&lt;/span&gt;
              &lt;span class="res-desc"&gt;Look up Part B professional claim modifiers&lt;/span&gt;
            &lt;/span&gt;
            &lt;span class="res-arrow"&gt;↗&lt;/span&gt;
          &lt;/a&gt;
          &lt;a class="res-link" href="https://www.cgsmedicare.com/medicare_dynamic/j15/parta/ptpa/ptp.aspx
" target="_blank" rel="noopener"&gt;
            &lt;span class="res-icon" style="background:#e8f0ff;color:#1847cc"&gt;🔍&lt;/span&gt;
            &lt;span class="res-body"&gt;
              &lt;span class="res-name"&gt;Part A NCCI Procedure‑to‑Procedure Lookup&lt;/span&gt;
              &lt;span class="res-desc"&gt;Check Part A PTP edits for facility/outpatient claims&lt;/span&gt;
            &lt;/span&gt;
            &lt;span class="res-arrow"&gt;↗&lt;/span&gt;
          &lt;/a&gt;
&lt;a class="res-link" href="https://www.cgsmedicare.com/medicare_dynamic/j15/partb/ptpb/ptp.aspx" target="_blank" rel="noopener"&gt;
            &lt;span class="res-icon" style="background:#e8f0ff;color:#1847cc"&gt;🔍&lt;/span&gt;
            &lt;span class="res-body"&gt;
              &lt;span class="res-name"&gt;Part B NCCI Procedure‑to‑Procedure Lookup&lt;/span&gt;
              &lt;span class="res-desc"&gt;Check Part B PTP edits for facility/outpatient claims&lt;/span&gt;
            &lt;/span&gt;
            &lt;span class="res-arrow"&gt;↗&lt;/span&gt;
          &lt;/a&gt;
          &lt;a class="res-link" href="https://www.cgsmedicare.com/partb/tools/ivr_converter.html
" target="_blank" rel="noopener"&gt;
            &lt;span class="res-icon" style="background:#fef5e4;color:#b87010"&gt;🪪&lt;/span&gt;
            &lt;span class="res-body"&gt;
              &lt;span class="res-name"&gt;MBI &amp;amp; Name‑to‑Number Converter&lt;/span&gt;
              &lt;span class="res-desc"&gt;Medicare Beneficiary Identifier lookup &amp;amp; conversion tool&lt;/span&gt;
            &lt;/span&gt;
            &lt;span class="res-arrow"&gt;↗&lt;/span&gt;
          &lt;/a&gt;
          &lt;a class="res-link" href="https://qcor.cms.gov/Basic_Search
" target="_blank" rel="noopener"&gt;
            &lt;span class="res-icon" style="background:#f0eaff;color:#6d28d9"&gt;🔬&lt;/span&gt;
            &lt;span class="res-body"&gt;
              &lt;span class="res-name"&gt;CLIA Lookup Tool — S&amp;amp;C QCOR&lt;/span&gt;
              &lt;span class="res-desc"&gt;Search Clinical Laboratory Improvement Amendments data&lt;/span&gt;
            &lt;/span&gt;
            &lt;span class="res-arrow"&gt;↗&lt;/span&gt;
          &lt;/a&gt;</t>
  </si>
  <si>
    <t>Meaning &amp; Impact</t>
  </si>
  <si>
    <t>Procedure Example &amp; CMS -1500 Box | UB-04 FL Location</t>
  </si>
  <si>
    <t>CMS‑1500 Box #</t>
  </si>
  <si>
    <t>UB‑04 FL #</t>
  </si>
  <si>
    <t>Billing Scenarios</t>
  </si>
  <si>
    <t>Root Causes</t>
  </si>
  <si>
    <t>Step‑by‑Step Resolution</t>
  </si>
  <si>
    <t>Preventive Action</t>
  </si>
  <si>
    <t>The payer found a mismatch between the drug's NDC and the billed HCPCS/CPT (J‑code) for the same service line. Payment is delayed/denied until the NDC is corrected to the exact product administered, with proper 11‑digit format, unit of measure, and quantity.</t>
  </si>
  <si>
    <t>Professional (CMS‑1500):
• Drug injection billed with J‑code (e.g., J1100 dexamethasone 1 mg) in 24D.
• In the shaded area of the same line (24A–24G): N4 + 11‑digit NDC + UOM + qty
  (e.g., N412345678901 ML1). Link diagnosis via Box 21/24E.
Facility (UB‑04):
• Same revenue line: FL42 (revenue code), FL44 (J‑code),
  FL43 description includes N4 + 11‑digit NDC + UOM + qty.</t>
  </si>
  <si>
    <t>21
24A(shaded)
24D
24E
33a</t>
  </si>
  <si>
    <t>FL42
FL43
FL44
FL67</t>
  </si>
  <si>
    <t>• Packaged vial's NDC (different manufacturer) submitted with a J‑code the payer crosswalks to a different NDC.
• 10‑digit NDC billed without converting to 11‑digit 5‑4‑2 format.
• Wrong unit of measure (UN vs ML) or incorrect NDC quantity billed.</t>
  </si>
  <si>
    <t>• NDC taken from wrong package (box vs vial) or different manufacturer lot.
• Billing system drug file not updated; crosswalk out of date.
• Staff unaware of 11‑digit formatting and UOM requirements.</t>
  </si>
  <si>
    <t>• Verify the exact NDC from the container administered; convert to 11‑digit (5‑4‑2) format.
• Confirm UOM (UN/ML/GR/F2) and quantity align with what was administered.
• Validate NDC ↔ HCPCS/J‑code crosswalk; correct the NDC or J‑code to match.
• Resubmit corrected claim with NDC in CMS‑1500 Box 24 (shaded) or UB‑04 FL43.</t>
  </si>
  <si>
    <t>• Maintain current NDC↔HCPCS crosswalk; update monthly.
• Capture NDC from the actual container at administration.
• Pre‑bill edit: require 11‑digit NDC + valid UOM + qty on all drug lines.
• Spot‑check high‑cost infusions for manufacturer changes.</t>
  </si>
  <si>
    <t>The payer cannot process the drug service line because the NDC Unit of
Measure (UOM) field is missing, blank, or contains an invalid value.
The UOM tells the payer how the drug quantity was measured (e.g., ML for
milliliters, UN for units, GR for grams). Payment is held or denied until
a valid UOM is submitted alongside the 11-digit NDC and quantity.</t>
  </si>
  <si>
    <t>Professional (CMS-1500):
- Drug line billed with J-code (e.g., J1885 ketorolac 15 mg) in Box 24D.
- In the shaded area of the same service line (24A–24G):
  N4 + 11-digit NDC + UOM + qty — e.g., N400409361301 ML2.
- Valid UOM values: UN (unit), ML (milliliter), GR (gram),
  F2 (international unit), ME (milligram).
- Link diagnosis pointer via Box 21 / 24E.
Facility (UB-04):
- Revenue line: FL42 (revenue code, e.g., 0636), FL44 (J-code).
- FL43 description field: include N4 + 11-digit NDC + valid UOM + qty.
  Example: N400409361301 ML2.
- Principal/secondary diagnosis in FL67.</t>
  </si>
  <si>
    <t>• Billing staff enters NDC number and quantity but leaves UOM field blank payer rejects the line with N816 + CO-16.
• UOM entered as "MG" (milligram abbreviation) instead of the required NCPDP-standard "ME"; payer treats it as invalid and denies the line.
• Pharmacy tech uses a non-standard internal code ("EA" for each) in the UOM field; crosswalk to payer-accepted values was never configured.</t>
  </si>
  <si>
    <t>• Billing system drug master file missing UOM mapping for specific NDCs.
• Staff unfamiliar with NCPDP-standard UOM codes; using free-text values.
• UOM field silently dropped during EDI translation or 837P mapping.</t>
  </si>
  <si>
    <t>• Identify the correct NCPDP UOM for the drug: UN, ML, GR, F2, or ME — confirm against the drug's prescribing/dispensing documentation.
• Update the service line: N4 + 11-digit NDC + corrected UOM + quantity.
• Verify the quantity matches the UOM (e.g., if UOM • ML, qty = mLs given).
• Resubmit a corrected claim; do not appeal — this is a data correction.</t>
  </si>
  <si>
    <t>• Build a drug master table with NDC, J-code, standard UOM, and qty/unit.
• Add a pre-bill scrub rule: UOM field must be non-blank and match an approved NCPDP value list (UN, ML, GR, F2, ME).
• Train billing staff on NCPDP UOM standards annually.
• Audit drug claim lines monthly for UOM errors before submission.</t>
  </si>
  <si>
    <t>(NDC) supplied does not correspond to the HCPCs/CPT billed.</t>
  </si>
  <si>
    <t>Invalid NDC Unit of Measure</t>
  </si>
  <si>
    <t>NDC/HCPCS Mismatch</t>
  </si>
  <si>
    <t>• Corrected Claim Submitted
• Claim Sent Back For Reprocessing
• Coding Assistance Required
• First Level of Appeal Sent
• Second Level Appeal Sent
• Adjustment Completed / Claim Closed
• Secondary/Tertiary Claim Submitted</t>
  </si>
  <si>
    <t>• Web Portal
• Calling
• Analyse</t>
  </si>
  <si>
    <t>NDC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</si>
</sst>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1"/>
      <color theme="1"/>
      <name val="Aptos Narrow"/>
      <family val="2"/>
      <scheme val="minor"/>
    </font>
    <font>
      <b/>
      <sz val="24"/>
      <color theme="1"/>
      <name val="Aptos Narrow"/>
      <family val="2"/>
      <scheme val="minor"/>
    </font>
    <font>
      <b/>
      <sz val="13.5"/>
      <color theme="1"/>
      <name val="Aptos Narrow"/>
      <family val="2"/>
      <scheme val="minor"/>
    </font>
    <font>
      <b/>
      <sz val="10"/>
      <color rgb="FF21212B"/>
      <name val="Calibri"/>
      <family val="2"/>
    </font>
    <font>
      <sz val="10"/>
      <color theme="1"/>
      <name val="Calibri"/>
      <family val="2"/>
    </font>
    <font>
      <b/>
      <sz val="10"/>
      <color theme="0"/>
      <name val="Calibri"/>
      <family val="2"/>
    </font>
    <font>
      <sz val="8"/>
      <name val="Aptos Narrow"/>
      <family val="2"/>
      <scheme val="minor"/>
    </font>
    <font>
      <b/>
      <sz val="10"/>
      <color rgb="FFCC0000"/>
      <name val="Calibri"/>
      <family val="2"/>
    </font>
    <font>
      <sz val="11"/>
      <color theme="1"/>
      <name val="Aptos Narrow"/>
      <family val="2"/>
      <scheme val="minor"/>
    </font>
    <font>
      <b/>
      <sz val="10"/>
      <color theme="1"/>
      <name val="Calibri"/>
      <family val="2"/>
    </font>
    <font>
      <sz val="11"/>
      <color theme="0"/>
      <name val="Aptos Narrow"/>
      <family val="2"/>
      <scheme val="minor"/>
    </font>
    <font>
      <sz val="10"/>
      <color theme="0"/>
      <name val="Calibri"/>
      <family val="2"/>
    </font>
    <font>
      <b/>
      <sz val="11"/>
      <color rgb="FF000000"/>
      <name val="Segoe UI"/>
      <family val="2"/>
    </font>
    <font>
      <sz val="10"/>
      <color rgb="FF000000"/>
      <name val="Calibri"/>
      <family val="2"/>
    </font>
    <font>
      <sz val="10"/>
      <name val="Calibri"/>
      <family val="2"/>
    </font>
    <font>
      <b/>
      <sz val="10"/>
      <color theme="1" tint="4.9989318521683403E-2"/>
      <name val="Calibri"/>
      <family val="2"/>
    </font>
    <font>
      <sz val="8"/>
      <color theme="1"/>
      <name val="Calibri"/>
      <family val="2"/>
    </font>
    <font>
      <b/>
      <sz val="10"/>
      <color rgb="FF000000"/>
      <name val="Calibri"/>
      <family val="2"/>
    </font>
    <font>
      <b/>
      <sz val="10"/>
      <color rgb="FF2F9E44"/>
      <name val="Calibri"/>
      <family val="2"/>
    </font>
    <font>
      <sz val="11"/>
      <name val="Calibri"/>
      <family val="2"/>
    </font>
    <font>
      <b/>
      <sz val="18"/>
      <color rgb="FF333333"/>
      <name val="Segoe UI"/>
      <family val="2"/>
    </font>
    <font>
      <b/>
      <sz val="13"/>
      <color rgb="FF333333"/>
      <name val="Segoe UI"/>
      <family val="2"/>
    </font>
    <font>
      <u/>
      <sz val="11"/>
      <color theme="10"/>
      <name val="Aptos Narrow"/>
      <family val="2"/>
      <scheme val="minor"/>
    </font>
    <font>
      <u/>
      <sz val="10"/>
      <color theme="10"/>
      <name val="Calibri"/>
      <family val="2"/>
    </font>
    <font>
      <b/>
      <sz val="11"/>
      <color rgb="FFFF0000"/>
      <name val="Aptos Narrow"/>
      <family val="2"/>
      <scheme val="minor"/>
    </font>
  </fonts>
  <fills count="18">
    <fill>
      <patternFill patternType="none"/>
    </fill>
    <fill>
      <patternFill patternType="gray125"/>
    </fill>
    <fill>
      <patternFill patternType="solid">
        <fgColor rgb="FFCCCCDE"/>
        <bgColor indexed="64"/>
      </patternFill>
    </fill>
    <fill>
      <patternFill patternType="solid">
        <fgColor rgb="FFF7F7FF"/>
        <bgColor indexed="64"/>
      </patternFill>
    </fill>
    <fill>
      <patternFill patternType="solid">
        <fgColor theme="1"/>
        <bgColor theme="1"/>
      </patternFill>
    </fill>
    <fill>
      <patternFill patternType="solid">
        <fgColor theme="4" tint="0.79998168889431442"/>
        <bgColor indexed="64"/>
      </patternFill>
    </fill>
    <fill>
      <patternFill patternType="solid">
        <fgColor theme="0" tint="-0.14999847407452621"/>
        <bgColor theme="0" tint="-0.14999847407452621"/>
      </patternFill>
    </fill>
    <fill>
      <patternFill patternType="solid">
        <fgColor theme="5" tint="0.79998168889431442"/>
        <bgColor theme="0" tint="-0.14999847407452621"/>
      </patternFill>
    </fill>
    <fill>
      <patternFill patternType="solid">
        <fgColor theme="3" tint="0.249977111117893"/>
        <bgColor theme="0" tint="-0.14999847407452621"/>
      </patternFill>
    </fill>
    <fill>
      <patternFill patternType="solid">
        <fgColor theme="3" tint="0.249977111117893"/>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F1F3F5"/>
        <bgColor indexed="64"/>
      </patternFill>
    </fill>
    <fill>
      <patternFill patternType="solid">
        <fgColor theme="2" tint="-9.9978637043366805E-2"/>
        <bgColor indexed="64"/>
      </patternFill>
    </fill>
    <fill>
      <patternFill patternType="solid">
        <fgColor theme="0"/>
        <bgColor theme="4" tint="0.79998168889431442"/>
      </patternFill>
    </fill>
    <fill>
      <patternFill patternType="solid">
        <fgColor theme="0"/>
        <bgColor theme="0" tint="-0.14999847407452621"/>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theme="1"/>
      </top>
      <bottom/>
      <diagonal/>
    </border>
    <border>
      <left style="thin">
        <color indexed="64"/>
      </left>
      <right/>
      <top style="thin">
        <color theme="1"/>
      </top>
      <bottom/>
      <diagonal/>
    </border>
    <border>
      <left style="thin">
        <color indexed="64"/>
      </left>
      <right/>
      <top style="thin">
        <color indexed="64"/>
      </top>
      <bottom style="thin">
        <color theme="1"/>
      </bottom>
      <diagonal/>
    </border>
    <border>
      <left style="thin">
        <color indexed="64"/>
      </left>
      <right style="thin">
        <color indexed="64"/>
      </right>
      <top/>
      <bottom/>
      <diagonal/>
    </border>
    <border>
      <left style="thin">
        <color indexed="64"/>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theme="1"/>
      </bottom>
      <diagonal/>
    </border>
  </borders>
  <cellStyleXfs count="4">
    <xf numFmtId="0" fontId="0" fillId="0" borderId="0"/>
    <xf numFmtId="9" fontId="9" fillId="0" borderId="0" applyFont="0" applyFill="0" applyBorder="0" applyAlignment="0" applyProtection="0"/>
    <xf numFmtId="0" fontId="20" fillId="0" borderId="0"/>
    <xf numFmtId="0" fontId="23" fillId="0" borderId="0" applyNumberFormat="0" applyFill="0" applyBorder="0" applyAlignment="0" applyProtection="0"/>
  </cellStyleXfs>
  <cellXfs count="162">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0" fillId="0" borderId="0" xfId="0" applyAlignment="1">
      <alignment horizontal="left"/>
    </xf>
    <xf numFmtId="0" fontId="4" fillId="2" borderId="2" xfId="0" applyFont="1" applyFill="1" applyBorder="1" applyAlignment="1">
      <alignment horizontal="center" vertical="top"/>
    </xf>
    <xf numFmtId="0" fontId="4" fillId="2" borderId="6" xfId="0" applyFont="1" applyFill="1" applyBorder="1" applyAlignment="1">
      <alignment horizontal="center" vertical="top"/>
    </xf>
    <xf numFmtId="0" fontId="4" fillId="3" borderId="3" xfId="0" applyFont="1" applyFill="1" applyBorder="1" applyAlignment="1">
      <alignment vertical="top"/>
    </xf>
    <xf numFmtId="0" fontId="8" fillId="3" borderId="3" xfId="0" applyFont="1" applyFill="1" applyBorder="1" applyAlignment="1">
      <alignment vertical="top"/>
    </xf>
    <xf numFmtId="0" fontId="6" fillId="4" borderId="4" xfId="0" applyFont="1" applyFill="1" applyBorder="1" applyAlignment="1">
      <alignment horizontal="center"/>
    </xf>
    <xf numFmtId="0" fontId="6" fillId="4" borderId="5" xfId="0" applyFont="1" applyFill="1" applyBorder="1"/>
    <xf numFmtId="0" fontId="4" fillId="3" borderId="7" xfId="0" applyFont="1" applyFill="1" applyBorder="1" applyAlignment="1">
      <alignment vertical="top"/>
    </xf>
    <xf numFmtId="0" fontId="5" fillId="0" borderId="0" xfId="0" applyFont="1" applyAlignment="1">
      <alignment horizontal="left"/>
    </xf>
    <xf numFmtId="0" fontId="5" fillId="0" borderId="8" xfId="0" applyFont="1" applyBorder="1" applyAlignment="1">
      <alignment wrapText="1"/>
    </xf>
    <xf numFmtId="0" fontId="5" fillId="0" borderId="7" xfId="0" applyFont="1" applyBorder="1" applyAlignment="1">
      <alignment wrapText="1"/>
    </xf>
    <xf numFmtId="0" fontId="0" fillId="0" borderId="10" xfId="0" applyBorder="1"/>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left" vertical="center"/>
    </xf>
    <xf numFmtId="0" fontId="5" fillId="0" borderId="2"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5" borderId="2" xfId="0" applyFont="1" applyFill="1" applyBorder="1" applyAlignment="1">
      <alignment vertical="center"/>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0" fontId="5" fillId="0" borderId="1" xfId="0" applyFont="1" applyBorder="1" applyAlignment="1">
      <alignment horizontal="left"/>
    </xf>
    <xf numFmtId="0" fontId="5" fillId="0" borderId="1" xfId="0" applyFont="1" applyBorder="1" applyAlignment="1">
      <alignment vertical="top"/>
    </xf>
    <xf numFmtId="0" fontId="5" fillId="0" borderId="3" xfId="0" applyFont="1" applyBorder="1" applyAlignment="1">
      <alignment vertical="top"/>
    </xf>
    <xf numFmtId="0" fontId="5" fillId="0" borderId="6" xfId="0" applyFont="1" applyBorder="1" applyAlignment="1">
      <alignment vertical="center"/>
    </xf>
    <xf numFmtId="0" fontId="5" fillId="0" borderId="8" xfId="0" applyFont="1" applyBorder="1" applyAlignment="1">
      <alignment horizontal="center" vertical="center"/>
    </xf>
    <xf numFmtId="0" fontId="5" fillId="0" borderId="8" xfId="0" applyFont="1" applyBorder="1" applyAlignment="1">
      <alignment horizontal="left" vertical="center"/>
    </xf>
    <xf numFmtId="0" fontId="5" fillId="0" borderId="9" xfId="0" applyFont="1" applyBorder="1"/>
    <xf numFmtId="0" fontId="5" fillId="0" borderId="1" xfId="0" applyFont="1" applyBorder="1"/>
    <xf numFmtId="0" fontId="5" fillId="0" borderId="8" xfId="0" applyFont="1" applyBorder="1"/>
    <xf numFmtId="0" fontId="5" fillId="0" borderId="5" xfId="0" applyFont="1" applyBorder="1"/>
    <xf numFmtId="0" fontId="5" fillId="0" borderId="3" xfId="0" applyFont="1" applyBorder="1"/>
    <xf numFmtId="0" fontId="5" fillId="5" borderId="1" xfId="0" applyFont="1" applyFill="1" applyBorder="1"/>
    <xf numFmtId="0" fontId="5" fillId="5" borderId="3" xfId="0" applyFont="1" applyFill="1" applyBorder="1"/>
    <xf numFmtId="0" fontId="5" fillId="0" borderId="7" xfId="0" applyFont="1" applyBorder="1"/>
    <xf numFmtId="0" fontId="5" fillId="0" borderId="6" xfId="0" applyFont="1" applyBorder="1" applyAlignment="1">
      <alignment vertical="center" wrapText="1"/>
    </xf>
    <xf numFmtId="0" fontId="5" fillId="0" borderId="0" xfId="0" applyFont="1"/>
    <xf numFmtId="0" fontId="5" fillId="0" borderId="8" xfId="0" applyFont="1" applyBorder="1" applyAlignment="1">
      <alignment vertical="center" wrapText="1"/>
    </xf>
    <xf numFmtId="0" fontId="0" fillId="0" borderId="0" xfId="0" applyAlignment="1">
      <alignment wrapText="1"/>
    </xf>
    <xf numFmtId="0" fontId="0" fillId="0" borderId="1" xfId="0" applyBorder="1"/>
    <xf numFmtId="0" fontId="6" fillId="4" borderId="7" xfId="0" applyFont="1" applyFill="1" applyBorder="1" applyAlignment="1">
      <alignment horizontal="left" vertical="center"/>
    </xf>
    <xf numFmtId="0" fontId="6" fillId="4" borderId="12" xfId="0" applyFont="1" applyFill="1" applyBorder="1" applyAlignment="1">
      <alignment horizontal="left" vertical="center" wrapText="1"/>
    </xf>
    <xf numFmtId="9" fontId="5" fillId="6" borderId="7" xfId="1" applyFont="1" applyFill="1" applyBorder="1" applyAlignment="1">
      <alignment horizontal="left" vertical="center" wrapText="1"/>
    </xf>
    <xf numFmtId="0" fontId="5" fillId="6" borderId="7" xfId="0" applyFont="1" applyFill="1" applyBorder="1" applyAlignment="1">
      <alignment horizontal="left" vertical="center" wrapText="1"/>
    </xf>
    <xf numFmtId="9" fontId="5" fillId="6" borderId="8" xfId="1" applyFont="1" applyFill="1" applyBorder="1" applyAlignment="1">
      <alignment horizontal="left" vertical="center" wrapText="1"/>
    </xf>
    <xf numFmtId="9" fontId="5" fillId="0" borderId="7" xfId="1" applyFont="1" applyBorder="1" applyAlignment="1">
      <alignment horizontal="left" vertical="center" wrapText="1"/>
    </xf>
    <xf numFmtId="9" fontId="5" fillId="0" borderId="3" xfId="1" applyFont="1" applyBorder="1" applyAlignment="1">
      <alignment horizontal="left" vertical="center" wrapText="1"/>
    </xf>
    <xf numFmtId="9" fontId="5" fillId="0" borderId="1" xfId="1" applyFont="1" applyBorder="1" applyAlignment="1">
      <alignment horizontal="left" vertical="center" wrapText="1"/>
    </xf>
    <xf numFmtId="9" fontId="5" fillId="6" borderId="7" xfId="1" applyFont="1" applyFill="1" applyBorder="1" applyAlignment="1">
      <alignment horizontal="left" vertical="center"/>
    </xf>
    <xf numFmtId="9" fontId="5" fillId="6" borderId="11" xfId="1" applyFont="1" applyFill="1" applyBorder="1" applyAlignment="1">
      <alignment horizontal="left" vertical="center"/>
    </xf>
    <xf numFmtId="9" fontId="5" fillId="6" borderId="7" xfId="1" applyFont="1" applyFill="1" applyBorder="1" applyAlignment="1">
      <alignment vertical="top"/>
    </xf>
    <xf numFmtId="0" fontId="6" fillId="4" borderId="0" xfId="0" applyFont="1" applyFill="1" applyAlignment="1">
      <alignment horizontal="left" vertical="center"/>
    </xf>
    <xf numFmtId="9" fontId="5" fillId="6" borderId="7" xfId="1" applyFont="1" applyFill="1" applyBorder="1" applyAlignment="1">
      <alignment vertical="center"/>
    </xf>
    <xf numFmtId="0" fontId="5" fillId="6" borderId="7" xfId="0" applyFont="1" applyFill="1" applyBorder="1" applyAlignment="1">
      <alignment vertical="center"/>
    </xf>
    <xf numFmtId="9" fontId="5" fillId="7" borderId="11" xfId="1" applyFont="1" applyFill="1" applyBorder="1" applyAlignment="1">
      <alignment horizontal="left" vertical="center"/>
    </xf>
    <xf numFmtId="9" fontId="5" fillId="7" borderId="7" xfId="1" applyFont="1" applyFill="1" applyBorder="1" applyAlignment="1">
      <alignment horizontal="left" vertical="center"/>
    </xf>
    <xf numFmtId="9" fontId="5" fillId="7" borderId="7" xfId="1" applyFont="1" applyFill="1" applyBorder="1" applyAlignment="1">
      <alignment vertical="center"/>
    </xf>
    <xf numFmtId="0" fontId="5" fillId="7" borderId="7" xfId="0" applyFont="1" applyFill="1" applyBorder="1" applyAlignment="1">
      <alignment vertical="center"/>
    </xf>
    <xf numFmtId="0" fontId="6" fillId="4" borderId="13" xfId="0" applyFont="1" applyFill="1" applyBorder="1" applyAlignment="1">
      <alignment horizontal="left" vertical="center"/>
    </xf>
    <xf numFmtId="9" fontId="12" fillId="8" borderId="11" xfId="1" applyFont="1" applyFill="1" applyBorder="1" applyAlignment="1">
      <alignment horizontal="left" vertical="center"/>
    </xf>
    <xf numFmtId="9" fontId="12" fillId="8" borderId="7" xfId="1" applyFont="1" applyFill="1" applyBorder="1" applyAlignment="1">
      <alignment horizontal="left" vertical="center"/>
    </xf>
    <xf numFmtId="9" fontId="12" fillId="8" borderId="7" xfId="1" applyFont="1" applyFill="1" applyBorder="1" applyAlignment="1">
      <alignment vertical="center"/>
    </xf>
    <xf numFmtId="0" fontId="12" fillId="8" borderId="7" xfId="0" applyFont="1" applyFill="1" applyBorder="1" applyAlignment="1">
      <alignment vertical="center"/>
    </xf>
    <xf numFmtId="9" fontId="12" fillId="8" borderId="7" xfId="1" applyFont="1" applyFill="1" applyBorder="1" applyAlignment="1">
      <alignment vertical="top"/>
    </xf>
    <xf numFmtId="9" fontId="5" fillId="6" borderId="14" xfId="1" applyFont="1" applyFill="1" applyBorder="1" applyAlignment="1">
      <alignment vertical="center"/>
    </xf>
    <xf numFmtId="9" fontId="5" fillId="6" borderId="7" xfId="1" applyFont="1" applyFill="1" applyBorder="1" applyAlignment="1">
      <alignment vertical="center" wrapText="1"/>
    </xf>
    <xf numFmtId="0" fontId="13" fillId="10" borderId="1" xfId="0" applyFont="1" applyFill="1" applyBorder="1" applyAlignment="1">
      <alignment horizontal="center" vertical="center"/>
    </xf>
    <xf numFmtId="0" fontId="5" fillId="0" borderId="1" xfId="0" applyFont="1" applyBorder="1" applyAlignment="1">
      <alignment horizontal="center"/>
    </xf>
    <xf numFmtId="0" fontId="0" fillId="0" borderId="0" xfId="0" applyAlignment="1">
      <alignment horizontal="center"/>
    </xf>
    <xf numFmtId="0" fontId="13" fillId="10" borderId="1" xfId="0" applyFont="1" applyFill="1" applyBorder="1" applyAlignment="1">
      <alignment vertical="center"/>
    </xf>
    <xf numFmtId="0" fontId="14" fillId="10" borderId="1" xfId="0" applyFont="1" applyFill="1" applyBorder="1" applyAlignment="1">
      <alignment vertical="center"/>
    </xf>
    <xf numFmtId="0" fontId="5" fillId="0" borderId="8" xfId="0" applyFont="1" applyBorder="1" applyAlignment="1">
      <alignment horizontal="center"/>
    </xf>
    <xf numFmtId="0" fontId="5" fillId="0" borderId="9" xfId="0" applyFont="1" applyBorder="1" applyAlignment="1">
      <alignment horizontal="center"/>
    </xf>
    <xf numFmtId="0" fontId="5" fillId="0" borderId="0" xfId="0" applyFont="1" applyAlignment="1">
      <alignment horizontal="center"/>
    </xf>
    <xf numFmtId="0" fontId="15" fillId="11" borderId="1" xfId="0" applyFont="1" applyFill="1" applyBorder="1" applyAlignment="1">
      <alignment horizontal="center"/>
    </xf>
    <xf numFmtId="0" fontId="14" fillId="10" borderId="3" xfId="0" applyFont="1" applyFill="1" applyBorder="1" applyAlignment="1">
      <alignment vertical="center"/>
    </xf>
    <xf numFmtId="0" fontId="16" fillId="12" borderId="2" xfId="0" applyFont="1" applyFill="1" applyBorder="1" applyAlignment="1">
      <alignment horizontal="center"/>
    </xf>
    <xf numFmtId="0" fontId="16" fillId="12" borderId="1" xfId="0" applyFont="1" applyFill="1" applyBorder="1" applyAlignment="1">
      <alignment horizontal="center"/>
    </xf>
    <xf numFmtId="0" fontId="16" fillId="12" borderId="1" xfId="0" applyFont="1" applyFill="1" applyBorder="1"/>
    <xf numFmtId="0" fontId="16" fillId="12" borderId="15" xfId="0" applyFont="1" applyFill="1" applyBorder="1" applyAlignment="1">
      <alignment horizontal="center"/>
    </xf>
    <xf numFmtId="0" fontId="17" fillId="0" borderId="1" xfId="0" applyFont="1" applyBorder="1" applyAlignment="1">
      <alignment horizontal="center"/>
    </xf>
    <xf numFmtId="0" fontId="17" fillId="0" borderId="1" xfId="0" applyFont="1" applyBorder="1" applyAlignment="1">
      <alignment horizontal="left"/>
    </xf>
    <xf numFmtId="0" fontId="17" fillId="0" borderId="1" xfId="0" applyFont="1" applyBorder="1"/>
    <xf numFmtId="0" fontId="17" fillId="0" borderId="8" xfId="0" applyFont="1" applyBorder="1" applyAlignment="1">
      <alignment horizontal="center"/>
    </xf>
    <xf numFmtId="0" fontId="17" fillId="0" borderId="8" xfId="0" applyFont="1" applyBorder="1" applyAlignment="1">
      <alignment horizontal="left"/>
    </xf>
    <xf numFmtId="0" fontId="17" fillId="0" borderId="8" xfId="0" applyFont="1" applyBorder="1"/>
    <xf numFmtId="0" fontId="17" fillId="13" borderId="8" xfId="0" applyFont="1" applyFill="1" applyBorder="1" applyAlignment="1">
      <alignment horizontal="center"/>
    </xf>
    <xf numFmtId="0" fontId="17" fillId="13" borderId="8" xfId="0" applyFont="1" applyFill="1" applyBorder="1" applyAlignment="1">
      <alignment horizontal="left"/>
    </xf>
    <xf numFmtId="0" fontId="16" fillId="12" borderId="16" xfId="0" applyFont="1" applyFill="1" applyBorder="1" applyAlignment="1">
      <alignment horizontal="center"/>
    </xf>
    <xf numFmtId="0" fontId="5" fillId="12" borderId="1" xfId="0" applyFont="1" applyFill="1" applyBorder="1" applyAlignment="1">
      <alignment horizontal="center"/>
    </xf>
    <xf numFmtId="0" fontId="5" fillId="12" borderId="1" xfId="0" applyFont="1" applyFill="1" applyBorder="1"/>
    <xf numFmtId="0" fontId="0" fillId="12" borderId="17" xfId="0" applyFill="1" applyBorder="1"/>
    <xf numFmtId="0" fontId="0" fillId="12" borderId="18" xfId="0" applyFill="1" applyBorder="1"/>
    <xf numFmtId="0" fontId="5" fillId="0" borderId="3" xfId="0" applyFont="1" applyBorder="1" applyAlignment="1">
      <alignment horizontal="center"/>
    </xf>
    <xf numFmtId="0" fontId="0" fillId="0" borderId="17" xfId="0" applyBorder="1"/>
    <xf numFmtId="0" fontId="0" fillId="0" borderId="18" xfId="0" applyBorder="1"/>
    <xf numFmtId="0" fontId="5" fillId="12" borderId="3" xfId="0" applyFont="1" applyFill="1" applyBorder="1" applyAlignment="1">
      <alignment horizontal="center"/>
    </xf>
    <xf numFmtId="0" fontId="16" fillId="12" borderId="1" xfId="0" applyFont="1" applyFill="1" applyBorder="1" applyAlignment="1">
      <alignment horizontal="left"/>
    </xf>
    <xf numFmtId="0" fontId="6" fillId="4" borderId="4" xfId="0" applyFont="1" applyFill="1" applyBorder="1" applyAlignment="1">
      <alignment horizontal="left" vertical="center"/>
    </xf>
    <xf numFmtId="0" fontId="6" fillId="4" borderId="9" xfId="0" applyFont="1" applyFill="1" applyBorder="1" applyAlignment="1">
      <alignment horizontal="left" vertical="center"/>
    </xf>
    <xf numFmtId="0" fontId="6" fillId="4" borderId="5" xfId="0" applyFont="1" applyFill="1" applyBorder="1" applyAlignment="1">
      <alignment horizontal="left" vertical="center"/>
    </xf>
    <xf numFmtId="9" fontId="5" fillId="6" borderId="8" xfId="1" applyFont="1" applyFill="1" applyBorder="1" applyAlignment="1">
      <alignment vertical="center" wrapText="1"/>
    </xf>
    <xf numFmtId="0" fontId="5" fillId="6" borderId="8" xfId="0" applyFont="1" applyFill="1" applyBorder="1" applyAlignment="1">
      <alignment vertical="center" wrapText="1"/>
    </xf>
    <xf numFmtId="9" fontId="5" fillId="6" borderId="8" xfId="1" applyFont="1" applyFill="1" applyBorder="1" applyAlignment="1">
      <alignment vertical="center"/>
    </xf>
    <xf numFmtId="9" fontId="5" fillId="6" borderId="19" xfId="1" applyFont="1" applyFill="1" applyBorder="1" applyAlignment="1">
      <alignment vertical="center"/>
    </xf>
    <xf numFmtId="0" fontId="5" fillId="6" borderId="7" xfId="1" applyNumberFormat="1" applyFont="1" applyFill="1" applyBorder="1" applyAlignment="1">
      <alignment horizontal="left" vertical="center"/>
    </xf>
    <xf numFmtId="0" fontId="18" fillId="10" borderId="1" xfId="0" applyFont="1" applyFill="1" applyBorder="1" applyAlignment="1">
      <alignment horizontal="center" vertical="center"/>
    </xf>
    <xf numFmtId="0" fontId="19" fillId="10" borderId="1" xfId="0" applyFont="1" applyFill="1" applyBorder="1" applyAlignment="1">
      <alignment horizontal="center" vertical="center"/>
    </xf>
    <xf numFmtId="0" fontId="19" fillId="14" borderId="1" xfId="0" applyFont="1" applyFill="1" applyBorder="1" applyAlignment="1">
      <alignment horizontal="center" vertical="center"/>
    </xf>
    <xf numFmtId="0" fontId="18" fillId="10" borderId="1" xfId="0" applyFont="1" applyFill="1" applyBorder="1" applyAlignment="1">
      <alignment vertical="center"/>
    </xf>
    <xf numFmtId="0" fontId="14" fillId="14" borderId="1" xfId="0" applyFont="1" applyFill="1" applyBorder="1" applyAlignment="1">
      <alignment vertical="center"/>
    </xf>
    <xf numFmtId="0" fontId="6" fillId="4" borderId="11" xfId="0" applyFont="1" applyFill="1" applyBorder="1" applyAlignment="1">
      <alignment horizontal="left" vertical="center" wrapText="1"/>
    </xf>
    <xf numFmtId="0" fontId="6" fillId="4" borderId="7" xfId="0" applyFont="1" applyFill="1" applyBorder="1" applyAlignment="1">
      <alignment horizontal="left" vertical="center" wrapText="1"/>
    </xf>
    <xf numFmtId="0" fontId="1" fillId="0" borderId="0" xfId="0" applyFont="1" applyAlignment="1">
      <alignment horizontal="center" vertical="center"/>
    </xf>
    <xf numFmtId="0" fontId="0" fillId="0" borderId="0" xfId="0" applyAlignment="1">
      <alignment vertical="center"/>
    </xf>
    <xf numFmtId="9" fontId="5" fillId="6" borderId="8" xfId="1" applyFont="1" applyFill="1" applyBorder="1" applyAlignment="1">
      <alignment horizontal="left" vertical="center"/>
    </xf>
    <xf numFmtId="9" fontId="5" fillId="6" borderId="1" xfId="1" applyFont="1" applyFill="1" applyBorder="1" applyAlignment="1">
      <alignment vertical="center"/>
    </xf>
    <xf numFmtId="9" fontId="5" fillId="6" borderId="6" xfId="1" applyFont="1" applyFill="1" applyBorder="1" applyAlignment="1">
      <alignment horizontal="left" vertical="center"/>
    </xf>
    <xf numFmtId="0" fontId="5" fillId="6" borderId="8" xfId="0" applyFont="1" applyFill="1" applyBorder="1" applyAlignment="1">
      <alignment vertical="center"/>
    </xf>
    <xf numFmtId="9" fontId="5" fillId="6" borderId="2" xfId="1" applyFont="1" applyFill="1" applyBorder="1" applyAlignment="1">
      <alignment horizontal="left" vertical="center"/>
    </xf>
    <xf numFmtId="9" fontId="5" fillId="6" borderId="3" xfId="1" applyFont="1" applyFill="1" applyBorder="1" applyAlignment="1">
      <alignment vertical="center"/>
    </xf>
    <xf numFmtId="9" fontId="5" fillId="6" borderId="1" xfId="1" applyFont="1" applyFill="1" applyBorder="1" applyAlignment="1">
      <alignment horizontal="left" vertical="center"/>
    </xf>
    <xf numFmtId="0" fontId="5" fillId="6" borderId="1" xfId="0" applyFont="1" applyFill="1" applyBorder="1" applyAlignment="1">
      <alignment vertical="center"/>
    </xf>
    <xf numFmtId="9" fontId="5" fillId="6" borderId="6" xfId="1" applyFont="1" applyFill="1" applyBorder="1" applyAlignment="1">
      <alignment horizontal="left" vertical="center" wrapText="1"/>
    </xf>
    <xf numFmtId="9" fontId="5" fillId="7" borderId="19" xfId="1" applyFont="1" applyFill="1" applyBorder="1" applyAlignment="1">
      <alignment vertical="center"/>
    </xf>
    <xf numFmtId="9" fontId="12" fillId="8" borderId="19" xfId="1" applyFont="1" applyFill="1" applyBorder="1" applyAlignment="1">
      <alignment vertical="center"/>
    </xf>
    <xf numFmtId="9" fontId="10" fillId="6" borderId="19" xfId="1" applyFont="1" applyFill="1" applyBorder="1" applyAlignment="1">
      <alignment vertical="center"/>
    </xf>
    <xf numFmtId="0" fontId="11" fillId="9" borderId="7" xfId="0" applyFont="1" applyFill="1" applyBorder="1"/>
    <xf numFmtId="0" fontId="0" fillId="0" borderId="7" xfId="0" applyBorder="1"/>
    <xf numFmtId="0" fontId="5" fillId="6" borderId="7" xfId="0" applyFont="1" applyFill="1" applyBorder="1" applyAlignment="1">
      <alignment vertical="center" wrapText="1"/>
    </xf>
    <xf numFmtId="9" fontId="5" fillId="6" borderId="7" xfId="1" applyFont="1" applyFill="1" applyBorder="1" applyAlignment="1">
      <alignment vertical="top" wrapText="1"/>
    </xf>
    <xf numFmtId="0" fontId="5" fillId="6" borderId="0" xfId="0" applyFont="1" applyFill="1" applyAlignment="1">
      <alignment vertical="center"/>
    </xf>
    <xf numFmtId="9" fontId="5" fillId="7" borderId="0" xfId="1" applyFont="1" applyFill="1" applyBorder="1" applyAlignment="1">
      <alignment horizontal="left" vertical="center"/>
    </xf>
    <xf numFmtId="0" fontId="16" fillId="15" borderId="1" xfId="0" applyFont="1" applyFill="1" applyBorder="1" applyAlignment="1">
      <alignment horizontal="center" vertical="center"/>
    </xf>
    <xf numFmtId="0" fontId="5" fillId="6" borderId="1" xfId="0" applyFont="1" applyFill="1" applyBorder="1" applyAlignment="1">
      <alignment horizontal="center" vertical="center"/>
    </xf>
    <xf numFmtId="0" fontId="24" fillId="0" borderId="8" xfId="3" applyFont="1" applyBorder="1" applyAlignment="1"/>
    <xf numFmtId="0" fontId="23" fillId="0" borderId="8" xfId="3" applyBorder="1" applyAlignment="1"/>
    <xf numFmtId="0" fontId="23" fillId="0" borderId="1" xfId="3" applyBorder="1" applyAlignment="1"/>
    <xf numFmtId="0" fontId="5" fillId="0" borderId="22" xfId="0" applyFont="1" applyBorder="1" applyAlignment="1">
      <alignment horizontal="center"/>
    </xf>
    <xf numFmtId="0" fontId="24" fillId="0" borderId="22" xfId="0" applyFont="1" applyBorder="1"/>
    <xf numFmtId="0" fontId="6" fillId="4" borderId="20" xfId="0" applyFont="1" applyFill="1" applyBorder="1"/>
    <xf numFmtId="0" fontId="6" fillId="4" borderId="21" xfId="0" applyFont="1" applyFill="1" applyBorder="1"/>
    <xf numFmtId="0" fontId="5" fillId="6" borderId="1" xfId="0" applyFont="1" applyFill="1" applyBorder="1" applyAlignment="1">
      <alignment horizontal="center"/>
    </xf>
    <xf numFmtId="0" fontId="24" fillId="6" borderId="1" xfId="0" applyFont="1" applyFill="1" applyBorder="1"/>
    <xf numFmtId="0" fontId="5" fillId="17" borderId="1" xfId="0" applyFont="1" applyFill="1" applyBorder="1" applyAlignment="1">
      <alignment wrapText="1"/>
    </xf>
    <xf numFmtId="0" fontId="5" fillId="16" borderId="1" xfId="0" applyFont="1" applyFill="1" applyBorder="1"/>
    <xf numFmtId="0" fontId="5" fillId="17" borderId="1" xfId="0" applyFont="1" applyFill="1" applyBorder="1"/>
    <xf numFmtId="0" fontId="25" fillId="6" borderId="4" xfId="0" applyFont="1" applyFill="1" applyBorder="1"/>
    <xf numFmtId="0" fontId="25" fillId="6" borderId="5" xfId="0" applyFont="1" applyFill="1" applyBorder="1"/>
    <xf numFmtId="0" fontId="25" fillId="6" borderId="9" xfId="0" applyFont="1" applyFill="1" applyBorder="1"/>
    <xf numFmtId="0" fontId="22" fillId="0" borderId="0" xfId="0" applyFont="1" applyAlignment="1">
      <alignment horizontal="center" vertical="center" wrapText="1"/>
    </xf>
    <xf numFmtId="0" fontId="21" fillId="0" borderId="0" xfId="0" applyFont="1" applyAlignment="1">
      <alignment horizontal="center" vertical="center" wrapText="1"/>
    </xf>
    <xf numFmtId="0" fontId="5" fillId="17" borderId="1" xfId="0" applyFont="1" applyFill="1" applyBorder="1" applyAlignment="1"/>
    <xf numFmtId="0" fontId="5" fillId="17" borderId="8" xfId="0" applyFont="1" applyFill="1" applyBorder="1" applyAlignment="1"/>
    <xf numFmtId="0" fontId="25" fillId="6" borderId="9" xfId="0" applyFont="1" applyFill="1" applyBorder="1" applyAlignment="1"/>
    <xf numFmtId="0" fontId="5" fillId="17" borderId="9"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17" borderId="9" xfId="0" applyFont="1" applyFill="1" applyBorder="1" applyAlignment="1">
      <alignment horizontal="left" vertical="center" wrapText="1"/>
    </xf>
  </cellXfs>
  <cellStyles count="4">
    <cellStyle name="Hyperlink" xfId="3" builtinId="8"/>
    <cellStyle name="Normal" xfId="0" builtinId="0"/>
    <cellStyle name="Normal 2" xfId="2" xr:uid="{28E25A66-B9E8-4835-A04A-DAC50678A1C1}"/>
    <cellStyle name="Percent" xfId="1" builtinId="5"/>
  </cellStyles>
  <dxfs count="134">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alignmen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dxf>
    <dxf>
      <alignment vertical="bottom" textRotation="0" wrapText="0" indent="0" justifyLastLine="0" shrinkToFit="0" readingOrder="0"/>
    </dxf>
    <dxf>
      <font>
        <b val="0"/>
        <i val="0"/>
        <strike val="0"/>
        <condense val="0"/>
        <extend val="0"/>
        <outline val="0"/>
        <shadow val="0"/>
        <u val="none"/>
        <vertAlign val="baseline"/>
        <sz val="8"/>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none"/>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none"/>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0"/>
        <color theme="1" tint="4.9989318521683403E-2"/>
        <name val="Calibri"/>
        <family val="2"/>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font>
        <b/>
        <i val="0"/>
        <strike val="0"/>
        <condense val="0"/>
        <extend val="0"/>
        <outline val="0"/>
        <shadow val="0"/>
        <u val="none"/>
        <vertAlign val="baseline"/>
        <sz val="10"/>
        <color rgb="FF21212B"/>
        <name val="Calibri"/>
        <family val="2"/>
        <scheme val="none"/>
      </font>
      <fill>
        <patternFill patternType="solid">
          <fgColor indexed="64"/>
          <bgColor rgb="FFF7F7FF"/>
        </patternFill>
      </fill>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sz val="10"/>
        <color rgb="FF21212B"/>
        <name val="Calibri"/>
        <family val="2"/>
        <scheme val="none"/>
      </font>
      <numFmt numFmtId="0" formatCode="General"/>
      <fill>
        <patternFill patternType="solid">
          <fgColor indexed="64"/>
          <bgColor rgb="FFF7F7FF"/>
        </patternFill>
      </fill>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rgb="FF21212B"/>
        <name val="Calibri"/>
        <family val="2"/>
        <scheme val="none"/>
      </font>
      <fill>
        <patternFill patternType="solid">
          <fgColor indexed="64"/>
          <bgColor rgb="FFF7F7FF"/>
        </patternFill>
      </fill>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rgb="FF21212B"/>
        <name val="Calibri"/>
        <family val="2"/>
        <scheme val="none"/>
      </font>
      <fill>
        <patternFill patternType="solid">
          <fgColor indexed="64"/>
          <bgColor rgb="FFCCCCDE"/>
        </patternFill>
      </fill>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Calibri"/>
        <family val="2"/>
        <scheme val="none"/>
      </font>
      <numFmt numFmtId="0" formatCode="General"/>
      <alignmen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general"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Calibri"/>
        <family val="2"/>
        <scheme val="none"/>
      </font>
      <alignmen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textRotation="0" wrapText="0" indent="0" justifyLastLine="0" shrinkToFit="0" readingOrder="0"/>
    </dxf>
    <dxf>
      <border>
        <bottom style="thin">
          <color indexed="64"/>
        </bottom>
      </border>
    </dxf>
    <dxf>
      <alignment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none"/>
      </font>
      <alignmen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dxf>
    <dxf>
      <font>
        <strike val="0"/>
        <outline val="0"/>
        <shadow val="0"/>
        <u val="none"/>
        <vertAlign val="baseline"/>
        <sz val="10"/>
        <name val="Calibri"/>
        <family val="2"/>
        <scheme val="none"/>
      </font>
      <alignment vertical="bottom" textRotation="0" wrapText="0" indent="0" justifyLastLine="0" shrinkToFit="0" readingOrder="0"/>
    </dxf>
    <dxf>
      <font>
        <strike val="0"/>
        <outline val="0"/>
        <shadow val="0"/>
        <u val="none"/>
        <vertAlign val="baseline"/>
        <sz val="10"/>
        <name val="Calibri"/>
        <family val="2"/>
        <scheme val="none"/>
      </font>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libri"/>
        <family val="2"/>
        <scheme val="none"/>
      </font>
      <alignmen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vertical="bottom" textRotation="0" wrapText="0" indent="0" justifyLastLine="0" shrinkToFit="0" readingOrder="0"/>
    </dxf>
    <dxf>
      <border>
        <bottom style="thin">
          <color indexed="64"/>
        </bottom>
      </border>
    </dxf>
    <dxf>
      <font>
        <strike val="0"/>
        <outline val="0"/>
        <shadow val="0"/>
        <u val="none"/>
        <vertAlign val="baseline"/>
        <sz val="10"/>
        <name val="Calibri"/>
        <family val="2"/>
        <scheme val="none"/>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3" formatCode="0%"/>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3" formatCode="0%"/>
      <fill>
        <patternFill patternType="solid">
          <fgColor theme="0" tint="-0.14999847407452621"/>
          <bgColor theme="0" tint="-0.149998474074526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3" formatCode="0%"/>
      <fill>
        <patternFill patternType="solid">
          <fgColor theme="0" tint="-0.14999847407452621"/>
          <bgColor theme="0" tint="-0.149998474074526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3" formatCode="0%"/>
      <fill>
        <patternFill patternType="solid">
          <fgColor theme="0" tint="-0.14999847407452621"/>
          <bgColor theme="0" tint="-0.149998474074526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tint="-0.149998474074526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3" formatCode="0%"/>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3" formatCode="0%"/>
      <fill>
        <patternFill patternType="solid">
          <fgColor theme="0" tint="-0.14999847407452621"/>
          <bgColor theme="0" tint="-0.149998474074526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3" formatCode="0%"/>
      <fill>
        <patternFill patternType="solid">
          <fgColor theme="0" tint="-0.14999847407452621"/>
          <bgColor theme="0" tint="-0.1499984740745262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theme="0"/>
        <name val="Calibri"/>
        <family val="2"/>
        <scheme val="none"/>
      </font>
      <fill>
        <patternFill patternType="solid">
          <fgColor theme="1"/>
          <bgColor theme="1"/>
        </patternFill>
      </fill>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theme="1"/>
        <name val="Calibri"/>
        <family val="2"/>
        <scheme val="none"/>
      </font>
    </dxf>
    <dxf>
      <font>
        <strike val="0"/>
        <outline val="0"/>
        <shadow val="0"/>
        <u val="none"/>
        <vertAlign val="baseline"/>
        <sz val="10"/>
        <color theme="1"/>
        <name val="Calibri"/>
        <family val="2"/>
        <scheme val="none"/>
      </font>
    </dxf>
    <dxf>
      <font>
        <strike val="0"/>
        <outline val="0"/>
        <shadow val="0"/>
        <u val="none"/>
        <vertAlign val="baseline"/>
        <sz val="10"/>
        <color theme="1"/>
        <name val="Calibri"/>
        <family val="2"/>
        <scheme val="none"/>
      </font>
    </dxf>
    <dxf>
      <font>
        <strike val="0"/>
        <outline val="0"/>
        <shadow val="0"/>
        <vertAlign val="baseline"/>
        <sz val="10"/>
        <name val="Calibri"/>
        <family val="2"/>
        <scheme val="none"/>
      </font>
      <alignment horizontal="center" vertical="bottom" textRotation="0" wrapText="0" indent="0" justifyLastLine="0" shrinkToFit="0" readingOrder="0"/>
    </dxf>
    <dxf>
      <font>
        <strike val="0"/>
        <outline val="0"/>
        <shadow val="0"/>
        <vertAlign val="baseline"/>
        <sz val="10"/>
        <name val="Calibri"/>
        <family val="2"/>
        <scheme val="none"/>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Calibri"/>
        <family val="2"/>
        <scheme val="none"/>
      </font>
      <alignment horizontal="center" vertical="bottom" textRotation="0" wrapText="0" indent="0" justifyLastLine="0" shrinkToFit="0" readingOrder="0"/>
    </dxf>
    <dxf>
      <font>
        <strike val="0"/>
        <outline val="0"/>
        <shadow val="0"/>
        <vertAlign val="baseline"/>
        <sz val="10"/>
        <name val="Calibri"/>
        <family val="2"/>
        <scheme val="none"/>
      </font>
      <alignment horizontal="general" vertical="bottom" textRotation="0" wrapText="0" indent="0" justifyLastLine="0" shrinkToFit="0" readingOrder="0"/>
    </dxf>
    <dxf>
      <font>
        <sz val="10"/>
        <name val="Calibri"/>
        <family val="2"/>
        <scheme val="none"/>
      </font>
      <numFmt numFmtId="13" formatCode="0%"/>
      <fill>
        <patternFill patternType="solid">
          <fgColor theme="0" tint="-0.14999847407452621"/>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none"/>
      </font>
      <numFmt numFmtId="13" formatCode="0%"/>
      <fill>
        <patternFill patternType="solid">
          <fgColor theme="0" tint="-0.14999847407452621"/>
          <bgColor theme="0" tint="-0.14999847407452621"/>
        </patternFill>
      </fill>
      <alignment horizontal="general" vertical="top" textRotation="0" wrapText="0" indent="0" justifyLastLine="0" shrinkToFit="0" readingOrder="0"/>
      <border diagonalUp="0" diagonalDown="0">
        <left style="thin">
          <color indexed="64"/>
        </left>
        <right/>
        <top style="thin">
          <color indexed="64"/>
        </top>
        <bottom/>
      </border>
    </dxf>
    <dxf>
      <font>
        <sz val="10"/>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outline="0">
        <left style="thin">
          <color indexed="64"/>
        </left>
        <right/>
        <top style="thin">
          <color indexed="64"/>
        </top>
        <bottom/>
      </border>
    </dxf>
    <dxf>
      <font>
        <sz val="10"/>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outline="0">
        <left style="thin">
          <color indexed="64"/>
        </left>
        <right/>
        <top style="thin">
          <color indexed="64"/>
        </top>
        <bottom/>
      </border>
    </dxf>
    <dxf>
      <font>
        <sz val="10"/>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outline="0">
        <left style="thin">
          <color indexed="64"/>
        </left>
        <right/>
        <top style="thin">
          <color indexed="64"/>
        </top>
        <bottom/>
      </border>
    </dxf>
    <dxf>
      <font>
        <sz val="10"/>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outline="0">
        <left style="thin">
          <color indexed="64"/>
        </left>
        <right/>
        <top style="thin">
          <color indexed="64"/>
        </top>
        <bottom/>
      </border>
    </dxf>
    <dxf>
      <font>
        <sz val="10"/>
        <name val="Calibri"/>
        <family val="2"/>
        <scheme val="none"/>
      </font>
      <fill>
        <patternFill patternType="solid">
          <fgColor theme="0" tint="-0.14999847407452621"/>
          <bgColor theme="0" tint="-0.14999847407452621"/>
        </patternFill>
      </fill>
      <alignment horizontal="general" vertical="center" textRotation="0" wrapText="0" indent="0" justifyLastLine="0" shrinkToFit="0" readingOrder="0"/>
      <border diagonalUp="0" diagonalDown="0" outline="0">
        <left style="thin">
          <color indexed="64"/>
        </left>
        <right/>
        <top style="thin">
          <color indexed="64"/>
        </top>
        <bottom/>
      </border>
    </dxf>
    <dxf>
      <font>
        <sz val="10"/>
        <name val="Calibri"/>
        <family val="2"/>
        <scheme val="none"/>
      </font>
      <fill>
        <patternFill patternType="solid">
          <fgColor theme="0" tint="-0.14999847407452621"/>
          <bgColor theme="0" tint="-0.14999847407452621"/>
        </patternFill>
      </fill>
      <alignment horizontal="left" vertical="center" textRotation="0" wrapText="0" indent="0" justifyLastLine="0" shrinkToFit="0" readingOrder="0"/>
      <border diagonalUp="0" diagonalDown="0" outline="0">
        <left style="thin">
          <color indexed="64"/>
        </left>
        <right/>
        <top style="thin">
          <color indexed="64"/>
        </top>
        <bottom/>
      </border>
    </dxf>
    <dxf>
      <font>
        <sz val="10"/>
        <name val="Calibri"/>
        <family val="2"/>
        <scheme val="none"/>
      </font>
      <fill>
        <patternFill patternType="solid">
          <fgColor theme="0" tint="-0.14999847407452621"/>
          <bgColor theme="0" tint="-0.14999847407452621"/>
        </patternFill>
      </fill>
      <alignment horizontal="left" vertical="center" textRotation="0" wrapText="0" indent="0" justifyLastLine="0" shrinkToFit="0" readingOrder="0"/>
      <border diagonalUp="0" diagonalDown="0" outline="0">
        <left/>
        <right/>
        <top style="thin">
          <color indexed="64"/>
        </top>
        <bottom/>
      </border>
    </dxf>
    <dxf>
      <border outline="0">
        <left style="thin">
          <color indexed="64"/>
        </left>
        <right style="thin">
          <color indexed="64"/>
        </right>
      </border>
    </dxf>
    <dxf>
      <alignment textRotation="0" wrapText="0"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theme="1"/>
          <bgColor theme="1"/>
        </patternFill>
      </fill>
      <alignment horizontal="left" vertical="center" textRotation="0" wrapText="0" indent="0" justifyLastLine="0" shrinkToFit="0" readingOrder="0"/>
    </dxf>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tint="-0.14999847407452621"/>
        </patternFill>
      </fill>
      <alignment horizontal="general"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tint="-0.14999847407452621"/>
        </patternFill>
      </fill>
      <border diagonalUp="0" diagonalDown="0" outline="0">
        <left/>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tint="-0.14999847407452621"/>
        </patternFill>
      </fill>
      <border diagonalUp="0" diagonalDown="0" outline="0">
        <left/>
        <right/>
        <top/>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fill>
        <patternFill patternType="solid">
          <fgColor theme="0" tint="-0.14999847407452621"/>
          <bgColor theme="0"/>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rgb="FFFF0000"/>
        <name val="Aptos Narrow"/>
        <family val="2"/>
        <scheme val="minor"/>
      </font>
      <fill>
        <patternFill patternType="solid">
          <fgColor theme="0" tint="-0.14999847407452621"/>
          <bgColor theme="0" tint="-0.14999847407452621"/>
        </patternFill>
      </fill>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edicalmanagementgroup-my.sharepoint.com/personal/kvaish_joriehp_com/Documents/Cartage/Final%20Reports_Carthage/Carthage_AR_Documents/New%20Codes.xlsx" TargetMode="External"/><Relationship Id="rId1" Type="http://schemas.openxmlformats.org/officeDocument/2006/relationships/externalLinkPath" Target="New%20Co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Assistance Needed"/>
      <sheetName val="Exception"/>
      <sheetName val="Jorie Solved"/>
      <sheetName val="Sheet1"/>
      <sheetName val="New Codes"/>
    </sheetNames>
    <sheetDataSet>
      <sheetData sheetId="0" refreshError="1"/>
      <sheetData sheetId="1"/>
      <sheetData sheetId="2"/>
      <sheetData sheetId="3"/>
      <sheetData sheetId="4" refreshError="1"/>
      <sheetData sheetId="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5485B7-21C5-4103-924B-F263079CD6FC}" name="Table5" displayName="Table5" ref="A1:I484" totalsRowShown="0" headerRowDxfId="108" dataDxfId="107" tableBorderDxfId="106">
  <sortState xmlns:xlrd2="http://schemas.microsoft.com/office/spreadsheetml/2017/richdata2" ref="A2:I484">
    <sortCondition ref="B1:B484"/>
  </sortState>
  <tableColumns count="9">
    <tableColumn id="1" xr3:uid="{DAE79E04-5172-418F-91EC-430BC7C96B0A}" name="CARC" dataDxfId="105" dataCellStyle="Percent"/>
    <tableColumn id="2" xr3:uid="{96314094-AFDB-4FA9-A3F3-358351FF3B15}" name="Reason" dataDxfId="104" dataCellStyle="Percent"/>
    <tableColumn id="3" xr3:uid="{B287A203-D687-431F-BBF7-51ECFAD91AE1}" name="RARC" dataDxfId="103" dataCellStyle="Percent"/>
    <tableColumn id="4" xr3:uid="{50216955-4A92-4F1A-8696-EC417878BF76}" name="MEANING &amp; EXAMPLES" dataDxfId="102"/>
    <tableColumn id="5" xr3:uid="{8AF7A23A-BEC6-413C-B0ED-789FF568074A}" name="REAL SCENARIOS" dataDxfId="101" dataCellStyle="Percent"/>
    <tableColumn id="6" xr3:uid="{1F064468-E778-4CB3-9E22-EDA927AE507B}" name="ROOT CAUSE" dataDxfId="100" dataCellStyle="Percent"/>
    <tableColumn id="7" xr3:uid="{23728AA7-AE12-4B19-B4A3-1031E25FD09A}" name="RESOLUTION STEPS" dataDxfId="99" dataCellStyle="Percent"/>
    <tableColumn id="8" xr3:uid="{EF72E588-6512-4803-B07A-94370C9A6EFA}" name="Code" dataDxfId="98" dataCellStyle="Percent"/>
    <tableColumn id="10" xr3:uid="{C4107A77-A03F-4723-98D2-D622C2C5590E}" name="With Formula Code" dataDxfId="97" dataCellStyle="Perce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1577B10-EBB3-406D-8028-B0FFDF0103B3}" name="Table9" displayName="Table9" ref="A1:O1199" headerRowDxfId="133" dataDxfId="131" totalsRowDxfId="129" headerRowBorderDxfId="132" tableBorderDxfId="130">
  <sortState xmlns:xlrd2="http://schemas.microsoft.com/office/spreadsheetml/2017/richdata2" ref="A2:J1199">
    <sortCondition ref="I1:I1199"/>
  </sortState>
  <tableColumns count="15">
    <tableColumn id="1" xr3:uid="{AE0ADC78-BACE-4451-8100-45E087881A27}" name="RARC" totalsRowLabel="Total" dataDxfId="128" totalsRowDxfId="127"/>
    <tableColumn id="2" xr3:uid="{0E1E5BA0-3DB4-4A3D-87BF-089B7ACF36D3}" name="Reason" totalsRowFunction="count" dataDxfId="126" totalsRowDxfId="125"/>
    <tableColumn id="3" xr3:uid="{A4ACB905-21E6-4D48-96A2-D3F5BDA591A9}" name="Meaning &amp; Impact" dataDxfId="124" totalsRowDxfId="123"/>
    <tableColumn id="4" xr3:uid="{3B264186-0E3A-49A6-AC0A-5879C6AD934F}" name="Procedure Example &amp; CMS -1500 Box | UB-04 FL Location" dataDxfId="122" totalsRowDxfId="121"/>
    <tableColumn id="5" xr3:uid="{A26CDEB2-A22D-4547-A887-E0B47EDC334D}" name="CMS‑1500 Box #" dataDxfId="120" totalsRowDxfId="119"/>
    <tableColumn id="6" xr3:uid="{7DAA7603-BFAE-4CC1-B9C3-05B7879CF2BC}" name="UB‑04 FL #" dataDxfId="118" totalsRowDxfId="117"/>
    <tableColumn id="7" xr3:uid="{B42DCA63-B34B-4D18-AB23-B13900E09A61}" name="Billing Scenarios" dataDxfId="116" totalsRowDxfId="115"/>
    <tableColumn id="8" xr3:uid="{26DE6A5B-B855-4569-B7B8-7B5C77C3CA93}" name="Root Causes" dataDxfId="114" totalsRowDxfId="113"/>
    <tableColumn id="9" xr3:uid="{B44F22C6-F616-40CB-9504-F3E7A2AAE100}" name="Step‑by‑Step Resolution" dataDxfId="112" totalsRowDxfId="111"/>
    <tableColumn id="10" xr3:uid="{76A06160-B14E-4EBC-AE72-E18FECDB58FD}" name="Preventive Action" dataDxfId="110" totalsRowDxfId="109"/>
    <tableColumn id="11" xr3:uid="{426AAF4E-9349-4BD6-A290-C3F0D708BADF}" name="Status Code" dataDxfId="9" totalsRowDxfId="8"/>
    <tableColumn id="12" xr3:uid="{CCBEE9A9-ACBD-48BF-B2C1-96C0CE349E8B}" name="Action Code" dataDxfId="7" totalsRowDxfId="6"/>
    <tableColumn id="13" xr3:uid="{ADA4146E-2071-4C65-B17F-89B1F83CBFF5}" name="Source" dataDxfId="5" totalsRowDxfId="4"/>
    <tableColumn id="14" xr3:uid="{A8119D09-2363-49B4-9835-87448F808891}" name="Category" dataDxfId="3" totalsRowDxfId="2"/>
    <tableColumn id="15" xr3:uid="{541E968A-1169-48C1-9453-ABC8EEA11233}" name="CARC" dataDxfId="1" totalsRowDxfId="0"/>
  </tableColumns>
  <tableStyleInfo name="TableStyleMedium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6CD4B0-78AE-43B4-838B-D2BB6750FD09}" name="Table11" displayName="Table11" ref="A1:C13" totalsRowShown="0" headerRowDxfId="96" dataDxfId="95">
  <sortState xmlns:xlrd2="http://schemas.microsoft.com/office/spreadsheetml/2017/richdata2" ref="A2:B12">
    <sortCondition ref="A1:A12"/>
  </sortState>
  <tableColumns count="3">
    <tableColumn id="1" xr3:uid="{730743CA-9B8F-42B7-A84B-BBD9E0F76DB7}" name="Category" dataDxfId="94"/>
    <tableColumn id="2" xr3:uid="{C9BEA5EE-0698-4BA5-A76B-24265B1746C6}" name="Hyperlink" dataDxfId="93" dataCellStyle="Hyperlink"/>
    <tableColumn id="3" xr3:uid="{9061F852-2DFE-4C95-87EF-581E8C40FB5C}" name="Column1" dataDxfId="92"/>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3D74F1-4579-424F-B5D1-DDC14C47848F}" name="Table1" displayName="Table1" ref="A1:B298" totalsRowShown="0" dataDxfId="91">
  <tableColumns count="2">
    <tableColumn id="1" xr3:uid="{E302C1ED-79DD-43C2-A265-C87F1F0C5675}" name="CARC" dataDxfId="90"/>
    <tableColumn id="2" xr3:uid="{12B0614D-8029-4CA9-A7B8-E40FFB4012AC}" name="Reason" dataDxfId="89"/>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3AFEC0E-A696-4F29-80B0-220DDDDC267E}" name="Table8" displayName="Table8" ref="A1:K6" totalsRowShown="0" headerRowDxfId="88" dataDxfId="86" headerRowBorderDxfId="87" tableBorderDxfId="85" totalsRowBorderDxfId="84" dataCellStyle="Percent">
  <tableColumns count="11">
    <tableColumn id="1" xr3:uid="{18C077AF-36C1-4A2F-AB48-486F0AEE99D1}" name="CARC" dataDxfId="83" dataCellStyle="Percent"/>
    <tableColumn id="2" xr3:uid="{7540F12B-12BC-4EA1-8974-05F16247878E}" name="DENIAL REASON" dataDxfId="82" dataCellStyle="Percent"/>
    <tableColumn id="3" xr3:uid="{CAC24779-4780-47BA-9439-217406EFBC0B}" name="RARC" dataDxfId="81" dataCellStyle="Percent"/>
    <tableColumn id="4" xr3:uid="{F859CC56-3512-48A8-8FF0-BDE137E2A823}" name="MEANING &amp; EXAMPLES" dataDxfId="80"/>
    <tableColumn id="5" xr3:uid="{C0A1F9F7-3812-4C91-AD95-36F5F4580A57}" name="REAL SCENARIOS" dataDxfId="79" dataCellStyle="Percent"/>
    <tableColumn id="6" xr3:uid="{068A89CB-2B90-43D4-85AE-9D401751B316}" name="ROOT CAUSE" dataDxfId="78" dataCellStyle="Percent"/>
    <tableColumn id="7" xr3:uid="{2C52994A-4F49-4E18-B214-D3AD6949F96B}" name="RESOLUTION STEPS" dataDxfId="77" dataCellStyle="Percent"/>
    <tableColumn id="10" xr3:uid="{ABF6429E-2D03-4E5F-A9AB-7419384AA268}" name="Status Code" dataDxfId="76" dataCellStyle="Percent">
      <calculatedColumnFormula>Table8[[#This Row],[DENIAL REASON]]</calculatedColumnFormula>
    </tableColumn>
    <tableColumn id="11" xr3:uid="{85C788EC-7E14-43EC-89A0-C6E0F989AF51}" name="Action Code" dataDxfId="75" dataCellStyle="Percent"/>
    <tableColumn id="12" xr3:uid="{78328E48-7E18-493A-987A-D363E6A65915}" name="Source" dataDxfId="74" dataCellStyle="Percent"/>
    <tableColumn id="13" xr3:uid="{F56D4DA9-58E1-46FD-8810-430CC6F99A11}" name="Category" dataDxfId="73" dataCellStyle="Perc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8E01AD-4753-4601-BCD4-983916E23634}" name="Table3" displayName="Table3" ref="A1:J277" totalsRowShown="0" headerRowDxfId="72" dataDxfId="70" headerRowBorderDxfId="71" tableBorderDxfId="69" totalsRowBorderDxfId="68">
  <sortState xmlns:xlrd2="http://schemas.microsoft.com/office/spreadsheetml/2017/richdata2" ref="A2:J277">
    <sortCondition ref="A1:A277"/>
  </sortState>
  <tableColumns count="10">
    <tableColumn id="4" xr3:uid="{0E022062-BBA5-4221-BADF-34CE9E6DC074}" name="Status Code" dataDxfId="67"/>
    <tableColumn id="5" xr3:uid="{46A7348A-9C58-4B3E-AB36-EA86926C5BF8}" name="Action Code" dataDxfId="66"/>
    <tableColumn id="6" xr3:uid="{0F3558EE-6415-4611-883C-1354357EBAF0}" name="Source" dataDxfId="65"/>
    <tableColumn id="7" xr3:uid="{2B69159A-7C2C-4460-B71D-7BC4C0704C92}" name="Category" dataDxfId="64"/>
    <tableColumn id="8" xr3:uid="{E37E996F-9938-4AC6-B262-608458D4FAD6}" name="Sub-Category" dataDxfId="63"/>
    <tableColumn id="10" xr3:uid="{77AA138C-3C2F-4860-99E8-0EBFE5EAED1D}" name="CARC Description" dataDxfId="62"/>
    <tableColumn id="11" xr3:uid="{D8144C23-FEC6-44AA-B446-0DB7937FC4B7}" name="CARC Code" dataDxfId="61"/>
    <tableColumn id="15" xr3:uid="{AC527FD0-E68E-4A11-9BA4-D3DF743A7343}" name="RARC Code" dataDxfId="60"/>
    <tableColumn id="14" xr3:uid="{F1B4EC0A-D9B4-4FD8-95AA-EA88115B0139}" name="RARC Discription" dataDxfId="59">
      <calculatedColumnFormula>VLOOKUP(Table3[[#This Row],[RARC Code]],'New Rarc Code'!A1:B922,2,0)</calculatedColumnFormula>
    </tableColumn>
    <tableColumn id="13" xr3:uid="{CE17B853-D3BC-42A0-8A2E-2C2CDC449C0F}" name="Meaning of Denial" dataDxfId="58"/>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19F6CD-EB35-46D6-A0C8-CBC9778A06E7}" name="Table4" displayName="Table4" ref="A1:I37" totalsRowShown="0" headerRowDxfId="57" dataDxfId="55" headerRowBorderDxfId="56" tableBorderDxfId="54" totalsRowBorderDxfId="53">
  <sortState xmlns:xlrd2="http://schemas.microsoft.com/office/spreadsheetml/2017/richdata2" ref="A2:H35">
    <sortCondition ref="D1:D35"/>
  </sortState>
  <tableColumns count="9">
    <tableColumn id="1" xr3:uid="{D847626A-B3EB-4F9C-9927-86234D9EABC9}" name="CARC CODE" dataDxfId="52"/>
    <tableColumn id="2" xr3:uid="{4CD83C73-ADA2-43C4-BBC7-1EBD2FEE65E5}" name="DENIAL REASON" dataDxfId="51"/>
    <tableColumn id="4" xr3:uid="{46730CD2-E65F-41A3-880E-18FA3587E6D0}" name="RARC / REMARKS" dataDxfId="50"/>
    <tableColumn id="5" xr3:uid="{13FBCE24-7C90-4F05-8531-A996C77249E8}" name="MEANING &amp; EXAMPLES" dataDxfId="49"/>
    <tableColumn id="3" xr3:uid="{2DAFE48B-B6A8-47C4-9E4A-D16456DBCDC1}" name="REAL SCENARIOS" dataDxfId="48"/>
    <tableColumn id="6" xr3:uid="{83626FC9-0643-4AD6-B695-CCDAF3CC5333}" name="ROOT CAUSE" dataDxfId="47"/>
    <tableColumn id="8" xr3:uid="{2B100107-7EBC-40FF-8626-08B5C2959B86}" name="RESOLUTION STEPS" dataDxfId="46"/>
    <tableColumn id="7" xr3:uid="{958E046C-217B-4DF5-8CAB-F264BBC18C8D}" name="PREVENTION" dataDxfId="45"/>
    <tableColumn id="9" xr3:uid="{3294734D-D7EA-4F4D-9464-DFC30F184FDC}" name="Code" dataDxfId="44">
      <calculatedColumnFormula>"&lt;tr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D53A36-0B79-41FB-8E2D-585E7FCD2F46}" name="Table2" displayName="Table2" ref="A1:E1114" totalsRowShown="0" headerRowBorderDxfId="43" tableBorderDxfId="42" totalsRowBorderDxfId="41">
  <sortState xmlns:xlrd2="http://schemas.microsoft.com/office/spreadsheetml/2017/richdata2" ref="A2:C1114">
    <sortCondition ref="A1:A1114"/>
  </sortState>
  <tableColumns count="5">
    <tableColumn id="1" xr3:uid="{4E4B2128-F237-4C92-BBF5-1BF03C6E9A17}" name="RARC CODE" dataDxfId="40"/>
    <tableColumn id="2" xr3:uid="{C5302AFD-3C7C-4DBE-A9CF-C4A895F74861}" name="RARC REASON" dataDxfId="39"/>
    <tableColumn id="3" xr3:uid="{3568C460-AF39-4EEC-84AC-9F1FB945E2A1}" name="UID" dataDxfId="38"/>
    <tableColumn id="4" xr3:uid="{995BC868-E7A2-4EA2-A2C2-A3885C807085}" name="Status" dataDxfId="37"/>
    <tableColumn id="5" xr3:uid="{D16FB81B-0997-4902-8360-3C5887D6AA34}" name="Column1" dataDxfId="36">
      <calculatedColumnFormula>_xlfn.XLOOKUP(Table2[[#This Row],[RARC CODE]],'New Rarc Code'!A2:A919,'New Rarc Code'!C2:C919,"Not Active")</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FCD806-0458-4214-B53D-714CF4240B54}" name="Table27" displayName="Table27" ref="A1:J43" totalsRowShown="0" headerRowDxfId="35" dataDxfId="34" tableBorderDxfId="33">
  <tableColumns count="10">
    <tableColumn id="1" xr3:uid="{296F509A-1261-4CFF-A54B-4FEA77C78859}" name="Status Code" dataDxfId="32"/>
    <tableColumn id="2" xr3:uid="{43681DEB-E6EC-4B33-ABEF-E3F30B171B94}" name="Action Code" dataDxfId="31"/>
    <tableColumn id="3" xr3:uid="{17853874-4A50-49A6-8B94-74E30B67C484}" name="Source" dataDxfId="30"/>
    <tableColumn id="4" xr3:uid="{9A63834F-E5C7-4522-B139-56BF356F725D}" name="Category" dataDxfId="29"/>
    <tableColumn id="5" xr3:uid="{35AED6AC-21F4-4A37-AE0F-E04DBCF03B0B}" name="Sub-Category" dataDxfId="28"/>
    <tableColumn id="6" xr3:uid="{380AC131-72DA-42D8-9A87-D9492FD4BF07}" name="Denial Reason" dataDxfId="27"/>
    <tableColumn id="7" xr3:uid="{81E3F968-648C-447F-AAD4-FB7E1AAE420C}" name="CARC Code" dataDxfId="26"/>
    <tableColumn id="8" xr3:uid="{CC68F677-5211-4187-8CBB-BABBCF26A27E}" name="RARC Code" dataDxfId="25"/>
    <tableColumn id="9" xr3:uid="{18882C16-4A9A-419E-9309-3195EF5E0A3C}" name="HTML Code" dataDxfId="24">
      <calculatedColumnFormula>"&lt;tr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calculatedColumnFormula>
    </tableColumn>
    <tableColumn id="10" xr3:uid="{E593955B-873B-4D09-8A3F-497E5E443134}" name="Output"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67EF06-67AE-4D46-B9CB-E4AC49EDB63A}" name="Table35" displayName="Table35" ref="A1:J44" totalsRowShown="0" headerRowDxfId="22" dataDxfId="21" tableBorderDxfId="20">
  <tableColumns count="10">
    <tableColumn id="1" xr3:uid="{8FB970BC-B730-4089-B95F-72104C08F2A8}" name="Status Code" dataDxfId="19"/>
    <tableColumn id="2" xr3:uid="{DE7F02BF-BD8A-4A04-8DB4-3844569DB29F}" name="Action Code" dataDxfId="18"/>
    <tableColumn id="3" xr3:uid="{18EE1760-AD4F-4586-975F-9E741D204989}" name="Source" dataDxfId="17"/>
    <tableColumn id="4" xr3:uid="{5727945F-322F-47E4-AE65-D59B1F345D91}" name="Category" dataDxfId="16"/>
    <tableColumn id="5" xr3:uid="{0C9175D9-9CD5-4D6F-AE6E-5EB4F1CD3551}" name="Sub-Category" dataDxfId="15"/>
    <tableColumn id="6" xr3:uid="{2BAEF7A2-1D62-4A23-9855-FBFD05B305B4}" name="Denial Reason" dataDxfId="14"/>
    <tableColumn id="7" xr3:uid="{D0F7C014-2642-416C-813F-E80D216A0ABB}" name="CARC Code" dataDxfId="13"/>
    <tableColumn id="8" xr3:uid="{A95BE50B-A338-4E56-847B-D9DEF31F815F}" name="RARC Code" dataDxfId="12"/>
    <tableColumn id="9" xr3:uid="{4D661600-0371-4720-8C80-9D7C06D6AB70}" name="HTML Code" dataDxfId="11">
      <calculatedColumnFormula>"&lt;tr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calculatedColumnFormula>
    </tableColumn>
    <tableColumn id="10" xr3:uid="{DAB90940-3825-43F4-AF54-3FC755AD5330}" name="Output"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cgsmedicare.com/partb/tools/ivr_converter.html" TargetMode="External"/><Relationship Id="rId13" Type="http://schemas.openxmlformats.org/officeDocument/2006/relationships/printerSettings" Target="../printerSettings/printerSettings1.bin"/><Relationship Id="rId3" Type="http://schemas.openxmlformats.org/officeDocument/2006/relationships/hyperlink" Target="https://www.cgsmedicare.com/medicare_dynamic/j15/parta/mue/mue_tool.aspx" TargetMode="External"/><Relationship Id="rId7" Type="http://schemas.openxmlformats.org/officeDocument/2006/relationships/hyperlink" Target="https://www.cgsmedicare.com/medicare_dynamic/j15/parta/ptpa/ptp.aspx" TargetMode="External"/><Relationship Id="rId12" Type="http://schemas.openxmlformats.org/officeDocument/2006/relationships/hyperlink" Target="https://dailymed.nlm.nih.gov/dailymed/" TargetMode="External"/><Relationship Id="rId2" Type="http://schemas.openxmlformats.org/officeDocument/2006/relationships/hyperlink" Target="https://www.cgsmedicare.com/medicare_dynamic/j15/partb/mue/mue_tool.aspx" TargetMode="External"/><Relationship Id="rId1" Type="http://schemas.openxmlformats.org/officeDocument/2006/relationships/hyperlink" Target="https://www.cgsmedicare.com/medicare_dynamic/j15/partb/ptpb/ptp.aspx" TargetMode="External"/><Relationship Id="rId6" Type="http://schemas.openxmlformats.org/officeDocument/2006/relationships/hyperlink" Target="https://www.cgsmedicare.com/medicare_dynamic/j15/partb/modifiers/search.aspx" TargetMode="External"/><Relationship Id="rId11" Type="http://schemas.openxmlformats.org/officeDocument/2006/relationships/hyperlink" Target="https://www.cms.gov/medicare-coverage-database/search.aspx" TargetMode="External"/><Relationship Id="rId5" Type="http://schemas.openxmlformats.org/officeDocument/2006/relationships/hyperlink" Target="https://www.cgsmedicare.com/medicare_dynamic/j15/parta/modifiers/search.aspx" TargetMode="External"/><Relationship Id="rId10" Type="http://schemas.openxmlformats.org/officeDocument/2006/relationships/hyperlink" Target="https://npiregistry.cms.hhs.gov/search" TargetMode="External"/><Relationship Id="rId4" Type="http://schemas.openxmlformats.org/officeDocument/2006/relationships/hyperlink" Target="https://www.cgsmedicare.com/medicare_dynamic/j15/partb/claimcalc/claimcalc.aspx" TargetMode="External"/><Relationship Id="rId9" Type="http://schemas.openxmlformats.org/officeDocument/2006/relationships/hyperlink" Target="https://qcor.cms.gov/Basic_Search" TargetMode="External"/><Relationship Id="rId1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hyperlink" Target="https://raw.githubusercontent.com/kunalvaish49-cpu/VisualCode_UB-04/9054e7d1b9703347c37a8187be298fd19b9b1385/NDC%20-%20UB-04%20-%2043.jpg" TargetMode="External"/><Relationship Id="rId2" Type="http://schemas.openxmlformats.org/officeDocument/2006/relationships/hyperlink" Target="https://raw.githubusercontent.com/kunalvaish49-cpu/VisualCode_UB-04/main/NDC%20-%20CMS%201500%20-%2024.jpg" TargetMode="External"/><Relationship Id="rId1" Type="http://schemas.openxmlformats.org/officeDocument/2006/relationships/hyperlink" Target="https://raw.githubusercontent.com/kunalvaish49-cpu/VisualCode_UB-04/main/NDC%20Code%20Format%20%26%20Image.jpg"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555B-DD7F-419A-AFD0-1ACCBEFD0528}">
  <dimension ref="A1:A381"/>
  <sheetViews>
    <sheetView topLeftCell="A76" workbookViewId="0"/>
  </sheetViews>
  <sheetFormatPr defaultRowHeight="15" x14ac:dyDescent="0.25"/>
  <cols>
    <col min="1" max="1" width="147.42578125" bestFit="1" customWidth="1"/>
  </cols>
  <sheetData>
    <row r="1" spans="1:1" ht="31.5" x14ac:dyDescent="0.25">
      <c r="A1" s="1" t="s">
        <v>0</v>
      </c>
    </row>
    <row r="5" spans="1:1" ht="31.5" x14ac:dyDescent="0.25">
      <c r="A5" s="1" t="s">
        <v>1</v>
      </c>
    </row>
    <row r="7" spans="1:1" ht="18" x14ac:dyDescent="0.25">
      <c r="A7" s="2" t="s">
        <v>2</v>
      </c>
    </row>
    <row r="9" spans="1:1" x14ac:dyDescent="0.25">
      <c r="A9" t="s">
        <v>3</v>
      </c>
    </row>
    <row r="11" spans="1:1" ht="18" x14ac:dyDescent="0.25">
      <c r="A11" s="2" t="s">
        <v>4</v>
      </c>
    </row>
    <row r="12" spans="1:1" x14ac:dyDescent="0.25">
      <c r="A12" s="3"/>
    </row>
    <row r="13" spans="1:1" x14ac:dyDescent="0.25">
      <c r="A13" s="3" t="s">
        <v>5</v>
      </c>
    </row>
    <row r="14" spans="1:1" x14ac:dyDescent="0.25">
      <c r="A14" s="3"/>
    </row>
    <row r="15" spans="1:1" x14ac:dyDescent="0.25">
      <c r="A15" s="3" t="s">
        <v>6</v>
      </c>
    </row>
    <row r="16" spans="1:1" x14ac:dyDescent="0.25">
      <c r="A16" s="3"/>
    </row>
    <row r="17" spans="1:1" x14ac:dyDescent="0.25">
      <c r="A17" s="3" t="s">
        <v>7</v>
      </c>
    </row>
    <row r="18" spans="1:1" x14ac:dyDescent="0.25">
      <c r="A18" s="3"/>
    </row>
    <row r="19" spans="1:1" x14ac:dyDescent="0.25">
      <c r="A19" s="3" t="s">
        <v>8</v>
      </c>
    </row>
    <row r="21" spans="1:1" ht="18" x14ac:dyDescent="0.25">
      <c r="A21" s="2" t="s">
        <v>9</v>
      </c>
    </row>
    <row r="22" spans="1:1" x14ac:dyDescent="0.25">
      <c r="A22" s="3"/>
    </row>
    <row r="23" spans="1:1" x14ac:dyDescent="0.25">
      <c r="A23" s="3" t="s">
        <v>10</v>
      </c>
    </row>
    <row r="24" spans="1:1" x14ac:dyDescent="0.25">
      <c r="A24" s="3"/>
    </row>
    <row r="25" spans="1:1" x14ac:dyDescent="0.25">
      <c r="A25" s="3" t="s">
        <v>11</v>
      </c>
    </row>
    <row r="26" spans="1:1" x14ac:dyDescent="0.25">
      <c r="A26" s="3"/>
    </row>
    <row r="27" spans="1:1" x14ac:dyDescent="0.25">
      <c r="A27" s="3" t="s">
        <v>12</v>
      </c>
    </row>
    <row r="28" spans="1:1" x14ac:dyDescent="0.25">
      <c r="A28" s="3"/>
    </row>
    <row r="29" spans="1:1" x14ac:dyDescent="0.25">
      <c r="A29" s="3" t="s">
        <v>13</v>
      </c>
    </row>
    <row r="31" spans="1:1" ht="18" x14ac:dyDescent="0.25">
      <c r="A31" s="2" t="s">
        <v>14</v>
      </c>
    </row>
    <row r="33" spans="1:1" x14ac:dyDescent="0.25">
      <c r="A33" t="s">
        <v>15</v>
      </c>
    </row>
    <row r="34" spans="1:1" x14ac:dyDescent="0.25">
      <c r="A34" t="s">
        <v>16</v>
      </c>
    </row>
    <row r="35" spans="1:1" x14ac:dyDescent="0.25">
      <c r="A35" t="s">
        <v>17</v>
      </c>
    </row>
    <row r="36" spans="1:1" x14ac:dyDescent="0.25">
      <c r="A36" t="s">
        <v>18</v>
      </c>
    </row>
    <row r="38" spans="1:1" ht="18" x14ac:dyDescent="0.25">
      <c r="A38" s="2" t="s">
        <v>19</v>
      </c>
    </row>
    <row r="39" spans="1:1" x14ac:dyDescent="0.25">
      <c r="A39" s="3"/>
    </row>
    <row r="40" spans="1:1" x14ac:dyDescent="0.25">
      <c r="A40" s="3" t="s">
        <v>20</v>
      </c>
    </row>
    <row r="41" spans="1:1" x14ac:dyDescent="0.25">
      <c r="A41" s="3"/>
    </row>
    <row r="42" spans="1:1" x14ac:dyDescent="0.25">
      <c r="A42" s="3" t="s">
        <v>21</v>
      </c>
    </row>
    <row r="43" spans="1:1" x14ac:dyDescent="0.25">
      <c r="A43" s="3"/>
    </row>
    <row r="44" spans="1:1" x14ac:dyDescent="0.25">
      <c r="A44" s="3" t="s">
        <v>22</v>
      </c>
    </row>
    <row r="48" spans="1:1" ht="31.5" x14ac:dyDescent="0.25">
      <c r="A48" s="1" t="s">
        <v>23</v>
      </c>
    </row>
    <row r="50" spans="1:1" ht="18" x14ac:dyDescent="0.25">
      <c r="A50" s="2" t="s">
        <v>2</v>
      </c>
    </row>
    <row r="52" spans="1:1" x14ac:dyDescent="0.25">
      <c r="A52" t="s">
        <v>24</v>
      </c>
    </row>
    <row r="54" spans="1:1" ht="18" x14ac:dyDescent="0.25">
      <c r="A54" s="2" t="s">
        <v>4</v>
      </c>
    </row>
    <row r="55" spans="1:1" x14ac:dyDescent="0.25">
      <c r="A55" s="3"/>
    </row>
    <row r="56" spans="1:1" x14ac:dyDescent="0.25">
      <c r="A56" s="3" t="s">
        <v>25</v>
      </c>
    </row>
    <row r="57" spans="1:1" x14ac:dyDescent="0.25">
      <c r="A57" s="3"/>
    </row>
    <row r="58" spans="1:1" x14ac:dyDescent="0.25">
      <c r="A58" s="3" t="s">
        <v>26</v>
      </c>
    </row>
    <row r="59" spans="1:1" x14ac:dyDescent="0.25">
      <c r="A59" s="3"/>
    </row>
    <row r="60" spans="1:1" x14ac:dyDescent="0.25">
      <c r="A60" s="3" t="s">
        <v>27</v>
      </c>
    </row>
    <row r="61" spans="1:1" x14ac:dyDescent="0.25">
      <c r="A61" s="3"/>
    </row>
    <row r="62" spans="1:1" x14ac:dyDescent="0.25">
      <c r="A62" s="3" t="s">
        <v>28</v>
      </c>
    </row>
    <row r="63" spans="1:1" x14ac:dyDescent="0.25">
      <c r="A63" s="3"/>
    </row>
    <row r="64" spans="1:1" x14ac:dyDescent="0.25">
      <c r="A64" s="3" t="s">
        <v>29</v>
      </c>
    </row>
    <row r="66" spans="1:1" ht="18" x14ac:dyDescent="0.25">
      <c r="A66" s="2" t="s">
        <v>9</v>
      </c>
    </row>
    <row r="67" spans="1:1" x14ac:dyDescent="0.25">
      <c r="A67" s="3"/>
    </row>
    <row r="68" spans="1:1" x14ac:dyDescent="0.25">
      <c r="A68" s="3" t="s">
        <v>30</v>
      </c>
    </row>
    <row r="69" spans="1:1" x14ac:dyDescent="0.25">
      <c r="A69" s="3"/>
    </row>
    <row r="70" spans="1:1" x14ac:dyDescent="0.25">
      <c r="A70" s="3" t="s">
        <v>31</v>
      </c>
    </row>
    <row r="71" spans="1:1" x14ac:dyDescent="0.25">
      <c r="A71" s="3"/>
    </row>
    <row r="72" spans="1:1" x14ac:dyDescent="0.25">
      <c r="A72" s="3" t="s">
        <v>32</v>
      </c>
    </row>
    <row r="74" spans="1:1" ht="18" x14ac:dyDescent="0.25">
      <c r="A74" s="2" t="s">
        <v>14</v>
      </c>
    </row>
    <row r="76" spans="1:1" x14ac:dyDescent="0.25">
      <c r="A76" t="s">
        <v>33</v>
      </c>
    </row>
    <row r="77" spans="1:1" x14ac:dyDescent="0.25">
      <c r="A77" t="s">
        <v>34</v>
      </c>
    </row>
    <row r="78" spans="1:1" x14ac:dyDescent="0.25">
      <c r="A78" t="s">
        <v>35</v>
      </c>
    </row>
    <row r="80" spans="1:1" x14ac:dyDescent="0.25">
      <c r="A80" t="s">
        <v>36</v>
      </c>
    </row>
    <row r="82" spans="1:1" ht="18" x14ac:dyDescent="0.25">
      <c r="A82" s="2" t="s">
        <v>19</v>
      </c>
    </row>
    <row r="83" spans="1:1" x14ac:dyDescent="0.25">
      <c r="A83" s="3"/>
    </row>
    <row r="84" spans="1:1" x14ac:dyDescent="0.25">
      <c r="A84" s="3" t="s">
        <v>37</v>
      </c>
    </row>
    <row r="85" spans="1:1" x14ac:dyDescent="0.25">
      <c r="A85" s="3"/>
    </row>
    <row r="86" spans="1:1" x14ac:dyDescent="0.25">
      <c r="A86" s="3" t="s">
        <v>38</v>
      </c>
    </row>
    <row r="87" spans="1:1" x14ac:dyDescent="0.25">
      <c r="A87" s="3"/>
    </row>
    <row r="88" spans="1:1" x14ac:dyDescent="0.25">
      <c r="A88" s="3" t="s">
        <v>39</v>
      </c>
    </row>
    <row r="92" spans="1:1" ht="31.5" x14ac:dyDescent="0.25">
      <c r="A92" s="1" t="s">
        <v>40</v>
      </c>
    </row>
    <row r="94" spans="1:1" ht="18" x14ac:dyDescent="0.25">
      <c r="A94" s="2" t="s">
        <v>2</v>
      </c>
    </row>
    <row r="96" spans="1:1" x14ac:dyDescent="0.25">
      <c r="A96" t="s">
        <v>41</v>
      </c>
    </row>
    <row r="98" spans="1:1" ht="18" x14ac:dyDescent="0.25">
      <c r="A98" s="2" t="s">
        <v>4</v>
      </c>
    </row>
    <row r="99" spans="1:1" x14ac:dyDescent="0.25">
      <c r="A99" s="3"/>
    </row>
    <row r="100" spans="1:1" x14ac:dyDescent="0.25">
      <c r="A100" s="3" t="s">
        <v>42</v>
      </c>
    </row>
    <row r="101" spans="1:1" x14ac:dyDescent="0.25">
      <c r="A101" s="3"/>
    </row>
    <row r="102" spans="1:1" x14ac:dyDescent="0.25">
      <c r="A102" s="3" t="s">
        <v>43</v>
      </c>
    </row>
    <row r="103" spans="1:1" x14ac:dyDescent="0.25">
      <c r="A103" s="3"/>
    </row>
    <row r="104" spans="1:1" x14ac:dyDescent="0.25">
      <c r="A104" s="3" t="s">
        <v>44</v>
      </c>
    </row>
    <row r="105" spans="1:1" x14ac:dyDescent="0.25">
      <c r="A105" s="3"/>
    </row>
    <row r="106" spans="1:1" x14ac:dyDescent="0.25">
      <c r="A106" s="3" t="s">
        <v>45</v>
      </c>
    </row>
    <row r="108" spans="1:1" ht="18" x14ac:dyDescent="0.25">
      <c r="A108" s="2" t="s">
        <v>9</v>
      </c>
    </row>
    <row r="109" spans="1:1" x14ac:dyDescent="0.25">
      <c r="A109" s="3"/>
    </row>
    <row r="110" spans="1:1" x14ac:dyDescent="0.25">
      <c r="A110" s="3" t="s">
        <v>46</v>
      </c>
    </row>
    <row r="111" spans="1:1" x14ac:dyDescent="0.25">
      <c r="A111" s="3"/>
    </row>
    <row r="112" spans="1:1" x14ac:dyDescent="0.25">
      <c r="A112" s="3" t="s">
        <v>47</v>
      </c>
    </row>
    <row r="113" spans="1:1" x14ac:dyDescent="0.25">
      <c r="A113" s="3"/>
    </row>
    <row r="114" spans="1:1" x14ac:dyDescent="0.25">
      <c r="A114" s="3" t="s">
        <v>48</v>
      </c>
    </row>
    <row r="115" spans="1:1" x14ac:dyDescent="0.25">
      <c r="A115" s="3"/>
    </row>
    <row r="116" spans="1:1" x14ac:dyDescent="0.25">
      <c r="A116" s="3" t="s">
        <v>49</v>
      </c>
    </row>
    <row r="118" spans="1:1" ht="18" x14ac:dyDescent="0.25">
      <c r="A118" s="2" t="s">
        <v>14</v>
      </c>
    </row>
    <row r="120" spans="1:1" x14ac:dyDescent="0.25">
      <c r="A120" t="s">
        <v>50</v>
      </c>
    </row>
    <row r="121" spans="1:1" x14ac:dyDescent="0.25">
      <c r="A121" t="s">
        <v>51</v>
      </c>
    </row>
    <row r="122" spans="1:1" x14ac:dyDescent="0.25">
      <c r="A122" t="s">
        <v>52</v>
      </c>
    </row>
    <row r="124" spans="1:1" ht="18" x14ac:dyDescent="0.25">
      <c r="A124" s="2" t="s">
        <v>19</v>
      </c>
    </row>
    <row r="125" spans="1:1" x14ac:dyDescent="0.25">
      <c r="A125" s="3"/>
    </row>
    <row r="126" spans="1:1" x14ac:dyDescent="0.25">
      <c r="A126" s="3" t="s">
        <v>53</v>
      </c>
    </row>
    <row r="127" spans="1:1" x14ac:dyDescent="0.25">
      <c r="A127" s="3"/>
    </row>
    <row r="128" spans="1:1" x14ac:dyDescent="0.25">
      <c r="A128" s="3" t="s">
        <v>54</v>
      </c>
    </row>
    <row r="132" spans="1:1" ht="31.5" x14ac:dyDescent="0.25">
      <c r="A132" s="1" t="s">
        <v>55</v>
      </c>
    </row>
    <row r="134" spans="1:1" ht="18" x14ac:dyDescent="0.25">
      <c r="A134" s="2" t="s">
        <v>2</v>
      </c>
    </row>
    <row r="136" spans="1:1" x14ac:dyDescent="0.25">
      <c r="A136" t="s">
        <v>56</v>
      </c>
    </row>
    <row r="138" spans="1:1" ht="18" x14ac:dyDescent="0.25">
      <c r="A138" s="2" t="s">
        <v>4</v>
      </c>
    </row>
    <row r="139" spans="1:1" x14ac:dyDescent="0.25">
      <c r="A139" s="3"/>
    </row>
    <row r="140" spans="1:1" x14ac:dyDescent="0.25">
      <c r="A140" s="3" t="s">
        <v>57</v>
      </c>
    </row>
    <row r="141" spans="1:1" x14ac:dyDescent="0.25">
      <c r="A141" s="3"/>
    </row>
    <row r="142" spans="1:1" x14ac:dyDescent="0.25">
      <c r="A142" s="3" t="s">
        <v>58</v>
      </c>
    </row>
    <row r="143" spans="1:1" x14ac:dyDescent="0.25">
      <c r="A143" s="3"/>
    </row>
    <row r="144" spans="1:1" x14ac:dyDescent="0.25">
      <c r="A144" s="3" t="s">
        <v>59</v>
      </c>
    </row>
    <row r="145" spans="1:1" x14ac:dyDescent="0.25">
      <c r="A145" s="3"/>
    </row>
    <row r="146" spans="1:1" x14ac:dyDescent="0.25">
      <c r="A146" s="3" t="s">
        <v>60</v>
      </c>
    </row>
    <row r="148" spans="1:1" ht="18" x14ac:dyDescent="0.25">
      <c r="A148" s="2" t="s">
        <v>9</v>
      </c>
    </row>
    <row r="149" spans="1:1" x14ac:dyDescent="0.25">
      <c r="A149" s="3"/>
    </row>
    <row r="150" spans="1:1" x14ac:dyDescent="0.25">
      <c r="A150" s="3" t="s">
        <v>61</v>
      </c>
    </row>
    <row r="151" spans="1:1" x14ac:dyDescent="0.25">
      <c r="A151" s="3"/>
    </row>
    <row r="152" spans="1:1" x14ac:dyDescent="0.25">
      <c r="A152" s="3" t="s">
        <v>62</v>
      </c>
    </row>
    <row r="153" spans="1:1" x14ac:dyDescent="0.25">
      <c r="A153" s="3"/>
    </row>
    <row r="154" spans="1:1" x14ac:dyDescent="0.25">
      <c r="A154" s="3" t="s">
        <v>63</v>
      </c>
    </row>
    <row r="156" spans="1:1" ht="18" x14ac:dyDescent="0.25">
      <c r="A156" s="2" t="s">
        <v>14</v>
      </c>
    </row>
    <row r="158" spans="1:1" x14ac:dyDescent="0.25">
      <c r="A158" t="s">
        <v>64</v>
      </c>
    </row>
    <row r="159" spans="1:1" x14ac:dyDescent="0.25">
      <c r="A159" t="s">
        <v>65</v>
      </c>
    </row>
    <row r="160" spans="1:1" x14ac:dyDescent="0.25">
      <c r="A160" t="s">
        <v>66</v>
      </c>
    </row>
    <row r="162" spans="1:1" ht="18" x14ac:dyDescent="0.25">
      <c r="A162" s="2" t="s">
        <v>19</v>
      </c>
    </row>
    <row r="163" spans="1:1" x14ac:dyDescent="0.25">
      <c r="A163" s="3"/>
    </row>
    <row r="164" spans="1:1" x14ac:dyDescent="0.25">
      <c r="A164" s="3" t="s">
        <v>67</v>
      </c>
    </row>
    <row r="165" spans="1:1" x14ac:dyDescent="0.25">
      <c r="A165" s="3"/>
    </row>
    <row r="166" spans="1:1" x14ac:dyDescent="0.25">
      <c r="A166" s="3" t="s">
        <v>68</v>
      </c>
    </row>
    <row r="170" spans="1:1" ht="31.5" x14ac:dyDescent="0.25">
      <c r="A170" s="1" t="s">
        <v>69</v>
      </c>
    </row>
    <row r="172" spans="1:1" x14ac:dyDescent="0.25">
      <c r="A172" t="s">
        <v>70</v>
      </c>
    </row>
    <row r="174" spans="1:1" ht="18" x14ac:dyDescent="0.25">
      <c r="A174" s="2" t="s">
        <v>2</v>
      </c>
    </row>
    <row r="176" spans="1:1" x14ac:dyDescent="0.25">
      <c r="A176" t="s">
        <v>71</v>
      </c>
    </row>
    <row r="178" spans="1:1" ht="18" x14ac:dyDescent="0.25">
      <c r="A178" s="2" t="s">
        <v>4</v>
      </c>
    </row>
    <row r="179" spans="1:1" x14ac:dyDescent="0.25">
      <c r="A179" s="3"/>
    </row>
    <row r="180" spans="1:1" x14ac:dyDescent="0.25">
      <c r="A180" s="3" t="s">
        <v>72</v>
      </c>
    </row>
    <row r="181" spans="1:1" x14ac:dyDescent="0.25">
      <c r="A181" s="3"/>
    </row>
    <row r="182" spans="1:1" x14ac:dyDescent="0.25">
      <c r="A182" s="3" t="s">
        <v>73</v>
      </c>
    </row>
    <row r="183" spans="1:1" x14ac:dyDescent="0.25">
      <c r="A183" s="3"/>
    </row>
    <row r="184" spans="1:1" x14ac:dyDescent="0.25">
      <c r="A184" s="3" t="s">
        <v>74</v>
      </c>
    </row>
    <row r="186" spans="1:1" ht="18" x14ac:dyDescent="0.25">
      <c r="A186" s="2" t="s">
        <v>9</v>
      </c>
    </row>
    <row r="187" spans="1:1" x14ac:dyDescent="0.25">
      <c r="A187" s="3"/>
    </row>
    <row r="188" spans="1:1" x14ac:dyDescent="0.25">
      <c r="A188" s="3" t="s">
        <v>75</v>
      </c>
    </row>
    <row r="189" spans="1:1" x14ac:dyDescent="0.25">
      <c r="A189" s="3"/>
    </row>
    <row r="190" spans="1:1" x14ac:dyDescent="0.25">
      <c r="A190" s="3" t="s">
        <v>76</v>
      </c>
    </row>
    <row r="191" spans="1:1" x14ac:dyDescent="0.25">
      <c r="A191" s="3"/>
    </row>
    <row r="192" spans="1:1" x14ac:dyDescent="0.25">
      <c r="A192" s="3" t="s">
        <v>77</v>
      </c>
    </row>
    <row r="193" spans="1:1" x14ac:dyDescent="0.25">
      <c r="A193" s="3"/>
    </row>
    <row r="194" spans="1:1" x14ac:dyDescent="0.25">
      <c r="A194" s="3" t="s">
        <v>78</v>
      </c>
    </row>
    <row r="196" spans="1:1" ht="18" x14ac:dyDescent="0.25">
      <c r="A196" s="2" t="s">
        <v>14</v>
      </c>
    </row>
    <row r="198" spans="1:1" x14ac:dyDescent="0.25">
      <c r="A198" t="s">
        <v>79</v>
      </c>
    </row>
    <row r="199" spans="1:1" x14ac:dyDescent="0.25">
      <c r="A199" t="s">
        <v>80</v>
      </c>
    </row>
    <row r="200" spans="1:1" x14ac:dyDescent="0.25">
      <c r="A200" t="s">
        <v>81</v>
      </c>
    </row>
    <row r="202" spans="1:1" ht="18" x14ac:dyDescent="0.25">
      <c r="A202" s="2" t="s">
        <v>19</v>
      </c>
    </row>
    <row r="203" spans="1:1" x14ac:dyDescent="0.25">
      <c r="A203" s="3"/>
    </row>
    <row r="204" spans="1:1" x14ac:dyDescent="0.25">
      <c r="A204" s="3" t="s">
        <v>82</v>
      </c>
    </row>
    <row r="205" spans="1:1" x14ac:dyDescent="0.25">
      <c r="A205" s="3"/>
    </row>
    <row r="206" spans="1:1" x14ac:dyDescent="0.25">
      <c r="A206" s="3" t="s">
        <v>83</v>
      </c>
    </row>
    <row r="210" spans="1:1" ht="31.5" x14ac:dyDescent="0.25">
      <c r="A210" s="1" t="s">
        <v>84</v>
      </c>
    </row>
    <row r="212" spans="1:1" ht="18" x14ac:dyDescent="0.25">
      <c r="A212" s="2" t="s">
        <v>2</v>
      </c>
    </row>
    <row r="214" spans="1:1" x14ac:dyDescent="0.25">
      <c r="A214" t="s">
        <v>85</v>
      </c>
    </row>
    <row r="216" spans="1:1" ht="18" x14ac:dyDescent="0.25">
      <c r="A216" s="2" t="s">
        <v>4</v>
      </c>
    </row>
    <row r="217" spans="1:1" x14ac:dyDescent="0.25">
      <c r="A217" s="3"/>
    </row>
    <row r="218" spans="1:1" x14ac:dyDescent="0.25">
      <c r="A218" s="3" t="s">
        <v>86</v>
      </c>
    </row>
    <row r="219" spans="1:1" x14ac:dyDescent="0.25">
      <c r="A219" s="3"/>
    </row>
    <row r="220" spans="1:1" x14ac:dyDescent="0.25">
      <c r="A220" s="3" t="s">
        <v>87</v>
      </c>
    </row>
    <row r="221" spans="1:1" x14ac:dyDescent="0.25">
      <c r="A221" s="3"/>
    </row>
    <row r="222" spans="1:1" x14ac:dyDescent="0.25">
      <c r="A222" s="3" t="s">
        <v>88</v>
      </c>
    </row>
    <row r="224" spans="1:1" ht="18" x14ac:dyDescent="0.25">
      <c r="A224" s="2" t="s">
        <v>9</v>
      </c>
    </row>
    <row r="225" spans="1:1" x14ac:dyDescent="0.25">
      <c r="A225" s="3"/>
    </row>
    <row r="226" spans="1:1" x14ac:dyDescent="0.25">
      <c r="A226" s="3" t="s">
        <v>89</v>
      </c>
    </row>
    <row r="227" spans="1:1" x14ac:dyDescent="0.25">
      <c r="A227" s="3"/>
    </row>
    <row r="228" spans="1:1" x14ac:dyDescent="0.25">
      <c r="A228" s="3" t="s">
        <v>90</v>
      </c>
    </row>
    <row r="229" spans="1:1" x14ac:dyDescent="0.25">
      <c r="A229" s="3"/>
    </row>
    <row r="230" spans="1:1" x14ac:dyDescent="0.25">
      <c r="A230" s="3" t="s">
        <v>91</v>
      </c>
    </row>
    <row r="232" spans="1:1" ht="18" x14ac:dyDescent="0.25">
      <c r="A232" s="2" t="s">
        <v>14</v>
      </c>
    </row>
    <row r="234" spans="1:1" x14ac:dyDescent="0.25">
      <c r="A234" t="s">
        <v>92</v>
      </c>
    </row>
    <row r="235" spans="1:1" x14ac:dyDescent="0.25">
      <c r="A235" t="s">
        <v>93</v>
      </c>
    </row>
    <row r="237" spans="1:1" ht="18" x14ac:dyDescent="0.25">
      <c r="A237" s="2" t="s">
        <v>19</v>
      </c>
    </row>
    <row r="238" spans="1:1" x14ac:dyDescent="0.25">
      <c r="A238" s="3"/>
    </row>
    <row r="239" spans="1:1" x14ac:dyDescent="0.25">
      <c r="A239" s="3" t="s">
        <v>94</v>
      </c>
    </row>
    <row r="240" spans="1:1" x14ac:dyDescent="0.25">
      <c r="A240" s="3"/>
    </row>
    <row r="241" spans="1:1" x14ac:dyDescent="0.25">
      <c r="A241" s="3" t="s">
        <v>95</v>
      </c>
    </row>
    <row r="245" spans="1:1" ht="31.5" x14ac:dyDescent="0.25">
      <c r="A245" s="1" t="s">
        <v>96</v>
      </c>
    </row>
    <row r="247" spans="1:1" ht="18" x14ac:dyDescent="0.25">
      <c r="A247" s="2" t="s">
        <v>2</v>
      </c>
    </row>
    <row r="249" spans="1:1" x14ac:dyDescent="0.25">
      <c r="A249" t="s">
        <v>97</v>
      </c>
    </row>
    <row r="251" spans="1:1" ht="18" x14ac:dyDescent="0.25">
      <c r="A251" s="2" t="s">
        <v>4</v>
      </c>
    </row>
    <row r="252" spans="1:1" x14ac:dyDescent="0.25">
      <c r="A252" s="3"/>
    </row>
    <row r="253" spans="1:1" x14ac:dyDescent="0.25">
      <c r="A253" s="3" t="s">
        <v>98</v>
      </c>
    </row>
    <row r="254" spans="1:1" x14ac:dyDescent="0.25">
      <c r="A254" s="3"/>
    </row>
    <row r="255" spans="1:1" x14ac:dyDescent="0.25">
      <c r="A255" s="3" t="s">
        <v>99</v>
      </c>
    </row>
    <row r="256" spans="1:1" x14ac:dyDescent="0.25">
      <c r="A256" s="3"/>
    </row>
    <row r="257" spans="1:1" x14ac:dyDescent="0.25">
      <c r="A257" s="3" t="s">
        <v>100</v>
      </c>
    </row>
    <row r="259" spans="1:1" ht="18" x14ac:dyDescent="0.25">
      <c r="A259" s="2" t="s">
        <v>9</v>
      </c>
    </row>
    <row r="260" spans="1:1" x14ac:dyDescent="0.25">
      <c r="A260" s="3"/>
    </row>
    <row r="261" spans="1:1" x14ac:dyDescent="0.25">
      <c r="A261" s="3" t="s">
        <v>101</v>
      </c>
    </row>
    <row r="262" spans="1:1" x14ac:dyDescent="0.25">
      <c r="A262" s="3"/>
    </row>
    <row r="263" spans="1:1" x14ac:dyDescent="0.25">
      <c r="A263" s="3" t="s">
        <v>102</v>
      </c>
    </row>
    <row r="265" spans="1:1" ht="18" x14ac:dyDescent="0.25">
      <c r="A265" s="2" t="s">
        <v>14</v>
      </c>
    </row>
    <row r="267" spans="1:1" x14ac:dyDescent="0.25">
      <c r="A267" t="s">
        <v>103</v>
      </c>
    </row>
    <row r="268" spans="1:1" x14ac:dyDescent="0.25">
      <c r="A268" t="s">
        <v>104</v>
      </c>
    </row>
    <row r="269" spans="1:1" x14ac:dyDescent="0.25">
      <c r="A269" t="s">
        <v>105</v>
      </c>
    </row>
    <row r="271" spans="1:1" ht="18" x14ac:dyDescent="0.25">
      <c r="A271" s="2" t="s">
        <v>19</v>
      </c>
    </row>
    <row r="272" spans="1:1" x14ac:dyDescent="0.25">
      <c r="A272" s="3"/>
    </row>
    <row r="273" spans="1:1" x14ac:dyDescent="0.25">
      <c r="A273" s="3" t="s">
        <v>106</v>
      </c>
    </row>
    <row r="274" spans="1:1" x14ac:dyDescent="0.25">
      <c r="A274" s="3"/>
    </row>
    <row r="275" spans="1:1" x14ac:dyDescent="0.25">
      <c r="A275" s="3" t="s">
        <v>107</v>
      </c>
    </row>
    <row r="279" spans="1:1" ht="31.5" x14ac:dyDescent="0.25">
      <c r="A279" s="1" t="s">
        <v>108</v>
      </c>
    </row>
    <row r="281" spans="1:1" ht="18" x14ac:dyDescent="0.25">
      <c r="A281" s="2" t="s">
        <v>2</v>
      </c>
    </row>
    <row r="283" spans="1:1" x14ac:dyDescent="0.25">
      <c r="A283" t="s">
        <v>109</v>
      </c>
    </row>
    <row r="285" spans="1:1" ht="18" x14ac:dyDescent="0.25">
      <c r="A285" s="2" t="s">
        <v>4</v>
      </c>
    </row>
    <row r="286" spans="1:1" x14ac:dyDescent="0.25">
      <c r="A286" s="3"/>
    </row>
    <row r="287" spans="1:1" x14ac:dyDescent="0.25">
      <c r="A287" s="3" t="s">
        <v>110</v>
      </c>
    </row>
    <row r="288" spans="1:1" x14ac:dyDescent="0.25">
      <c r="A288" s="3"/>
    </row>
    <row r="289" spans="1:1" x14ac:dyDescent="0.25">
      <c r="A289" s="3" t="s">
        <v>111</v>
      </c>
    </row>
    <row r="290" spans="1:1" x14ac:dyDescent="0.25">
      <c r="A290" s="3"/>
    </row>
    <row r="291" spans="1:1" x14ac:dyDescent="0.25">
      <c r="A291" s="3" t="s">
        <v>112</v>
      </c>
    </row>
    <row r="293" spans="1:1" ht="18" x14ac:dyDescent="0.25">
      <c r="A293" s="2" t="s">
        <v>9</v>
      </c>
    </row>
    <row r="294" spans="1:1" x14ac:dyDescent="0.25">
      <c r="A294" s="3"/>
    </row>
    <row r="295" spans="1:1" x14ac:dyDescent="0.25">
      <c r="A295" s="3" t="s">
        <v>113</v>
      </c>
    </row>
    <row r="296" spans="1:1" x14ac:dyDescent="0.25">
      <c r="A296" s="3"/>
    </row>
    <row r="297" spans="1:1" x14ac:dyDescent="0.25">
      <c r="A297" s="3" t="s">
        <v>114</v>
      </c>
    </row>
    <row r="298" spans="1:1" x14ac:dyDescent="0.25">
      <c r="A298" s="3"/>
    </row>
    <row r="299" spans="1:1" x14ac:dyDescent="0.25">
      <c r="A299" s="3" t="s">
        <v>115</v>
      </c>
    </row>
    <row r="301" spans="1:1" ht="18" x14ac:dyDescent="0.25">
      <c r="A301" s="2" t="s">
        <v>14</v>
      </c>
    </row>
    <row r="303" spans="1:1" x14ac:dyDescent="0.25">
      <c r="A303" t="s">
        <v>116</v>
      </c>
    </row>
    <row r="304" spans="1:1" x14ac:dyDescent="0.25">
      <c r="A304" t="s">
        <v>117</v>
      </c>
    </row>
    <row r="305" spans="1:1" x14ac:dyDescent="0.25">
      <c r="A305" t="s">
        <v>118</v>
      </c>
    </row>
    <row r="307" spans="1:1" ht="18" x14ac:dyDescent="0.25">
      <c r="A307" s="2" t="s">
        <v>19</v>
      </c>
    </row>
    <row r="308" spans="1:1" x14ac:dyDescent="0.25">
      <c r="A308" s="3"/>
    </row>
    <row r="309" spans="1:1" x14ac:dyDescent="0.25">
      <c r="A309" s="3" t="s">
        <v>119</v>
      </c>
    </row>
    <row r="310" spans="1:1" x14ac:dyDescent="0.25">
      <c r="A310" s="3"/>
    </row>
    <row r="311" spans="1:1" x14ac:dyDescent="0.25">
      <c r="A311" s="3" t="s">
        <v>120</v>
      </c>
    </row>
    <row r="315" spans="1:1" ht="31.5" x14ac:dyDescent="0.25">
      <c r="A315" s="1" t="s">
        <v>121</v>
      </c>
    </row>
    <row r="317" spans="1:1" ht="18" x14ac:dyDescent="0.25">
      <c r="A317" s="2" t="s">
        <v>2</v>
      </c>
    </row>
    <row r="319" spans="1:1" x14ac:dyDescent="0.25">
      <c r="A319" t="s">
        <v>122</v>
      </c>
    </row>
    <row r="321" spans="1:1" ht="18" x14ac:dyDescent="0.25">
      <c r="A321" s="2" t="s">
        <v>4</v>
      </c>
    </row>
    <row r="322" spans="1:1" x14ac:dyDescent="0.25">
      <c r="A322" s="3"/>
    </row>
    <row r="323" spans="1:1" x14ac:dyDescent="0.25">
      <c r="A323" s="3" t="s">
        <v>123</v>
      </c>
    </row>
    <row r="324" spans="1:1" x14ac:dyDescent="0.25">
      <c r="A324" s="3"/>
    </row>
    <row r="325" spans="1:1" x14ac:dyDescent="0.25">
      <c r="A325" s="3" t="s">
        <v>124</v>
      </c>
    </row>
    <row r="326" spans="1:1" x14ac:dyDescent="0.25">
      <c r="A326" s="3"/>
    </row>
    <row r="327" spans="1:1" x14ac:dyDescent="0.25">
      <c r="A327" s="3" t="s">
        <v>125</v>
      </c>
    </row>
    <row r="329" spans="1:1" ht="18" x14ac:dyDescent="0.25">
      <c r="A329" s="2" t="s">
        <v>9</v>
      </c>
    </row>
    <row r="330" spans="1:1" x14ac:dyDescent="0.25">
      <c r="A330" s="3"/>
    </row>
    <row r="331" spans="1:1" x14ac:dyDescent="0.25">
      <c r="A331" s="3" t="s">
        <v>126</v>
      </c>
    </row>
    <row r="332" spans="1:1" x14ac:dyDescent="0.25">
      <c r="A332" s="3"/>
    </row>
    <row r="333" spans="1:1" x14ac:dyDescent="0.25">
      <c r="A333" s="3" t="s">
        <v>127</v>
      </c>
    </row>
    <row r="334" spans="1:1" x14ac:dyDescent="0.25">
      <c r="A334" s="3"/>
    </row>
    <row r="335" spans="1:1" x14ac:dyDescent="0.25">
      <c r="A335" s="3" t="s">
        <v>128</v>
      </c>
    </row>
    <row r="337" spans="1:1" ht="18" x14ac:dyDescent="0.25">
      <c r="A337" s="2" t="s">
        <v>14</v>
      </c>
    </row>
    <row r="339" spans="1:1" x14ac:dyDescent="0.25">
      <c r="A339" t="s">
        <v>80</v>
      </c>
    </row>
    <row r="340" spans="1:1" x14ac:dyDescent="0.25">
      <c r="A340" t="s">
        <v>129</v>
      </c>
    </row>
    <row r="341" spans="1:1" x14ac:dyDescent="0.25">
      <c r="A341" t="s">
        <v>130</v>
      </c>
    </row>
    <row r="343" spans="1:1" ht="18" x14ac:dyDescent="0.25">
      <c r="A343" s="2" t="s">
        <v>19</v>
      </c>
    </row>
    <row r="344" spans="1:1" x14ac:dyDescent="0.25">
      <c r="A344" s="3"/>
    </row>
    <row r="345" spans="1:1" x14ac:dyDescent="0.25">
      <c r="A345" s="3" t="s">
        <v>131</v>
      </c>
    </row>
    <row r="346" spans="1:1" x14ac:dyDescent="0.25">
      <c r="A346" s="3"/>
    </row>
    <row r="347" spans="1:1" x14ac:dyDescent="0.25">
      <c r="A347" s="3" t="s">
        <v>132</v>
      </c>
    </row>
    <row r="351" spans="1:1" ht="31.5" x14ac:dyDescent="0.25">
      <c r="A351" s="1" t="s">
        <v>133</v>
      </c>
    </row>
    <row r="353" spans="1:1" ht="18" x14ac:dyDescent="0.25">
      <c r="A353" s="2" t="s">
        <v>2</v>
      </c>
    </row>
    <row r="355" spans="1:1" x14ac:dyDescent="0.25">
      <c r="A355" t="s">
        <v>134</v>
      </c>
    </row>
    <row r="357" spans="1:1" ht="18" x14ac:dyDescent="0.25">
      <c r="A357" s="2" t="s">
        <v>4</v>
      </c>
    </row>
    <row r="358" spans="1:1" x14ac:dyDescent="0.25">
      <c r="A358" s="3"/>
    </row>
    <row r="359" spans="1:1" x14ac:dyDescent="0.25">
      <c r="A359" s="3" t="s">
        <v>135</v>
      </c>
    </row>
    <row r="360" spans="1:1" x14ac:dyDescent="0.25">
      <c r="A360" s="3"/>
    </row>
    <row r="361" spans="1:1" x14ac:dyDescent="0.25">
      <c r="A361" s="3" t="s">
        <v>136</v>
      </c>
    </row>
    <row r="362" spans="1:1" x14ac:dyDescent="0.25">
      <c r="A362" s="3"/>
    </row>
    <row r="363" spans="1:1" x14ac:dyDescent="0.25">
      <c r="A363" s="3" t="s">
        <v>137</v>
      </c>
    </row>
    <row r="365" spans="1:1" ht="18" x14ac:dyDescent="0.25">
      <c r="A365" s="2" t="s">
        <v>9</v>
      </c>
    </row>
    <row r="366" spans="1:1" x14ac:dyDescent="0.25">
      <c r="A366" s="3"/>
    </row>
    <row r="367" spans="1:1" x14ac:dyDescent="0.25">
      <c r="A367" s="3" t="s">
        <v>138</v>
      </c>
    </row>
    <row r="368" spans="1:1" x14ac:dyDescent="0.25">
      <c r="A368" s="3"/>
    </row>
    <row r="369" spans="1:1" x14ac:dyDescent="0.25">
      <c r="A369" s="3" t="s">
        <v>139</v>
      </c>
    </row>
    <row r="371" spans="1:1" ht="18" x14ac:dyDescent="0.25">
      <c r="A371" s="2" t="s">
        <v>14</v>
      </c>
    </row>
    <row r="373" spans="1:1" x14ac:dyDescent="0.25">
      <c r="A373" t="s">
        <v>140</v>
      </c>
    </row>
    <row r="374" spans="1:1" x14ac:dyDescent="0.25">
      <c r="A374" t="s">
        <v>141</v>
      </c>
    </row>
    <row r="375" spans="1:1" x14ac:dyDescent="0.25">
      <c r="A375" t="s">
        <v>142</v>
      </c>
    </row>
    <row r="377" spans="1:1" ht="18" x14ac:dyDescent="0.25">
      <c r="A377" s="2" t="s">
        <v>19</v>
      </c>
    </row>
    <row r="378" spans="1:1" x14ac:dyDescent="0.25">
      <c r="A378" s="3"/>
    </row>
    <row r="379" spans="1:1" x14ac:dyDescent="0.25">
      <c r="A379" s="3" t="s">
        <v>143</v>
      </c>
    </row>
    <row r="380" spans="1:1" x14ac:dyDescent="0.25">
      <c r="A380" s="3"/>
    </row>
    <row r="381" spans="1:1" x14ac:dyDescent="0.25">
      <c r="A381" s="3"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EBB8-CD3F-4C2E-867C-8EC3CF0A3928}">
  <dimension ref="A1:H6"/>
  <sheetViews>
    <sheetView zoomScale="130" zoomScaleNormal="130" workbookViewId="0">
      <selection activeCell="A2" sqref="A2"/>
    </sheetView>
  </sheetViews>
  <sheetFormatPr defaultRowHeight="15" x14ac:dyDescent="0.25"/>
  <cols>
    <col min="1" max="1" width="9.85546875" bestFit="1" customWidth="1"/>
    <col min="2" max="2" width="13.7109375" bestFit="1" customWidth="1"/>
    <col min="3" max="3" width="45.42578125" bestFit="1" customWidth="1"/>
    <col min="4" max="7" width="50.7109375" customWidth="1"/>
    <col min="8" max="8" width="110.7109375" customWidth="1"/>
    <col min="9" max="9" width="55.28515625" customWidth="1"/>
  </cols>
  <sheetData>
    <row r="1" spans="1:8" x14ac:dyDescent="0.25">
      <c r="A1" s="44" t="s">
        <v>2446</v>
      </c>
      <c r="B1" s="44" t="s">
        <v>2447</v>
      </c>
      <c r="C1" s="44" t="s">
        <v>2448</v>
      </c>
      <c r="D1" s="44" t="s">
        <v>2449</v>
      </c>
      <c r="E1" s="44" t="s">
        <v>3636</v>
      </c>
      <c r="F1" s="44" t="s">
        <v>2450</v>
      </c>
      <c r="G1" s="44" t="s">
        <v>2451</v>
      </c>
      <c r="H1" s="45" t="s">
        <v>2444</v>
      </c>
    </row>
    <row r="2" spans="1:8" ht="306" x14ac:dyDescent="0.25">
      <c r="A2" s="46" t="s">
        <v>2517</v>
      </c>
      <c r="B2" s="46" t="s">
        <v>2518</v>
      </c>
      <c r="C2" s="46" t="s">
        <v>3635</v>
      </c>
      <c r="D2" s="47" t="s">
        <v>3637</v>
      </c>
      <c r="E2" s="46" t="s">
        <v>3638</v>
      </c>
      <c r="F2" s="46" t="s">
        <v>3632</v>
      </c>
      <c r="G2" s="46" t="s">
        <v>3634</v>
      </c>
      <c r="H2" s="48" t="str">
        <f t="shared" ref="H2:H5" si="0">SUBSTITUTE(
"&lt;tr data-carc=""" &amp; A2 &amp; """ data-rarc=""" &amp; C2 &amp; """" &amp; CHAR(10) &amp;
"                  data-denial=""" &amp; SUBSTITUTE(TRIM(D2),CHAR(10),"\n") &amp; """" &amp; CHAR(10) &amp;
"                  data-root=""" &amp; SUBSTITUTE(TRIM(F2),CHAR(10),"\n") &amp; """&gt;" &amp; CHAR(10) &amp;
"                &lt;td&gt;&lt;span class=""carc-badge co""&gt;" &amp; A2 &amp; "&lt;/span&gt;&lt;/td&gt;" &amp; CHAR(10) &amp;
"                &lt;td style=""font-weight:500;""&gt;" &amp; B2 &amp; "&lt;/td&gt;" &amp; CHAR(10) &amp;
"                &lt;td class=""rarc-wrap""&gt;&lt;div class=""rarc-id""&gt;" &amp;
LEFT(C2,FIND(" ",C2)-1) &amp;
"&lt;/div&gt;&lt;div class=""rarc-desc""&gt;" &amp;
TRIM(MID(C2,FIND("—",C2)+1,999)) &amp;
"&lt;/div&gt;&lt;/td&gt;" &amp; CHAR(10) &amp;
"                &lt;td class=""td-sm""&gt;" &amp;
SUBSTITUTE(TRIM(D2),CHAR(10),"&lt;br&gt;") &amp;
"&lt;/td&gt;" &amp; CHAR(10) &amp;
"                &lt;td&gt;&lt;div class=""chip-row""&gt;&lt;span class=""chip chip-red""&gt;" &amp;
SUBSTITUTE(SUBSTITUTE(SUBSTITUTE(TRIM(E2),"• ",""),CHAR(10),"|"),"|",
"&lt;/span&gt;&lt;span class=""chip chip-red""&gt;") &amp;
"&lt;/span&gt;&lt;/div&gt;&lt;/td&gt;" &amp; CHAR(10) &amp;
"                &lt;td&gt;&lt;div class=""chip-row""&gt;&lt;span class=""chip chip-red""&gt;" &amp;
SUBSTITUTE(SUBSTITUTE(SUBSTITUTE(TRIM(F2),"• ",""),CHAR(10),"|"),"|",
"&lt;/span&gt;&lt;span class=""chip chip-red""&gt;") &amp;
"&lt;/span&gt;&lt;/div&gt;&lt;/td&gt;" &amp; CHAR(10) &amp;
"                &lt;td class=""td-sm""&gt;" &amp;
SUBSTITUTE(TRIM(G2),CHAR(10),"&lt;br&gt;") &amp;
"&lt;/td&gt;" &amp; CHAR(10) &amp;
"              &lt;/tr&gt;","""","""")</f>
        <v>&lt;tr data-carc="CO 18" data-rarc="N522 — Duplicate of a claim processed, as a crossover claim."
                  data-denial="The claim is an exact duplicate of one already processed or in process (same patient, date of service, provider, codes, etc.). No payment issued; often seen in general duplicates or Medicare crossover cases where claim was auto-forwarded."
                  data-root="• Provider billed secondary payer prematurely before crossover completed\n• Duplicate claim submission from billing system\n• Patient insurance sequence not verified properly"&gt;
                &lt;td&gt;&lt;span class="carc-badge co"&gt;CO 18&lt;/span&gt;&lt;/td&gt;
                &lt;td style="font-weight:500;"&gt;Duplicate&lt;/td&gt;
                &lt;td class="rarc-wrap"&gt;&lt;div class="rarc-id"&gt;N522&lt;/div&gt;&lt;div class="rarc-desc"&gt;Duplicate of a claim processed, as a crossover claim.&lt;/div&gt;&lt;/td&gt;
                &lt;td class="td-sm"&gt;The claim is an exact duplicate of one already processed or in process (same patient, date of service, provider, codes, etc.). No payment issued; often seen in general duplicates or Medicare crossover cases where claim was auto-forwarded.&lt;/td&gt;
                &lt;td&gt;&lt;div class="chip-row"&gt;&lt;span class="chip chip-red"&gt;Resubmitted identical claim by mistake or due to system glitch.&lt;/span&gt;&lt;span class="chip chip-red"&gt;Billed same procedure twice without modifier (e.g., two identical office visits same day).&lt;/span&gt;&lt;span class="chip chip-red"&gt;Submitted to secondary payer while primary (e.g., Medicare) processes/crossover pending.&lt;/span&gt;&lt;span class="chip chip-red"&gt;Billing system auto-follow-up triggered duplicate.&lt;/span&gt;&lt;span class="chip chip-red"&gt;Corrected claim sent without proper replacement indicator.&lt;/span&gt;&lt;/div&gt;&lt;/td&gt;
                &lt;td&gt;&lt;div class="chip-row"&gt;&lt;span class="chip chip-red"&gt;Provider billed secondary payer prematurely before crossover completed&lt;/span&gt;&lt;span class="chip chip-red"&gt;Duplicate claim submission from billing system&lt;/span&gt;&lt;span class="chip chip-red"&gt;Patient insurance sequence not verified properly&lt;/span&gt;&lt;/div&gt;&lt;/td&gt;
                &lt;td class="td-sm"&gt;• Check Medicare crossover confirmation (ERA/EOB remark)&lt;br&gt;• Confirm if secondary payer received claim via crossover&lt;br&gt;• Do not rebill if crossover pending or completed&lt;br&gt;• Rebill only if crossover failed and payer confirms resubmission required&lt;br&gt;• Adjust duplicate claim if already processed&lt;/td&gt;
              &lt;/tr&gt;</v>
      </c>
    </row>
    <row r="3" spans="1:8" ht="114.75" x14ac:dyDescent="0.25">
      <c r="A3" s="49" t="s">
        <v>3639</v>
      </c>
      <c r="B3" s="49" t="s">
        <v>145</v>
      </c>
      <c r="C3" s="49" t="s">
        <v>3644</v>
      </c>
      <c r="D3" s="49" t="s">
        <v>3642</v>
      </c>
      <c r="E3" s="49" t="s">
        <v>3643</v>
      </c>
      <c r="F3" s="49" t="s">
        <v>3645</v>
      </c>
      <c r="G3" s="49" t="s">
        <v>3646</v>
      </c>
      <c r="H3" s="48" t="e">
        <f t="shared" si="0"/>
        <v>#VALUE!</v>
      </c>
    </row>
    <row r="4" spans="1:8" ht="89.25" x14ac:dyDescent="0.25">
      <c r="A4" s="46" t="s">
        <v>3640</v>
      </c>
      <c r="B4" s="46" t="s">
        <v>146</v>
      </c>
      <c r="C4" s="46" t="s">
        <v>3644</v>
      </c>
      <c r="D4" s="47" t="s">
        <v>3651</v>
      </c>
      <c r="E4" s="46" t="s">
        <v>3647</v>
      </c>
      <c r="F4" s="46" t="s">
        <v>3648</v>
      </c>
      <c r="G4" s="46" t="s">
        <v>3649</v>
      </c>
      <c r="H4" s="48" t="e">
        <f t="shared" si="0"/>
        <v>#VALUE!</v>
      </c>
    </row>
    <row r="5" spans="1:8" ht="63.75" x14ac:dyDescent="0.25">
      <c r="A5" s="50" t="s">
        <v>3641</v>
      </c>
      <c r="B5" s="50" t="s">
        <v>3650</v>
      </c>
      <c r="C5" s="50" t="s">
        <v>3644</v>
      </c>
      <c r="D5" s="50" t="s">
        <v>3652</v>
      </c>
      <c r="E5" s="50" t="s">
        <v>3654</v>
      </c>
      <c r="F5" s="50" t="s">
        <v>3653</v>
      </c>
      <c r="G5" s="50" t="s">
        <v>3655</v>
      </c>
      <c r="H5" s="51" t="e">
        <f t="shared" si="0"/>
        <v>#VALUE!</v>
      </c>
    </row>
    <row r="6" spans="1:8" x14ac:dyDescent="0.25">
      <c r="D6"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64F73-ED0E-4DE7-995B-7B08E8E5A52B}">
  <dimension ref="A1:I484"/>
  <sheetViews>
    <sheetView zoomScale="115" zoomScaleNormal="115" workbookViewId="0"/>
  </sheetViews>
  <sheetFormatPr defaultRowHeight="15" x14ac:dyDescent="0.25"/>
  <cols>
    <col min="1" max="1" width="9.42578125" bestFit="1" customWidth="1"/>
    <col min="2" max="2" width="48.28515625" bestFit="1" customWidth="1"/>
    <col min="3" max="3" width="52.85546875" bestFit="1" customWidth="1"/>
    <col min="4" max="4" width="29.140625" bestFit="1" customWidth="1"/>
    <col min="5" max="5" width="40.140625" bestFit="1" customWidth="1"/>
    <col min="6" max="6" width="40.5703125" bestFit="1" customWidth="1"/>
    <col min="7" max="7" width="39.42578125" bestFit="1" customWidth="1"/>
    <col min="8" max="8" width="50.7109375" customWidth="1"/>
    <col min="9" max="9" width="20.7109375" customWidth="1"/>
  </cols>
  <sheetData>
    <row r="1" spans="1:9" x14ac:dyDescent="0.25">
      <c r="A1" s="115" t="s">
        <v>3777</v>
      </c>
      <c r="B1" t="s">
        <v>7836</v>
      </c>
      <c r="C1" s="116" t="s">
        <v>3778</v>
      </c>
      <c r="D1" s="116" t="s">
        <v>2449</v>
      </c>
      <c r="E1" s="116" t="s">
        <v>3636</v>
      </c>
      <c r="F1" s="116" t="s">
        <v>2450</v>
      </c>
      <c r="G1" s="116" t="s">
        <v>2451</v>
      </c>
      <c r="H1" s="62" t="s">
        <v>2444</v>
      </c>
      <c r="I1" s="55" t="s">
        <v>3760</v>
      </c>
    </row>
    <row r="2" spans="1:9" s="42" customFormat="1" x14ac:dyDescent="0.25">
      <c r="A2" s="53" t="s">
        <v>2502</v>
      </c>
      <c r="B2" s="52" t="s">
        <v>7846</v>
      </c>
      <c r="C2" s="108" t="s">
        <v>6748</v>
      </c>
      <c r="D2" s="57" t="s">
        <v>7847</v>
      </c>
      <c r="E2" s="56" t="s">
        <v>7848</v>
      </c>
      <c r="F2" s="56" t="s">
        <v>7650</v>
      </c>
      <c r="G2" s="56" t="s">
        <v>7849</v>
      </c>
      <c r="H2" s="54"/>
      <c r="I2" s="54" t="s">
        <v>4701</v>
      </c>
    </row>
    <row r="3" spans="1:9" x14ac:dyDescent="0.25">
      <c r="A3" s="58" t="s">
        <v>3658</v>
      </c>
      <c r="B3" s="59" t="s">
        <v>3723</v>
      </c>
      <c r="C3" s="108" t="s">
        <v>6601</v>
      </c>
      <c r="D3" s="61" t="s">
        <v>3824</v>
      </c>
      <c r="E3" s="60" t="s">
        <v>3744</v>
      </c>
      <c r="F3" s="60" t="s">
        <v>3825</v>
      </c>
      <c r="G3" s="60" t="s">
        <v>3926</v>
      </c>
      <c r="H3" s="54"/>
      <c r="I3" s="54" t="s">
        <v>3999</v>
      </c>
    </row>
    <row r="4" spans="1:9" x14ac:dyDescent="0.25">
      <c r="A4" s="53" t="s">
        <v>3658</v>
      </c>
      <c r="B4" s="52" t="s">
        <v>7059</v>
      </c>
      <c r="C4" s="108" t="s">
        <v>6582</v>
      </c>
      <c r="D4" s="57" t="s">
        <v>7060</v>
      </c>
      <c r="E4" s="56" t="s">
        <v>7061</v>
      </c>
      <c r="F4" s="56" t="s">
        <v>7062</v>
      </c>
      <c r="G4" s="56" t="s">
        <v>7063</v>
      </c>
      <c r="H4" s="54"/>
      <c r="I4" s="54" t="s">
        <v>4548</v>
      </c>
    </row>
    <row r="5" spans="1:9" x14ac:dyDescent="0.25">
      <c r="A5" s="53" t="s">
        <v>6183</v>
      </c>
      <c r="B5" s="52" t="s">
        <v>7365</v>
      </c>
      <c r="C5" s="108" t="s">
        <v>6644</v>
      </c>
      <c r="D5" s="57" t="s">
        <v>7366</v>
      </c>
      <c r="E5" s="56" t="s">
        <v>7367</v>
      </c>
      <c r="F5" s="56" t="s">
        <v>7368</v>
      </c>
      <c r="G5" s="56" t="s">
        <v>7369</v>
      </c>
      <c r="H5" s="54"/>
      <c r="I5" s="54" t="s">
        <v>4600</v>
      </c>
    </row>
    <row r="6" spans="1:9" x14ac:dyDescent="0.25">
      <c r="A6" s="53" t="s">
        <v>4890</v>
      </c>
      <c r="B6" s="52" t="s">
        <v>4901</v>
      </c>
      <c r="C6" s="108" t="s">
        <v>6794</v>
      </c>
      <c r="D6" s="57" t="s">
        <v>4902</v>
      </c>
      <c r="E6" s="56" t="s">
        <v>4903</v>
      </c>
      <c r="F6" s="56" t="s">
        <v>4904</v>
      </c>
      <c r="G6" s="56" t="s">
        <v>4905</v>
      </c>
      <c r="H6" s="54"/>
      <c r="I6" s="54" t="s">
        <v>4743</v>
      </c>
    </row>
    <row r="7" spans="1:9" x14ac:dyDescent="0.25">
      <c r="A7" s="53" t="s">
        <v>3717</v>
      </c>
      <c r="B7" s="109" t="s">
        <v>7725</v>
      </c>
      <c r="C7" s="108" t="s">
        <v>6720</v>
      </c>
      <c r="D7" s="57" t="s">
        <v>7726</v>
      </c>
      <c r="E7" s="56" t="s">
        <v>7727</v>
      </c>
      <c r="F7" s="56" t="s">
        <v>7728</v>
      </c>
      <c r="G7" s="56" t="s">
        <v>7729</v>
      </c>
      <c r="H7" s="54"/>
      <c r="I7" s="54"/>
    </row>
    <row r="8" spans="1:9" x14ac:dyDescent="0.25">
      <c r="A8" s="53" t="s">
        <v>3717</v>
      </c>
      <c r="B8" s="52" t="s">
        <v>7414</v>
      </c>
      <c r="C8" s="108" t="s">
        <v>6654</v>
      </c>
      <c r="D8" s="57" t="s">
        <v>7415</v>
      </c>
      <c r="E8" s="56" t="s">
        <v>7416</v>
      </c>
      <c r="F8" s="56" t="s">
        <v>7416</v>
      </c>
      <c r="G8" s="56" t="s">
        <v>7417</v>
      </c>
      <c r="H8" s="54"/>
      <c r="I8" s="54" t="s">
        <v>4610</v>
      </c>
    </row>
    <row r="9" spans="1:9" x14ac:dyDescent="0.25">
      <c r="A9" s="53" t="s">
        <v>3717</v>
      </c>
      <c r="B9" s="52" t="s">
        <v>3724</v>
      </c>
      <c r="C9" s="108" t="s">
        <v>6515</v>
      </c>
      <c r="D9" s="57" t="s">
        <v>4166</v>
      </c>
      <c r="E9" s="56" t="s">
        <v>4236</v>
      </c>
      <c r="F9" s="56" t="s">
        <v>4237</v>
      </c>
      <c r="G9" s="56" t="s">
        <v>4238</v>
      </c>
      <c r="H9" s="54"/>
      <c r="I9" s="54" t="s">
        <v>4389</v>
      </c>
    </row>
    <row r="10" spans="1:9" x14ac:dyDescent="0.25">
      <c r="A10" s="53" t="s">
        <v>3717</v>
      </c>
      <c r="B10" s="52" t="s">
        <v>3724</v>
      </c>
      <c r="C10" s="108" t="s">
        <v>6719</v>
      </c>
      <c r="D10" s="57" t="s">
        <v>3718</v>
      </c>
      <c r="E10" s="56" t="s">
        <v>3741</v>
      </c>
      <c r="F10" s="56" t="s">
        <v>3747</v>
      </c>
      <c r="G10" s="56" t="s">
        <v>3755</v>
      </c>
      <c r="H10" s="54"/>
      <c r="I10" s="54" t="s">
        <v>3771</v>
      </c>
    </row>
    <row r="11" spans="1:9" x14ac:dyDescent="0.25">
      <c r="A11" s="53" t="s">
        <v>3717</v>
      </c>
      <c r="B11" s="52" t="s">
        <v>7193</v>
      </c>
      <c r="C11" s="108" t="s">
        <v>6608</v>
      </c>
      <c r="D11" s="57" t="s">
        <v>7194</v>
      </c>
      <c r="E11" s="56" t="s">
        <v>7195</v>
      </c>
      <c r="F11" s="56" t="s">
        <v>7196</v>
      </c>
      <c r="G11" s="56" t="s">
        <v>7197</v>
      </c>
      <c r="H11" s="54"/>
      <c r="I11" s="54" t="s">
        <v>4568</v>
      </c>
    </row>
    <row r="12" spans="1:9" x14ac:dyDescent="0.25">
      <c r="A12" s="53" t="s">
        <v>3717</v>
      </c>
      <c r="B12" s="52" t="s">
        <v>7198</v>
      </c>
      <c r="C12" s="108" t="s">
        <v>6609</v>
      </c>
      <c r="D12" s="57" t="s">
        <v>7199</v>
      </c>
      <c r="E12" s="56" t="s">
        <v>7200</v>
      </c>
      <c r="F12" s="56" t="s">
        <v>7201</v>
      </c>
      <c r="G12" s="56" t="s">
        <v>7202</v>
      </c>
      <c r="H12" s="54"/>
      <c r="I12" s="54" t="s">
        <v>4569</v>
      </c>
    </row>
    <row r="13" spans="1:9" x14ac:dyDescent="0.25">
      <c r="A13" s="53" t="s">
        <v>3713</v>
      </c>
      <c r="B13" s="52" t="s">
        <v>3735</v>
      </c>
      <c r="C13" s="108" t="s">
        <v>6451</v>
      </c>
      <c r="D13" s="57" t="s">
        <v>4034</v>
      </c>
      <c r="E13" s="56" t="s">
        <v>4035</v>
      </c>
      <c r="F13" s="56" t="s">
        <v>4036</v>
      </c>
      <c r="G13" s="56" t="s">
        <v>4037</v>
      </c>
      <c r="H13" s="54"/>
      <c r="I13" s="54" t="s">
        <v>4335</v>
      </c>
    </row>
    <row r="14" spans="1:9" x14ac:dyDescent="0.25">
      <c r="A14" s="53" t="s">
        <v>2502</v>
      </c>
      <c r="B14" s="52" t="s">
        <v>3735</v>
      </c>
      <c r="C14" s="108" t="s">
        <v>6436</v>
      </c>
      <c r="D14" s="57" t="s">
        <v>3792</v>
      </c>
      <c r="E14" s="56" t="s">
        <v>3865</v>
      </c>
      <c r="F14" s="56" t="s">
        <v>3895</v>
      </c>
      <c r="G14" s="56" t="s">
        <v>3896</v>
      </c>
      <c r="H14" s="54"/>
      <c r="I14" s="54" t="s">
        <v>4015</v>
      </c>
    </row>
    <row r="15" spans="1:9" x14ac:dyDescent="0.25">
      <c r="A15" s="53" t="s">
        <v>3713</v>
      </c>
      <c r="B15" s="52" t="s">
        <v>3735</v>
      </c>
      <c r="C15" s="108" t="s">
        <v>6468</v>
      </c>
      <c r="D15" s="57" t="s">
        <v>4105</v>
      </c>
      <c r="E15" s="56" t="s">
        <v>4106</v>
      </c>
      <c r="F15" s="56" t="s">
        <v>4107</v>
      </c>
      <c r="G15" s="56" t="s">
        <v>4108</v>
      </c>
      <c r="H15" s="54"/>
      <c r="I15" s="54" t="s">
        <v>4352</v>
      </c>
    </row>
    <row r="16" spans="1:9" x14ac:dyDescent="0.25">
      <c r="A16" s="53" t="s">
        <v>3713</v>
      </c>
      <c r="B16" s="52" t="s">
        <v>3735</v>
      </c>
      <c r="C16" s="108" t="s">
        <v>6512</v>
      </c>
      <c r="D16" s="57" t="s">
        <v>4164</v>
      </c>
      <c r="E16" s="56" t="s">
        <v>4242</v>
      </c>
      <c r="F16" s="56" t="s">
        <v>4243</v>
      </c>
      <c r="G16" s="56" t="s">
        <v>4244</v>
      </c>
      <c r="H16" s="54"/>
      <c r="I16" s="54" t="s">
        <v>4387</v>
      </c>
    </row>
    <row r="17" spans="1:9" x14ac:dyDescent="0.25">
      <c r="A17" s="53" t="s">
        <v>3713</v>
      </c>
      <c r="B17" s="52" t="s">
        <v>3735</v>
      </c>
      <c r="C17" s="108" t="s">
        <v>6506</v>
      </c>
      <c r="D17" s="57" t="s">
        <v>4159</v>
      </c>
      <c r="E17" s="56" t="s">
        <v>4257</v>
      </c>
      <c r="F17" s="56" t="s">
        <v>4258</v>
      </c>
      <c r="G17" s="56" t="s">
        <v>4259</v>
      </c>
      <c r="H17" s="54"/>
      <c r="I17" s="54" t="s">
        <v>4382</v>
      </c>
    </row>
    <row r="18" spans="1:9" x14ac:dyDescent="0.25">
      <c r="A18" s="53" t="s">
        <v>3713</v>
      </c>
      <c r="B18" s="52" t="s">
        <v>3735</v>
      </c>
      <c r="C18" s="108" t="s">
        <v>6454</v>
      </c>
      <c r="D18" s="57" t="s">
        <v>4047</v>
      </c>
      <c r="E18" s="56" t="s">
        <v>4048</v>
      </c>
      <c r="F18" s="56" t="s">
        <v>4049</v>
      </c>
      <c r="G18" s="56" t="s">
        <v>4050</v>
      </c>
      <c r="H18" s="54"/>
      <c r="I18" s="54" t="s">
        <v>4338</v>
      </c>
    </row>
    <row r="19" spans="1:9" x14ac:dyDescent="0.25">
      <c r="A19" s="58" t="s">
        <v>3713</v>
      </c>
      <c r="B19" s="59" t="s">
        <v>3735</v>
      </c>
      <c r="C19" s="108" t="s">
        <v>6455</v>
      </c>
      <c r="D19" s="61" t="s">
        <v>3820</v>
      </c>
      <c r="E19" s="60" t="s">
        <v>3851</v>
      </c>
      <c r="F19" s="60" t="s">
        <v>3933</v>
      </c>
      <c r="G19" s="60" t="s">
        <v>3934</v>
      </c>
      <c r="H19" s="54"/>
      <c r="I19" s="54" t="s">
        <v>3995</v>
      </c>
    </row>
    <row r="20" spans="1:9" x14ac:dyDescent="0.25">
      <c r="A20" s="53" t="s">
        <v>3713</v>
      </c>
      <c r="B20" s="52" t="s">
        <v>3735</v>
      </c>
      <c r="C20" s="108" t="s">
        <v>6751</v>
      </c>
      <c r="D20" s="57" t="s">
        <v>3720</v>
      </c>
      <c r="E20" s="56" t="s">
        <v>3739</v>
      </c>
      <c r="F20" s="56" t="s">
        <v>3749</v>
      </c>
      <c r="G20" s="56" t="s">
        <v>3757</v>
      </c>
      <c r="H20" s="54"/>
      <c r="I20" s="54" t="s">
        <v>3773</v>
      </c>
    </row>
    <row r="21" spans="1:9" x14ac:dyDescent="0.25">
      <c r="A21" s="53" t="s">
        <v>3713</v>
      </c>
      <c r="B21" s="52" t="s">
        <v>3735</v>
      </c>
      <c r="C21" s="108" t="s">
        <v>6502</v>
      </c>
      <c r="D21" s="57" t="s">
        <v>4157</v>
      </c>
      <c r="E21" s="56" t="s">
        <v>4266</v>
      </c>
      <c r="F21" s="56" t="s">
        <v>4267</v>
      </c>
      <c r="G21" s="56" t="s">
        <v>4268</v>
      </c>
      <c r="H21" s="54"/>
      <c r="I21" s="54" t="s">
        <v>4379</v>
      </c>
    </row>
    <row r="22" spans="1:9" x14ac:dyDescent="0.25">
      <c r="A22" s="53" t="s">
        <v>3713</v>
      </c>
      <c r="B22" s="52" t="s">
        <v>3735</v>
      </c>
      <c r="C22" s="108" t="s">
        <v>6429</v>
      </c>
      <c r="D22" s="57" t="s">
        <v>3787</v>
      </c>
      <c r="E22" s="56" t="s">
        <v>3871</v>
      </c>
      <c r="F22" s="56" t="s">
        <v>3907</v>
      </c>
      <c r="G22" s="56" t="s">
        <v>3908</v>
      </c>
      <c r="H22" s="54"/>
      <c r="I22" s="54" t="s">
        <v>4009</v>
      </c>
    </row>
    <row r="23" spans="1:9" x14ac:dyDescent="0.25">
      <c r="A23" s="53" t="s">
        <v>3713</v>
      </c>
      <c r="B23" s="52" t="s">
        <v>3735</v>
      </c>
      <c r="C23" s="108" t="s">
        <v>6500</v>
      </c>
      <c r="D23" s="57" t="s">
        <v>4156</v>
      </c>
      <c r="E23" s="56" t="s">
        <v>4269</v>
      </c>
      <c r="F23" s="56" t="s">
        <v>4270</v>
      </c>
      <c r="G23" s="56" t="s">
        <v>4271</v>
      </c>
      <c r="H23" s="54"/>
      <c r="I23" s="54" t="s">
        <v>4378</v>
      </c>
    </row>
    <row r="24" spans="1:9" x14ac:dyDescent="0.25">
      <c r="A24" s="53" t="s">
        <v>3713</v>
      </c>
      <c r="B24" s="52" t="s">
        <v>3735</v>
      </c>
      <c r="C24" s="108" t="s">
        <v>6459</v>
      </c>
      <c r="D24" s="57" t="s">
        <v>4063</v>
      </c>
      <c r="E24" s="56" t="s">
        <v>4064</v>
      </c>
      <c r="F24" s="56" t="s">
        <v>4065</v>
      </c>
      <c r="G24" s="56" t="s">
        <v>4066</v>
      </c>
      <c r="H24" s="54"/>
      <c r="I24" s="54" t="s">
        <v>4342</v>
      </c>
    </row>
    <row r="25" spans="1:9" x14ac:dyDescent="0.25">
      <c r="A25" s="53" t="s">
        <v>7138</v>
      </c>
      <c r="B25" s="52" t="s">
        <v>7137</v>
      </c>
      <c r="C25" s="108" t="s">
        <v>6595</v>
      </c>
      <c r="D25" s="57" t="s">
        <v>7139</v>
      </c>
      <c r="E25" s="56" t="s">
        <v>7140</v>
      </c>
      <c r="F25" s="56" t="s">
        <v>7141</v>
      </c>
      <c r="G25" s="56" t="s">
        <v>7142</v>
      </c>
      <c r="H25" s="54"/>
      <c r="I25" s="54" t="s">
        <v>4557</v>
      </c>
    </row>
    <row r="26" spans="1:9" x14ac:dyDescent="0.25">
      <c r="A26" s="53" t="s">
        <v>2502</v>
      </c>
      <c r="B26" s="52" t="s">
        <v>7675</v>
      </c>
      <c r="C26" s="108" t="s">
        <v>6703</v>
      </c>
      <c r="D26" s="57" t="s">
        <v>7671</v>
      </c>
      <c r="E26" s="56" t="s">
        <v>7672</v>
      </c>
      <c r="F26" s="56" t="s">
        <v>7673</v>
      </c>
      <c r="G26" s="56" t="s">
        <v>7674</v>
      </c>
      <c r="H26" s="54"/>
      <c r="I26" s="54" t="s">
        <v>4657</v>
      </c>
    </row>
    <row r="27" spans="1:9" x14ac:dyDescent="0.25">
      <c r="A27" s="53" t="s">
        <v>2442</v>
      </c>
      <c r="B27" s="52" t="s">
        <v>7984</v>
      </c>
      <c r="C27" s="108" t="s">
        <v>6791</v>
      </c>
      <c r="D27" s="57" t="s">
        <v>7985</v>
      </c>
      <c r="E27" s="56" t="s">
        <v>7986</v>
      </c>
      <c r="F27" s="56" t="s">
        <v>7987</v>
      </c>
      <c r="G27" s="56" t="s">
        <v>7988</v>
      </c>
      <c r="H27" s="54"/>
      <c r="I27" s="54" t="s">
        <v>4740</v>
      </c>
    </row>
    <row r="28" spans="1:9" x14ac:dyDescent="0.25">
      <c r="A28" s="53" t="s">
        <v>2502</v>
      </c>
      <c r="B28" s="52" t="s">
        <v>7019</v>
      </c>
      <c r="C28" s="108" t="s">
        <v>6574</v>
      </c>
      <c r="D28" s="57" t="s">
        <v>7020</v>
      </c>
      <c r="E28" s="56" t="s">
        <v>7021</v>
      </c>
      <c r="F28" s="56" t="s">
        <v>7022</v>
      </c>
      <c r="G28" s="56" t="s">
        <v>7023</v>
      </c>
      <c r="H28" s="54"/>
      <c r="I28" s="54" t="s">
        <v>4543</v>
      </c>
    </row>
    <row r="29" spans="1:9" x14ac:dyDescent="0.25">
      <c r="A29" s="53" t="s">
        <v>3713</v>
      </c>
      <c r="B29" s="52" t="s">
        <v>4482</v>
      </c>
      <c r="C29" s="108" t="s">
        <v>2676</v>
      </c>
      <c r="D29" s="57" t="s">
        <v>4483</v>
      </c>
      <c r="E29" s="56" t="s">
        <v>4484</v>
      </c>
      <c r="F29" s="56" t="s">
        <v>4485</v>
      </c>
      <c r="G29" s="56" t="s">
        <v>4486</v>
      </c>
      <c r="H29" s="54"/>
      <c r="I29" s="54" t="s">
        <v>4509</v>
      </c>
    </row>
    <row r="30" spans="1:9" x14ac:dyDescent="0.25">
      <c r="A30" s="53" t="s">
        <v>7312</v>
      </c>
      <c r="B30" s="52" t="s">
        <v>7536</v>
      </c>
      <c r="C30" s="108" t="s">
        <v>6680</v>
      </c>
      <c r="D30" s="57" t="s">
        <v>7537</v>
      </c>
      <c r="E30" s="56" t="s">
        <v>7538</v>
      </c>
      <c r="F30" s="56" t="s">
        <v>7539</v>
      </c>
      <c r="G30" s="56" t="s">
        <v>7540</v>
      </c>
      <c r="H30" s="54"/>
      <c r="I30" s="54" t="s">
        <v>4636</v>
      </c>
    </row>
    <row r="31" spans="1:9" x14ac:dyDescent="0.25">
      <c r="A31" s="53" t="s">
        <v>4131</v>
      </c>
      <c r="B31" s="109" t="s">
        <v>7044</v>
      </c>
      <c r="C31" s="108" t="s">
        <v>6579</v>
      </c>
      <c r="D31" s="57" t="s">
        <v>7045</v>
      </c>
      <c r="E31" s="56" t="s">
        <v>7046</v>
      </c>
      <c r="F31" s="56" t="s">
        <v>7047</v>
      </c>
      <c r="G31" s="56" t="s">
        <v>7048</v>
      </c>
      <c r="H31" s="54"/>
      <c r="I31" s="54"/>
    </row>
    <row r="32" spans="1:9" x14ac:dyDescent="0.25">
      <c r="A32" s="53" t="s">
        <v>4131</v>
      </c>
      <c r="B32" s="109" t="s">
        <v>7107</v>
      </c>
      <c r="C32" s="108" t="s">
        <v>7106</v>
      </c>
      <c r="D32" s="57" t="s">
        <v>7108</v>
      </c>
      <c r="E32" s="56" t="s">
        <v>7109</v>
      </c>
      <c r="F32" s="56" t="s">
        <v>7110</v>
      </c>
      <c r="G32" s="56" t="s">
        <v>7111</v>
      </c>
      <c r="H32" s="54"/>
      <c r="I32" s="54"/>
    </row>
    <row r="33" spans="1:9" x14ac:dyDescent="0.25">
      <c r="A33" s="53" t="s">
        <v>2502</v>
      </c>
      <c r="B33" s="109" t="s">
        <v>6985</v>
      </c>
      <c r="C33" s="108" t="s">
        <v>6539</v>
      </c>
      <c r="D33" s="57" t="s">
        <v>6984</v>
      </c>
      <c r="E33" s="56" t="s">
        <v>6977</v>
      </c>
      <c r="F33" s="56" t="s">
        <v>6978</v>
      </c>
      <c r="G33" s="56" t="s">
        <v>6979</v>
      </c>
      <c r="H33" s="54"/>
      <c r="I33" s="54"/>
    </row>
    <row r="34" spans="1:9" x14ac:dyDescent="0.25">
      <c r="A34" s="53" t="s">
        <v>2502</v>
      </c>
      <c r="B34" s="52" t="s">
        <v>4175</v>
      </c>
      <c r="C34" s="108" t="s">
        <v>6516</v>
      </c>
      <c r="D34" s="57" t="s">
        <v>4167</v>
      </c>
      <c r="E34" s="56" t="s">
        <v>4235</v>
      </c>
      <c r="F34" s="56" t="s">
        <v>4234</v>
      </c>
      <c r="G34" s="56" t="s">
        <v>4233</v>
      </c>
      <c r="H34" s="54"/>
      <c r="I34" s="54" t="s">
        <v>4390</v>
      </c>
    </row>
    <row r="35" spans="1:9" x14ac:dyDescent="0.25">
      <c r="A35" s="53" t="s">
        <v>2502</v>
      </c>
      <c r="B35" s="52" t="s">
        <v>4175</v>
      </c>
      <c r="C35" s="108" t="s">
        <v>2665</v>
      </c>
      <c r="D35" s="57" t="s">
        <v>4451</v>
      </c>
      <c r="E35" s="56" t="s">
        <v>4452</v>
      </c>
      <c r="F35" s="56" t="s">
        <v>4453</v>
      </c>
      <c r="G35" s="56" t="s">
        <v>4454</v>
      </c>
      <c r="H35" s="54"/>
      <c r="I35" s="54" t="s">
        <v>4502</v>
      </c>
    </row>
    <row r="36" spans="1:9" x14ac:dyDescent="0.25">
      <c r="A36" s="53" t="s">
        <v>3713</v>
      </c>
      <c r="B36" s="52" t="s">
        <v>7269</v>
      </c>
      <c r="C36" s="108" t="s">
        <v>6624</v>
      </c>
      <c r="D36" s="57" t="s">
        <v>7270</v>
      </c>
      <c r="E36" s="56" t="s">
        <v>7271</v>
      </c>
      <c r="F36" s="56" t="s">
        <v>7272</v>
      </c>
      <c r="G36" s="56" t="s">
        <v>7273</v>
      </c>
      <c r="H36" s="54"/>
      <c r="I36" s="54" t="s">
        <v>4582</v>
      </c>
    </row>
    <row r="37" spans="1:9" x14ac:dyDescent="0.25">
      <c r="A37" s="53" t="s">
        <v>7152</v>
      </c>
      <c r="B37" s="52" t="s">
        <v>7151</v>
      </c>
      <c r="C37" s="108" t="s">
        <v>6599</v>
      </c>
      <c r="D37" s="57" t="s">
        <v>7153</v>
      </c>
      <c r="E37" s="56" t="s">
        <v>7154</v>
      </c>
      <c r="F37" s="56" t="s">
        <v>7155</v>
      </c>
      <c r="G37" s="56" t="s">
        <v>7156</v>
      </c>
      <c r="H37" s="54"/>
      <c r="I37" s="54" t="s">
        <v>4560</v>
      </c>
    </row>
    <row r="38" spans="1:9" x14ac:dyDescent="0.25">
      <c r="A38" s="53" t="s">
        <v>4890</v>
      </c>
      <c r="B38" s="52" t="s">
        <v>4891</v>
      </c>
      <c r="C38" s="108" t="s">
        <v>6725</v>
      </c>
      <c r="D38" s="57" t="s">
        <v>4892</v>
      </c>
      <c r="E38" s="56" t="s">
        <v>4893</v>
      </c>
      <c r="F38" s="56" t="s">
        <v>4894</v>
      </c>
      <c r="G38" s="56" t="s">
        <v>4895</v>
      </c>
      <c r="H38" s="54"/>
      <c r="I38" s="54" t="s">
        <v>4678</v>
      </c>
    </row>
    <row r="39" spans="1:9" x14ac:dyDescent="0.25">
      <c r="A39" s="53" t="s">
        <v>3641</v>
      </c>
      <c r="B39" s="52" t="s">
        <v>3650</v>
      </c>
      <c r="C39" s="108" t="s">
        <v>3644</v>
      </c>
      <c r="D39" s="57" t="s">
        <v>3652</v>
      </c>
      <c r="E39" s="56" t="s">
        <v>3654</v>
      </c>
      <c r="F39" s="56" t="s">
        <v>3656</v>
      </c>
      <c r="G39" s="56" t="s">
        <v>3657</v>
      </c>
      <c r="H39" s="54"/>
      <c r="I39" s="54" t="s">
        <v>3762</v>
      </c>
    </row>
    <row r="40" spans="1:9" x14ac:dyDescent="0.25">
      <c r="A40" s="53" t="s">
        <v>3711</v>
      </c>
      <c r="B40" s="52" t="s">
        <v>3736</v>
      </c>
      <c r="C40" s="108" t="s">
        <v>2680</v>
      </c>
      <c r="D40" s="57" t="s">
        <v>4793</v>
      </c>
      <c r="E40" s="56" t="s">
        <v>4794</v>
      </c>
      <c r="F40" s="56" t="s">
        <v>4795</v>
      </c>
      <c r="G40" s="56" t="s">
        <v>4796</v>
      </c>
      <c r="H40" s="54"/>
      <c r="I40" s="54" t="s">
        <v>4512</v>
      </c>
    </row>
    <row r="41" spans="1:9" x14ac:dyDescent="0.25">
      <c r="A41" s="53" t="s">
        <v>4131</v>
      </c>
      <c r="B41" s="52" t="s">
        <v>3736</v>
      </c>
      <c r="C41" s="108" t="s">
        <v>6472</v>
      </c>
      <c r="D41" s="57" t="s">
        <v>4132</v>
      </c>
      <c r="E41" s="56" t="s">
        <v>4133</v>
      </c>
      <c r="F41" s="56" t="s">
        <v>4134</v>
      </c>
      <c r="G41" s="56" t="s">
        <v>4135</v>
      </c>
      <c r="H41" s="54"/>
      <c r="I41" s="54" t="s">
        <v>4358</v>
      </c>
    </row>
    <row r="42" spans="1:9" x14ac:dyDescent="0.25">
      <c r="A42" s="58" t="s">
        <v>3711</v>
      </c>
      <c r="B42" s="59" t="s">
        <v>3736</v>
      </c>
      <c r="C42" s="128" t="s">
        <v>3277</v>
      </c>
      <c r="D42" s="61" t="s">
        <v>3811</v>
      </c>
      <c r="E42" s="60" t="s">
        <v>3843</v>
      </c>
      <c r="F42" s="60" t="s">
        <v>3949</v>
      </c>
      <c r="G42" s="60" t="s">
        <v>3950</v>
      </c>
      <c r="H42" s="54"/>
      <c r="I42" s="54" t="s">
        <v>3987</v>
      </c>
    </row>
    <row r="43" spans="1:9" x14ac:dyDescent="0.25">
      <c r="A43" s="53" t="s">
        <v>3711</v>
      </c>
      <c r="B43" s="52" t="s">
        <v>3736</v>
      </c>
      <c r="C43" s="108" t="s">
        <v>4114</v>
      </c>
      <c r="D43" s="57" t="s">
        <v>4115</v>
      </c>
      <c r="E43" s="56" t="s">
        <v>4116</v>
      </c>
      <c r="F43" s="56" t="s">
        <v>4117</v>
      </c>
      <c r="G43" s="56" t="s">
        <v>4118</v>
      </c>
      <c r="H43" s="54"/>
      <c r="I43" s="54" t="s">
        <v>4354</v>
      </c>
    </row>
    <row r="44" spans="1:9" x14ac:dyDescent="0.25">
      <c r="A44" s="53" t="s">
        <v>4131</v>
      </c>
      <c r="B44" s="52" t="s">
        <v>3736</v>
      </c>
      <c r="C44" s="108" t="s">
        <v>6522</v>
      </c>
      <c r="D44" s="57" t="s">
        <v>4171</v>
      </c>
      <c r="E44" s="56" t="s">
        <v>4221</v>
      </c>
      <c r="F44" s="56" t="s">
        <v>4222</v>
      </c>
      <c r="G44" s="56" t="s">
        <v>4223</v>
      </c>
      <c r="H44" s="54"/>
      <c r="I44" s="54" t="s">
        <v>4394</v>
      </c>
    </row>
    <row r="45" spans="1:9" x14ac:dyDescent="0.25">
      <c r="A45" s="53" t="s">
        <v>4131</v>
      </c>
      <c r="B45" s="52" t="s">
        <v>3736</v>
      </c>
      <c r="C45" s="108" t="s">
        <v>6523</v>
      </c>
      <c r="D45" s="57" t="s">
        <v>4172</v>
      </c>
      <c r="E45" s="56" t="s">
        <v>4220</v>
      </c>
      <c r="F45" s="56" t="s">
        <v>4219</v>
      </c>
      <c r="G45" s="56" t="s">
        <v>4218</v>
      </c>
      <c r="H45" s="54"/>
      <c r="I45" s="54" t="s">
        <v>4395</v>
      </c>
    </row>
    <row r="46" spans="1:9" x14ac:dyDescent="0.25">
      <c r="A46" s="53" t="s">
        <v>3711</v>
      </c>
      <c r="B46" s="52" t="s">
        <v>3736</v>
      </c>
      <c r="C46" s="108" t="s">
        <v>6643</v>
      </c>
      <c r="D46" s="57" t="s">
        <v>3716</v>
      </c>
      <c r="E46" s="56" t="s">
        <v>3742</v>
      </c>
      <c r="F46" s="56" t="s">
        <v>3746</v>
      </c>
      <c r="G46" s="56" t="s">
        <v>3754</v>
      </c>
      <c r="H46" s="54"/>
      <c r="I46" s="54" t="s">
        <v>3770</v>
      </c>
    </row>
    <row r="47" spans="1:9" x14ac:dyDescent="0.25">
      <c r="A47" s="53" t="s">
        <v>2502</v>
      </c>
      <c r="B47" s="52" t="s">
        <v>4042</v>
      </c>
      <c r="C47" s="108" t="s">
        <v>6453</v>
      </c>
      <c r="D47" s="57" t="s">
        <v>4043</v>
      </c>
      <c r="E47" s="56" t="s">
        <v>4044</v>
      </c>
      <c r="F47" s="56" t="s">
        <v>4045</v>
      </c>
      <c r="G47" s="56" t="s">
        <v>4046</v>
      </c>
      <c r="H47" s="54"/>
      <c r="I47" s="54" t="s">
        <v>4337</v>
      </c>
    </row>
    <row r="48" spans="1:9" x14ac:dyDescent="0.25">
      <c r="A48" s="53" t="s">
        <v>2502</v>
      </c>
      <c r="B48" s="52" t="s">
        <v>4819</v>
      </c>
      <c r="C48" s="108" t="s">
        <v>2691</v>
      </c>
      <c r="D48" s="57" t="s">
        <v>4831</v>
      </c>
      <c r="E48" s="56" t="s">
        <v>4832</v>
      </c>
      <c r="F48" s="56" t="s">
        <v>4833</v>
      </c>
      <c r="G48" s="56" t="s">
        <v>4834</v>
      </c>
      <c r="H48" s="54"/>
      <c r="I48" s="54" t="s">
        <v>4520</v>
      </c>
    </row>
    <row r="49" spans="1:9" x14ac:dyDescent="0.25">
      <c r="A49" s="53" t="s">
        <v>2502</v>
      </c>
      <c r="B49" s="52" t="s">
        <v>4819</v>
      </c>
      <c r="C49" s="108" t="s">
        <v>6543</v>
      </c>
      <c r="D49" s="57" t="s">
        <v>4818</v>
      </c>
      <c r="E49" s="56" t="s">
        <v>4820</v>
      </c>
      <c r="F49" s="56" t="s">
        <v>4821</v>
      </c>
      <c r="G49" s="56" t="s">
        <v>4822</v>
      </c>
      <c r="H49" s="54"/>
      <c r="I49" s="54" t="s">
        <v>4517</v>
      </c>
    </row>
    <row r="50" spans="1:9" x14ac:dyDescent="0.25">
      <c r="A50" s="53" t="s">
        <v>3713</v>
      </c>
      <c r="B50" s="52" t="s">
        <v>7483</v>
      </c>
      <c r="C50" s="108" t="s">
        <v>6669</v>
      </c>
      <c r="D50" s="57" t="s">
        <v>7484</v>
      </c>
      <c r="E50" s="56" t="s">
        <v>7499</v>
      </c>
      <c r="F50" s="56" t="s">
        <v>7500</v>
      </c>
      <c r="G50" s="56" t="s">
        <v>7501</v>
      </c>
      <c r="H50" s="54"/>
      <c r="I50" s="54" t="s">
        <v>4625</v>
      </c>
    </row>
    <row r="51" spans="1:9" x14ac:dyDescent="0.25">
      <c r="A51" s="53" t="s">
        <v>2442</v>
      </c>
      <c r="B51" s="52" t="s">
        <v>7580</v>
      </c>
      <c r="C51" s="108" t="s">
        <v>6685</v>
      </c>
      <c r="D51" s="57" t="s">
        <v>7581</v>
      </c>
      <c r="E51" s="56" t="s">
        <v>7582</v>
      </c>
      <c r="F51" s="56" t="s">
        <v>7583</v>
      </c>
      <c r="G51" s="56" t="s">
        <v>7584</v>
      </c>
      <c r="H51" s="54"/>
      <c r="I51" s="54" t="s">
        <v>4641</v>
      </c>
    </row>
    <row r="52" spans="1:9" x14ac:dyDescent="0.25">
      <c r="A52" s="53" t="s">
        <v>7575</v>
      </c>
      <c r="B52" s="52" t="s">
        <v>7574</v>
      </c>
      <c r="C52" s="108" t="s">
        <v>6688</v>
      </c>
      <c r="D52" s="57" t="s">
        <v>7576</v>
      </c>
      <c r="E52" s="56" t="s">
        <v>7577</v>
      </c>
      <c r="F52" s="56" t="s">
        <v>7578</v>
      </c>
      <c r="G52" s="56" t="s">
        <v>7579</v>
      </c>
      <c r="H52" s="54"/>
      <c r="I52" s="54" t="s">
        <v>4644</v>
      </c>
    </row>
    <row r="53" spans="1:9" x14ac:dyDescent="0.25">
      <c r="A53" s="53" t="s">
        <v>2442</v>
      </c>
      <c r="B53" s="52" t="s">
        <v>4906</v>
      </c>
      <c r="C53" s="108" t="s">
        <v>6757</v>
      </c>
      <c r="D53" s="57" t="s">
        <v>4907</v>
      </c>
      <c r="E53" s="56" t="s">
        <v>4908</v>
      </c>
      <c r="F53" s="56" t="s">
        <v>4909</v>
      </c>
      <c r="G53" s="56" t="s">
        <v>4910</v>
      </c>
      <c r="H53" s="54"/>
      <c r="I53" s="54" t="s">
        <v>4708</v>
      </c>
    </row>
    <row r="54" spans="1:9" x14ac:dyDescent="0.25">
      <c r="A54" s="53" t="s">
        <v>2502</v>
      </c>
      <c r="B54" s="52" t="s">
        <v>7964</v>
      </c>
      <c r="C54" s="108" t="s">
        <v>7969</v>
      </c>
      <c r="D54" s="57" t="s">
        <v>7965</v>
      </c>
      <c r="E54" s="56" t="s">
        <v>7966</v>
      </c>
      <c r="F54" s="56" t="s">
        <v>7967</v>
      </c>
      <c r="G54" s="56" t="s">
        <v>7968</v>
      </c>
      <c r="H54" s="54"/>
      <c r="I54" s="54" t="s">
        <v>4736</v>
      </c>
    </row>
    <row r="55" spans="1:9" x14ac:dyDescent="0.25">
      <c r="A55" s="53" t="s">
        <v>7830</v>
      </c>
      <c r="B55" s="52" t="s">
        <v>7829</v>
      </c>
      <c r="C55" s="108" t="s">
        <v>6745</v>
      </c>
      <c r="D55" s="57" t="s">
        <v>7831</v>
      </c>
      <c r="E55" s="56" t="s">
        <v>7832</v>
      </c>
      <c r="F55" s="56" t="s">
        <v>7833</v>
      </c>
      <c r="G55" s="56" t="s">
        <v>7834</v>
      </c>
      <c r="H55" s="54"/>
      <c r="I55" s="54" t="s">
        <v>4698</v>
      </c>
    </row>
    <row r="56" spans="1:9" x14ac:dyDescent="0.25">
      <c r="A56" s="53" t="s">
        <v>2517</v>
      </c>
      <c r="B56" s="52" t="s">
        <v>2518</v>
      </c>
      <c r="C56" s="108" t="s">
        <v>3635</v>
      </c>
      <c r="D56" s="57" t="s">
        <v>3637</v>
      </c>
      <c r="E56" s="56" t="s">
        <v>3638</v>
      </c>
      <c r="F56" s="56" t="s">
        <v>3632</v>
      </c>
      <c r="G56" s="56" t="s">
        <v>3634</v>
      </c>
      <c r="H56" s="54"/>
      <c r="I56" s="54" t="s">
        <v>3761</v>
      </c>
    </row>
    <row r="57" spans="1:9" ht="204" x14ac:dyDescent="0.25">
      <c r="A57" s="53" t="s">
        <v>2517</v>
      </c>
      <c r="B57" s="52" t="s">
        <v>7767</v>
      </c>
      <c r="C57" s="108" t="s">
        <v>6731</v>
      </c>
      <c r="D57" s="133" t="s">
        <v>7768</v>
      </c>
      <c r="E57" s="69" t="s">
        <v>7769</v>
      </c>
      <c r="F57" s="69" t="s">
        <v>7770</v>
      </c>
      <c r="G57" s="69" t="s">
        <v>7771</v>
      </c>
      <c r="H57" s="54"/>
      <c r="I57" s="54" t="s">
        <v>4684</v>
      </c>
    </row>
    <row r="58" spans="1:9" x14ac:dyDescent="0.25">
      <c r="A58" s="53" t="s">
        <v>2502</v>
      </c>
      <c r="B58" s="52" t="s">
        <v>7886</v>
      </c>
      <c r="C58" s="108" t="s">
        <v>6759</v>
      </c>
      <c r="D58" s="57" t="s">
        <v>7887</v>
      </c>
      <c r="E58" s="56" t="s">
        <v>7888</v>
      </c>
      <c r="F58" s="56" t="s">
        <v>7889</v>
      </c>
      <c r="G58" s="56" t="s">
        <v>7890</v>
      </c>
      <c r="H58" s="54"/>
      <c r="I58" s="54" t="s">
        <v>4710</v>
      </c>
    </row>
    <row r="59" spans="1:9" x14ac:dyDescent="0.25">
      <c r="A59" s="53" t="s">
        <v>2502</v>
      </c>
      <c r="B59" s="52" t="s">
        <v>7954</v>
      </c>
      <c r="C59" s="108" t="s">
        <v>6779</v>
      </c>
      <c r="D59" s="57" t="s">
        <v>7955</v>
      </c>
      <c r="E59" s="56" t="s">
        <v>7956</v>
      </c>
      <c r="F59" s="56" t="s">
        <v>7957</v>
      </c>
      <c r="G59" s="56" t="s">
        <v>7958</v>
      </c>
      <c r="H59" s="54"/>
      <c r="I59" s="54" t="s">
        <v>4730</v>
      </c>
    </row>
    <row r="60" spans="1:9" x14ac:dyDescent="0.25">
      <c r="A60" s="53" t="s">
        <v>3717</v>
      </c>
      <c r="B60" s="52" t="s">
        <v>7632</v>
      </c>
      <c r="C60" s="108" t="s">
        <v>6701</v>
      </c>
      <c r="D60" s="57" t="s">
        <v>7633</v>
      </c>
      <c r="E60" s="56" t="s">
        <v>7634</v>
      </c>
      <c r="F60" s="56" t="s">
        <v>7635</v>
      </c>
      <c r="G60" s="56" t="s">
        <v>7636</v>
      </c>
      <c r="H60" s="54"/>
      <c r="I60" s="54" t="s">
        <v>4655</v>
      </c>
    </row>
    <row r="61" spans="1:9" x14ac:dyDescent="0.25">
      <c r="A61" s="53" t="s">
        <v>2502</v>
      </c>
      <c r="B61" s="52" t="s">
        <v>4850</v>
      </c>
      <c r="C61" s="108" t="s">
        <v>6551</v>
      </c>
      <c r="D61" s="57" t="s">
        <v>4846</v>
      </c>
      <c r="E61" s="56" t="s">
        <v>4847</v>
      </c>
      <c r="F61" s="56" t="s">
        <v>4848</v>
      </c>
      <c r="G61" s="56" t="s">
        <v>4849</v>
      </c>
      <c r="H61" s="54"/>
      <c r="I61" s="54" t="s">
        <v>4523</v>
      </c>
    </row>
    <row r="62" spans="1:9" x14ac:dyDescent="0.25">
      <c r="A62" s="58" t="s">
        <v>3712</v>
      </c>
      <c r="B62" s="59" t="s">
        <v>3725</v>
      </c>
      <c r="C62" s="108" t="s">
        <v>6835</v>
      </c>
      <c r="D62" s="61" t="s">
        <v>3815</v>
      </c>
      <c r="E62" s="60" t="s">
        <v>3847</v>
      </c>
      <c r="F62" s="60" t="s">
        <v>3941</v>
      </c>
      <c r="G62" s="60" t="s">
        <v>3942</v>
      </c>
      <c r="H62" s="54"/>
      <c r="I62" s="54" t="s">
        <v>3991</v>
      </c>
    </row>
    <row r="63" spans="1:9" x14ac:dyDescent="0.25">
      <c r="A63" s="53" t="s">
        <v>4802</v>
      </c>
      <c r="B63" s="52" t="s">
        <v>4803</v>
      </c>
      <c r="C63" s="108" t="s">
        <v>6540</v>
      </c>
      <c r="D63" s="57" t="s">
        <v>4807</v>
      </c>
      <c r="E63" s="56" t="s">
        <v>4804</v>
      </c>
      <c r="F63" s="56" t="s">
        <v>4805</v>
      </c>
      <c r="G63" s="56" t="s">
        <v>4806</v>
      </c>
      <c r="H63" s="54"/>
      <c r="I63" s="54" t="s">
        <v>4514</v>
      </c>
    </row>
    <row r="64" spans="1:9" x14ac:dyDescent="0.25">
      <c r="A64" s="53" t="s">
        <v>3717</v>
      </c>
      <c r="B64" s="52" t="s">
        <v>7647</v>
      </c>
      <c r="C64" s="108" t="s">
        <v>6704</v>
      </c>
      <c r="D64" s="57" t="s">
        <v>7648</v>
      </c>
      <c r="E64" s="56" t="s">
        <v>7649</v>
      </c>
      <c r="F64" s="56" t="s">
        <v>7650</v>
      </c>
      <c r="G64" s="56" t="s">
        <v>7651</v>
      </c>
      <c r="H64" s="54"/>
      <c r="I64" s="54" t="s">
        <v>4658</v>
      </c>
    </row>
    <row r="65" spans="1:9" x14ac:dyDescent="0.25">
      <c r="A65" s="53" t="s">
        <v>3713</v>
      </c>
      <c r="B65" s="52" t="s">
        <v>7804</v>
      </c>
      <c r="C65" s="108" t="s">
        <v>6740</v>
      </c>
      <c r="D65" s="57" t="s">
        <v>7805</v>
      </c>
      <c r="E65" s="56" t="s">
        <v>7806</v>
      </c>
      <c r="F65" s="56" t="s">
        <v>7807</v>
      </c>
      <c r="G65" s="56" t="s">
        <v>7808</v>
      </c>
      <c r="H65" s="54"/>
      <c r="I65" s="54" t="s">
        <v>4693</v>
      </c>
    </row>
    <row r="66" spans="1:9" x14ac:dyDescent="0.25">
      <c r="A66" s="53" t="s">
        <v>3658</v>
      </c>
      <c r="B66" s="52" t="s">
        <v>7710</v>
      </c>
      <c r="C66" s="108" t="s">
        <v>6713</v>
      </c>
      <c r="D66" s="57" t="s">
        <v>7711</v>
      </c>
      <c r="E66" s="56" t="s">
        <v>7712</v>
      </c>
      <c r="F66" s="56" t="s">
        <v>7713</v>
      </c>
      <c r="G66" s="56" t="s">
        <v>7714</v>
      </c>
      <c r="H66" s="54"/>
      <c r="I66" s="54" t="s">
        <v>4668</v>
      </c>
    </row>
    <row r="67" spans="1:9" x14ac:dyDescent="0.25">
      <c r="A67" s="53" t="s">
        <v>3658</v>
      </c>
      <c r="B67" s="109" t="s">
        <v>6956</v>
      </c>
      <c r="C67" s="108" t="s">
        <v>6511</v>
      </c>
      <c r="D67" s="57" t="s">
        <v>6957</v>
      </c>
      <c r="E67" s="56" t="s">
        <v>6958</v>
      </c>
      <c r="F67" s="56" t="s">
        <v>6959</v>
      </c>
      <c r="G67" s="56" t="s">
        <v>6960</v>
      </c>
      <c r="H67" s="54"/>
      <c r="I67" s="54"/>
    </row>
    <row r="68" spans="1:9" x14ac:dyDescent="0.25">
      <c r="A68" s="53" t="s">
        <v>3658</v>
      </c>
      <c r="B68" s="52" t="s">
        <v>7720</v>
      </c>
      <c r="C68" s="108" t="s">
        <v>6717</v>
      </c>
      <c r="D68" s="57" t="s">
        <v>7721</v>
      </c>
      <c r="E68" s="56" t="s">
        <v>7722</v>
      </c>
      <c r="F68" s="56" t="s">
        <v>7723</v>
      </c>
      <c r="G68" s="56" t="s">
        <v>7724</v>
      </c>
      <c r="H68" s="54"/>
      <c r="I68" s="54" t="s">
        <v>4672</v>
      </c>
    </row>
    <row r="69" spans="1:9" x14ac:dyDescent="0.25">
      <c r="A69" s="53" t="s">
        <v>2502</v>
      </c>
      <c r="B69" s="52" t="s">
        <v>7959</v>
      </c>
      <c r="C69" s="108" t="s">
        <v>6785</v>
      </c>
      <c r="D69" s="57" t="s">
        <v>7960</v>
      </c>
      <c r="E69" s="56" t="s">
        <v>7961</v>
      </c>
      <c r="F69" s="56" t="s">
        <v>7962</v>
      </c>
      <c r="G69" s="56" t="s">
        <v>7963</v>
      </c>
      <c r="H69" s="54"/>
      <c r="I69" s="54" t="s">
        <v>4734</v>
      </c>
    </row>
    <row r="70" spans="1:9" x14ac:dyDescent="0.25">
      <c r="A70" s="53" t="s">
        <v>2502</v>
      </c>
      <c r="B70" s="52" t="s">
        <v>7262</v>
      </c>
      <c r="C70" s="108" t="s">
        <v>6622</v>
      </c>
      <c r="D70" s="57" t="s">
        <v>7261</v>
      </c>
      <c r="E70" s="56" t="s">
        <v>7263</v>
      </c>
      <c r="F70" s="56" t="s">
        <v>7264</v>
      </c>
      <c r="G70" s="56" t="s">
        <v>7265</v>
      </c>
      <c r="H70" s="54"/>
      <c r="I70" s="54" t="s">
        <v>4580</v>
      </c>
    </row>
    <row r="71" spans="1:9" x14ac:dyDescent="0.25">
      <c r="A71" s="53" t="s">
        <v>2502</v>
      </c>
      <c r="B71" s="52" t="s">
        <v>7824</v>
      </c>
      <c r="C71" s="130" t="s">
        <v>6744</v>
      </c>
      <c r="D71" s="57" t="s">
        <v>7825</v>
      </c>
      <c r="E71" s="56" t="s">
        <v>7826</v>
      </c>
      <c r="F71" s="56" t="s">
        <v>7827</v>
      </c>
      <c r="G71" s="56" t="s">
        <v>7828</v>
      </c>
      <c r="H71" s="54"/>
      <c r="I71" s="54" t="s">
        <v>4697</v>
      </c>
    </row>
    <row r="72" spans="1:9" x14ac:dyDescent="0.25">
      <c r="A72" s="53" t="s">
        <v>2502</v>
      </c>
      <c r="B72" s="52" t="s">
        <v>8014</v>
      </c>
      <c r="C72" s="108" t="s">
        <v>6798</v>
      </c>
      <c r="D72" s="57" t="s">
        <v>8015</v>
      </c>
      <c r="E72" s="56" t="s">
        <v>8016</v>
      </c>
      <c r="F72" s="56" t="s">
        <v>8017</v>
      </c>
      <c r="G72" s="56" t="s">
        <v>8018</v>
      </c>
      <c r="H72" s="54"/>
      <c r="I72" s="54" t="s">
        <v>4747</v>
      </c>
    </row>
    <row r="73" spans="1:9" x14ac:dyDescent="0.25">
      <c r="A73" s="53" t="s">
        <v>2502</v>
      </c>
      <c r="B73" s="52" t="s">
        <v>4866</v>
      </c>
      <c r="C73" s="108" t="s">
        <v>6556</v>
      </c>
      <c r="D73" s="57" t="s">
        <v>4867</v>
      </c>
      <c r="E73" s="56" t="s">
        <v>4868</v>
      </c>
      <c r="F73" s="56" t="s">
        <v>4868</v>
      </c>
      <c r="G73" s="56" t="s">
        <v>4869</v>
      </c>
      <c r="H73" s="54"/>
      <c r="I73" s="54" t="s">
        <v>4527</v>
      </c>
    </row>
    <row r="74" spans="1:9" x14ac:dyDescent="0.25">
      <c r="A74" s="53" t="s">
        <v>2502</v>
      </c>
      <c r="B74" s="109" t="s">
        <v>4866</v>
      </c>
      <c r="C74" s="108" t="s">
        <v>6550</v>
      </c>
      <c r="D74" s="57" t="s">
        <v>6996</v>
      </c>
      <c r="E74" s="56" t="s">
        <v>6997</v>
      </c>
      <c r="F74" s="56" t="s">
        <v>6998</v>
      </c>
      <c r="G74" s="56" t="s">
        <v>6999</v>
      </c>
      <c r="H74" s="54"/>
      <c r="I74" s="54"/>
    </row>
    <row r="75" spans="1:9" x14ac:dyDescent="0.25">
      <c r="A75" s="53" t="s">
        <v>2502</v>
      </c>
      <c r="B75" s="52" t="s">
        <v>7856</v>
      </c>
      <c r="C75" s="108" t="s">
        <v>6764</v>
      </c>
      <c r="D75" s="57" t="s">
        <v>7912</v>
      </c>
      <c r="E75" s="56" t="s">
        <v>7913</v>
      </c>
      <c r="F75" s="56" t="s">
        <v>7914</v>
      </c>
      <c r="G75" s="56" t="s">
        <v>7915</v>
      </c>
      <c r="H75" s="54"/>
      <c r="I75" s="54" t="s">
        <v>4715</v>
      </c>
    </row>
    <row r="76" spans="1:9" x14ac:dyDescent="0.25">
      <c r="A76" s="53" t="s">
        <v>2502</v>
      </c>
      <c r="B76" s="52" t="s">
        <v>4871</v>
      </c>
      <c r="C76" s="108" t="s">
        <v>6557</v>
      </c>
      <c r="D76" s="57" t="s">
        <v>4877</v>
      </c>
      <c r="E76" s="56" t="s">
        <v>4878</v>
      </c>
      <c r="F76" s="56" t="s">
        <v>4879</v>
      </c>
      <c r="G76" s="56" t="s">
        <v>4880</v>
      </c>
      <c r="H76" s="54"/>
      <c r="I76" s="54" t="s">
        <v>4529</v>
      </c>
    </row>
    <row r="77" spans="1:9" x14ac:dyDescent="0.25">
      <c r="A77" s="53" t="s">
        <v>2502</v>
      </c>
      <c r="B77" s="52" t="s">
        <v>4870</v>
      </c>
      <c r="C77" s="108" t="s">
        <v>2703</v>
      </c>
      <c r="D77" s="57" t="s">
        <v>4876</v>
      </c>
      <c r="E77" s="56" t="s">
        <v>4873</v>
      </c>
      <c r="F77" s="56" t="s">
        <v>4874</v>
      </c>
      <c r="G77" s="56" t="s">
        <v>4875</v>
      </c>
      <c r="H77" s="54"/>
      <c r="I77" s="54" t="s">
        <v>4528</v>
      </c>
    </row>
    <row r="78" spans="1:9" ht="357" x14ac:dyDescent="0.25">
      <c r="A78" s="53" t="s">
        <v>2502</v>
      </c>
      <c r="B78" s="52" t="s">
        <v>4870</v>
      </c>
      <c r="C78" s="108" t="s">
        <v>6756</v>
      </c>
      <c r="D78" s="57" t="s">
        <v>7877</v>
      </c>
      <c r="E78" s="56" t="s">
        <v>7878</v>
      </c>
      <c r="F78" s="56" t="s">
        <v>7879</v>
      </c>
      <c r="G78" s="56" t="s">
        <v>7880</v>
      </c>
      <c r="H78" s="134"/>
      <c r="I78" s="134" t="s">
        <v>4707</v>
      </c>
    </row>
    <row r="79" spans="1:9" x14ac:dyDescent="0.25">
      <c r="A79" s="53" t="s">
        <v>2502</v>
      </c>
      <c r="B79" s="52" t="s">
        <v>7509</v>
      </c>
      <c r="C79" s="108" t="s">
        <v>6674</v>
      </c>
      <c r="D79" s="57" t="s">
        <v>7510</v>
      </c>
      <c r="E79" s="56" t="s">
        <v>7511</v>
      </c>
      <c r="F79" s="56" t="s">
        <v>7511</v>
      </c>
      <c r="G79" s="56" t="s">
        <v>7512</v>
      </c>
      <c r="H79" s="54"/>
      <c r="I79" s="54" t="s">
        <v>4630</v>
      </c>
    </row>
    <row r="80" spans="1:9" x14ac:dyDescent="0.25">
      <c r="A80" s="53" t="s">
        <v>2502</v>
      </c>
      <c r="B80" s="109" t="s">
        <v>7384</v>
      </c>
      <c r="C80" s="108" t="s">
        <v>6649</v>
      </c>
      <c r="D80" s="57" t="s">
        <v>7385</v>
      </c>
      <c r="E80" s="56" t="s">
        <v>7386</v>
      </c>
      <c r="F80" s="56" t="s">
        <v>7386</v>
      </c>
      <c r="G80" s="56" t="s">
        <v>7387</v>
      </c>
      <c r="H80" s="54"/>
      <c r="I80" s="54"/>
    </row>
    <row r="81" spans="1:9" x14ac:dyDescent="0.25">
      <c r="A81" s="53" t="s">
        <v>2502</v>
      </c>
      <c r="B81" s="52" t="s">
        <v>7377</v>
      </c>
      <c r="C81" s="108" t="s">
        <v>6648</v>
      </c>
      <c r="D81" s="57" t="s">
        <v>7381</v>
      </c>
      <c r="E81" s="56" t="s">
        <v>7382</v>
      </c>
      <c r="F81" s="56" t="s">
        <v>7382</v>
      </c>
      <c r="G81" s="56" t="s">
        <v>7383</v>
      </c>
      <c r="H81" s="54"/>
      <c r="I81" s="54" t="s">
        <v>4604</v>
      </c>
    </row>
    <row r="82" spans="1:9" x14ac:dyDescent="0.25">
      <c r="A82" s="53" t="s">
        <v>2502</v>
      </c>
      <c r="B82" s="52" t="s">
        <v>7376</v>
      </c>
      <c r="C82" s="108" t="s">
        <v>6646</v>
      </c>
      <c r="D82" s="57" t="s">
        <v>7378</v>
      </c>
      <c r="E82" s="56" t="s">
        <v>7379</v>
      </c>
      <c r="F82" s="56" t="s">
        <v>7380</v>
      </c>
      <c r="G82" s="56" t="s">
        <v>7380</v>
      </c>
      <c r="H82" s="54"/>
      <c r="I82" s="54" t="s">
        <v>4602</v>
      </c>
    </row>
    <row r="83" spans="1:9" x14ac:dyDescent="0.25">
      <c r="A83" s="53" t="s">
        <v>2502</v>
      </c>
      <c r="B83" s="52" t="s">
        <v>7742</v>
      </c>
      <c r="C83" s="108" t="s">
        <v>6723</v>
      </c>
      <c r="D83" s="57" t="s">
        <v>7741</v>
      </c>
      <c r="E83" s="56" t="s">
        <v>7743</v>
      </c>
      <c r="F83" s="56" t="s">
        <v>7744</v>
      </c>
      <c r="G83" s="56" t="s">
        <v>7745</v>
      </c>
      <c r="H83" s="54"/>
      <c r="I83" s="54" t="s">
        <v>4676</v>
      </c>
    </row>
    <row r="84" spans="1:9" x14ac:dyDescent="0.25">
      <c r="A84" s="53" t="s">
        <v>2502</v>
      </c>
      <c r="B84" s="109" t="s">
        <v>6883</v>
      </c>
      <c r="C84" s="108" t="s">
        <v>6426</v>
      </c>
      <c r="D84" s="57" t="s">
        <v>6884</v>
      </c>
      <c r="E84" s="56" t="s">
        <v>6885</v>
      </c>
      <c r="F84" s="56" t="s">
        <v>6886</v>
      </c>
      <c r="G84" s="56" t="s">
        <v>6887</v>
      </c>
      <c r="H84" s="54"/>
      <c r="I84" s="54"/>
    </row>
    <row r="85" spans="1:9" x14ac:dyDescent="0.25">
      <c r="A85" s="53" t="s">
        <v>2502</v>
      </c>
      <c r="B85" s="52" t="s">
        <v>7085</v>
      </c>
      <c r="C85" s="108" t="s">
        <v>6596</v>
      </c>
      <c r="D85" s="57" t="s">
        <v>7143</v>
      </c>
      <c r="E85" s="56" t="s">
        <v>7144</v>
      </c>
      <c r="F85" s="56" t="s">
        <v>7145</v>
      </c>
      <c r="G85" s="56" t="s">
        <v>7146</v>
      </c>
      <c r="H85" s="54"/>
      <c r="I85" s="54" t="s">
        <v>4558</v>
      </c>
    </row>
    <row r="86" spans="1:9" x14ac:dyDescent="0.25">
      <c r="A86" s="53" t="s">
        <v>2502</v>
      </c>
      <c r="B86" s="109" t="s">
        <v>6934</v>
      </c>
      <c r="C86" s="108" t="s">
        <v>6496</v>
      </c>
      <c r="D86" s="57" t="s">
        <v>6935</v>
      </c>
      <c r="E86" s="56" t="s">
        <v>6936</v>
      </c>
      <c r="F86" s="56" t="s">
        <v>6937</v>
      </c>
      <c r="G86" s="56" t="s">
        <v>6938</v>
      </c>
      <c r="H86" s="54"/>
      <c r="I86" s="54"/>
    </row>
    <row r="87" spans="1:9" x14ac:dyDescent="0.25">
      <c r="A87" s="58" t="s">
        <v>3710</v>
      </c>
      <c r="B87" s="59" t="s">
        <v>3708</v>
      </c>
      <c r="C87" s="108" t="s">
        <v>6834</v>
      </c>
      <c r="D87" s="61" t="s">
        <v>3814</v>
      </c>
      <c r="E87" s="60" t="s">
        <v>3846</v>
      </c>
      <c r="F87" s="60" t="s">
        <v>3943</v>
      </c>
      <c r="G87" s="60" t="s">
        <v>3944</v>
      </c>
      <c r="H87" s="54"/>
      <c r="I87" s="54" t="s">
        <v>3990</v>
      </c>
    </row>
    <row r="88" spans="1:9" x14ac:dyDescent="0.25">
      <c r="A88" s="58" t="s">
        <v>3710</v>
      </c>
      <c r="B88" s="59" t="s">
        <v>3708</v>
      </c>
      <c r="C88" s="108" t="s">
        <v>6490</v>
      </c>
      <c r="D88" s="61" t="s">
        <v>4212</v>
      </c>
      <c r="E88" s="60" t="s">
        <v>3839</v>
      </c>
      <c r="F88" s="60" t="s">
        <v>3958</v>
      </c>
      <c r="G88" s="60" t="s">
        <v>3959</v>
      </c>
      <c r="H88" s="54"/>
      <c r="I88" s="54" t="s">
        <v>4331</v>
      </c>
    </row>
    <row r="89" spans="1:9" x14ac:dyDescent="0.25">
      <c r="A89" s="58" t="s">
        <v>2502</v>
      </c>
      <c r="B89" s="59" t="s">
        <v>3708</v>
      </c>
      <c r="C89" s="108" t="s">
        <v>6699</v>
      </c>
      <c r="D89" s="61" t="s">
        <v>3809</v>
      </c>
      <c r="E89" s="60" t="s">
        <v>3841</v>
      </c>
      <c r="F89" s="60" t="s">
        <v>3953</v>
      </c>
      <c r="G89" s="60" t="s">
        <v>3954</v>
      </c>
      <c r="H89" s="54"/>
      <c r="I89" s="54" t="s">
        <v>3985</v>
      </c>
    </row>
    <row r="90" spans="1:9" x14ac:dyDescent="0.25">
      <c r="A90" s="58" t="s">
        <v>3710</v>
      </c>
      <c r="B90" s="59" t="s">
        <v>3708</v>
      </c>
      <c r="C90" s="108" t="s">
        <v>6790</v>
      </c>
      <c r="D90" s="61" t="s">
        <v>3810</v>
      </c>
      <c r="E90" s="60" t="s">
        <v>3842</v>
      </c>
      <c r="F90" s="60" t="s">
        <v>3951</v>
      </c>
      <c r="G90" s="60" t="s">
        <v>3952</v>
      </c>
      <c r="H90" s="54"/>
      <c r="I90" s="54" t="s">
        <v>3986</v>
      </c>
    </row>
    <row r="91" spans="1:9" x14ac:dyDescent="0.25">
      <c r="A91" s="53" t="s">
        <v>2502</v>
      </c>
      <c r="B91" s="52" t="s">
        <v>4835</v>
      </c>
      <c r="C91" s="108" t="s">
        <v>6547</v>
      </c>
      <c r="D91" s="57" t="s">
        <v>4836</v>
      </c>
      <c r="E91" s="56" t="s">
        <v>4837</v>
      </c>
      <c r="F91" s="56" t="s">
        <v>4838</v>
      </c>
      <c r="G91" s="56" t="s">
        <v>4839</v>
      </c>
      <c r="H91" s="54"/>
      <c r="I91" s="54" t="s">
        <v>4521</v>
      </c>
    </row>
    <row r="92" spans="1:9" x14ac:dyDescent="0.25">
      <c r="A92" s="53" t="s">
        <v>2502</v>
      </c>
      <c r="B92" s="52" t="s">
        <v>4399</v>
      </c>
      <c r="C92" s="108" t="s">
        <v>6527</v>
      </c>
      <c r="D92" s="57" t="s">
        <v>4400</v>
      </c>
      <c r="E92" s="56" t="s">
        <v>4401</v>
      </c>
      <c r="F92" s="56" t="s">
        <v>4402</v>
      </c>
      <c r="G92" s="56" t="s">
        <v>4403</v>
      </c>
      <c r="H92" s="54"/>
      <c r="I92" s="54" t="s">
        <v>4491</v>
      </c>
    </row>
    <row r="93" spans="1:9" x14ac:dyDescent="0.25">
      <c r="A93" s="53" t="s">
        <v>2502</v>
      </c>
      <c r="B93" s="52" t="s">
        <v>4399</v>
      </c>
      <c r="C93" s="108" t="s">
        <v>6528</v>
      </c>
      <c r="D93" s="57" t="s">
        <v>4404</v>
      </c>
      <c r="E93" s="56" t="s">
        <v>4405</v>
      </c>
      <c r="F93" s="56" t="s">
        <v>4406</v>
      </c>
      <c r="G93" s="56" t="s">
        <v>4407</v>
      </c>
      <c r="H93" s="54"/>
      <c r="I93" s="54" t="s">
        <v>4492</v>
      </c>
    </row>
    <row r="94" spans="1:9" x14ac:dyDescent="0.25">
      <c r="A94" s="53" t="s">
        <v>2502</v>
      </c>
      <c r="B94" s="52" t="s">
        <v>7222</v>
      </c>
      <c r="C94" s="108" t="s">
        <v>6618</v>
      </c>
      <c r="D94" s="57" t="s">
        <v>7240</v>
      </c>
      <c r="E94" s="56" t="s">
        <v>7241</v>
      </c>
      <c r="F94" s="56" t="s">
        <v>7242</v>
      </c>
      <c r="G94" s="56" t="s">
        <v>7243</v>
      </c>
      <c r="H94" s="54"/>
      <c r="I94" s="54" t="s">
        <v>4576</v>
      </c>
    </row>
    <row r="95" spans="1:9" x14ac:dyDescent="0.25">
      <c r="A95" s="53" t="s">
        <v>2502</v>
      </c>
      <c r="B95" s="52" t="s">
        <v>7862</v>
      </c>
      <c r="C95" s="108" t="s">
        <v>6754</v>
      </c>
      <c r="D95" s="57" t="s">
        <v>7863</v>
      </c>
      <c r="E95" s="56" t="s">
        <v>7864</v>
      </c>
      <c r="F95" s="56" t="s">
        <v>7865</v>
      </c>
      <c r="G95" s="56" t="s">
        <v>7866</v>
      </c>
      <c r="H95" s="54"/>
      <c r="I95" s="54" t="s">
        <v>4705</v>
      </c>
    </row>
    <row r="96" spans="1:9" x14ac:dyDescent="0.25">
      <c r="A96" s="53" t="s">
        <v>2502</v>
      </c>
      <c r="B96" s="52" t="s">
        <v>6863</v>
      </c>
      <c r="C96" s="108" t="s">
        <v>6786</v>
      </c>
      <c r="D96" s="57" t="s">
        <v>6864</v>
      </c>
      <c r="E96" s="56" t="s">
        <v>6865</v>
      </c>
      <c r="F96" s="56" t="s">
        <v>6866</v>
      </c>
      <c r="G96" s="56" t="s">
        <v>6867</v>
      </c>
      <c r="H96" s="54"/>
      <c r="I96" s="54" t="s">
        <v>4735</v>
      </c>
    </row>
    <row r="97" spans="1:9" x14ac:dyDescent="0.25">
      <c r="A97" s="53" t="s">
        <v>7575</v>
      </c>
      <c r="B97" s="52" t="s">
        <v>7781</v>
      </c>
      <c r="C97" s="108" t="s">
        <v>6735</v>
      </c>
      <c r="D97" s="57" t="s">
        <v>7782</v>
      </c>
      <c r="E97" s="56" t="s">
        <v>7783</v>
      </c>
      <c r="F97" s="56" t="s">
        <v>7784</v>
      </c>
      <c r="G97" s="56" t="s">
        <v>7785</v>
      </c>
      <c r="H97" s="54"/>
      <c r="I97" s="54" t="s">
        <v>4688</v>
      </c>
    </row>
    <row r="98" spans="1:9" x14ac:dyDescent="0.25">
      <c r="A98" s="53" t="s">
        <v>2502</v>
      </c>
      <c r="B98" s="52" t="s">
        <v>8008</v>
      </c>
      <c r="C98" s="108" t="s">
        <v>6800</v>
      </c>
      <c r="D98" s="57" t="s">
        <v>8004</v>
      </c>
      <c r="E98" s="56" t="s">
        <v>8005</v>
      </c>
      <c r="F98" s="56" t="s">
        <v>8006</v>
      </c>
      <c r="G98" s="56" t="s">
        <v>8007</v>
      </c>
      <c r="H98" s="54"/>
      <c r="I98" s="54" t="s">
        <v>4749</v>
      </c>
    </row>
    <row r="99" spans="1:9" x14ac:dyDescent="0.25">
      <c r="A99" s="53" t="s">
        <v>2502</v>
      </c>
      <c r="B99" s="52" t="s">
        <v>7086</v>
      </c>
      <c r="C99" s="108" t="s">
        <v>7162</v>
      </c>
      <c r="D99" s="57" t="s">
        <v>7157</v>
      </c>
      <c r="E99" s="56" t="s">
        <v>7158</v>
      </c>
      <c r="F99" s="56" t="s">
        <v>7159</v>
      </c>
      <c r="G99" s="56" t="s">
        <v>7160</v>
      </c>
      <c r="H99" s="54"/>
      <c r="I99" s="54" t="s">
        <v>4561</v>
      </c>
    </row>
    <row r="100" spans="1:9" x14ac:dyDescent="0.25">
      <c r="A100" s="53" t="s">
        <v>2502</v>
      </c>
      <c r="B100" s="52" t="s">
        <v>7461</v>
      </c>
      <c r="C100" s="108" t="s">
        <v>6664</v>
      </c>
      <c r="D100" s="57" t="s">
        <v>7462</v>
      </c>
      <c r="E100" s="56" t="s">
        <v>7463</v>
      </c>
      <c r="F100" s="56" t="s">
        <v>7464</v>
      </c>
      <c r="G100" s="56" t="s">
        <v>7465</v>
      </c>
      <c r="H100" s="54"/>
      <c r="I100" s="54" t="s">
        <v>4620</v>
      </c>
    </row>
    <row r="101" spans="1:9" x14ac:dyDescent="0.25">
      <c r="A101" s="53" t="s">
        <v>2502</v>
      </c>
      <c r="B101" s="52" t="s">
        <v>4176</v>
      </c>
      <c r="C101" s="108" t="s">
        <v>6505</v>
      </c>
      <c r="D101" s="57" t="s">
        <v>4158</v>
      </c>
      <c r="E101" s="56" t="s">
        <v>4260</v>
      </c>
      <c r="F101" s="56" t="s">
        <v>4261</v>
      </c>
      <c r="G101" s="56" t="s">
        <v>4262</v>
      </c>
      <c r="H101" s="54"/>
      <c r="I101" s="54" t="s">
        <v>4381</v>
      </c>
    </row>
    <row r="102" spans="1:9" x14ac:dyDescent="0.25">
      <c r="A102" s="53" t="s">
        <v>2502</v>
      </c>
      <c r="B102" s="52" t="s">
        <v>7999</v>
      </c>
      <c r="C102" s="108" t="s">
        <v>6795</v>
      </c>
      <c r="D102" s="57" t="s">
        <v>8000</v>
      </c>
      <c r="E102" s="56" t="s">
        <v>8001</v>
      </c>
      <c r="F102" s="56" t="s">
        <v>8002</v>
      </c>
      <c r="G102" s="56" t="s">
        <v>8003</v>
      </c>
      <c r="H102" s="54"/>
      <c r="I102" s="54" t="s">
        <v>4744</v>
      </c>
    </row>
    <row r="103" spans="1:9" x14ac:dyDescent="0.25">
      <c r="A103" s="53" t="s">
        <v>2502</v>
      </c>
      <c r="B103" s="52" t="s">
        <v>7526</v>
      </c>
      <c r="C103" s="108" t="s">
        <v>6678</v>
      </c>
      <c r="D103" s="57" t="s">
        <v>7527</v>
      </c>
      <c r="E103" s="56" t="s">
        <v>7528</v>
      </c>
      <c r="F103" s="56" t="s">
        <v>7529</v>
      </c>
      <c r="G103" s="56" t="s">
        <v>7530</v>
      </c>
      <c r="H103" s="54"/>
      <c r="I103" s="54" t="s">
        <v>4634</v>
      </c>
    </row>
    <row r="104" spans="1:9" x14ac:dyDescent="0.25">
      <c r="A104" s="53" t="s">
        <v>2502</v>
      </c>
      <c r="B104" s="52" t="s">
        <v>4184</v>
      </c>
      <c r="C104" s="108" t="s">
        <v>6477</v>
      </c>
      <c r="D104" s="57" t="s">
        <v>4149</v>
      </c>
      <c r="E104" s="56" t="s">
        <v>4314</v>
      </c>
      <c r="F104" s="56" t="s">
        <v>4315</v>
      </c>
      <c r="G104" s="56" t="s">
        <v>4316</v>
      </c>
      <c r="H104" s="54"/>
      <c r="I104" s="54" t="s">
        <v>4363</v>
      </c>
    </row>
    <row r="105" spans="1:9" x14ac:dyDescent="0.25">
      <c r="A105" s="53" t="s">
        <v>2502</v>
      </c>
      <c r="B105" s="52" t="s">
        <v>7715</v>
      </c>
      <c r="C105" s="108" t="s">
        <v>6730</v>
      </c>
      <c r="D105" s="57" t="s">
        <v>7763</v>
      </c>
      <c r="E105" s="56" t="s">
        <v>7764</v>
      </c>
      <c r="F105" s="56" t="s">
        <v>7765</v>
      </c>
      <c r="G105" s="68" t="s">
        <v>7766</v>
      </c>
      <c r="H105" s="54"/>
      <c r="I105" s="54" t="s">
        <v>4683</v>
      </c>
    </row>
    <row r="106" spans="1:9" x14ac:dyDescent="0.25">
      <c r="A106" s="53" t="s">
        <v>2502</v>
      </c>
      <c r="B106" s="52" t="s">
        <v>7244</v>
      </c>
      <c r="C106" s="108" t="s">
        <v>6619</v>
      </c>
      <c r="D106" s="57" t="s">
        <v>7247</v>
      </c>
      <c r="E106" s="56" t="s">
        <v>7248</v>
      </c>
      <c r="F106" s="56" t="s">
        <v>7249</v>
      </c>
      <c r="G106" s="56" t="s">
        <v>7250</v>
      </c>
      <c r="H106" s="54"/>
      <c r="I106" s="54" t="s">
        <v>4577</v>
      </c>
    </row>
    <row r="107" spans="1:9" x14ac:dyDescent="0.25">
      <c r="A107" s="53" t="s">
        <v>2502</v>
      </c>
      <c r="B107" s="52" t="s">
        <v>7857</v>
      </c>
      <c r="C107" s="108" t="s">
        <v>6768</v>
      </c>
      <c r="D107" s="57" t="s">
        <v>7916</v>
      </c>
      <c r="E107" s="56" t="s">
        <v>7917</v>
      </c>
      <c r="F107" s="56" t="s">
        <v>7918</v>
      </c>
      <c r="G107" s="68" t="s">
        <v>7919</v>
      </c>
      <c r="H107" s="54"/>
      <c r="I107" s="54" t="s">
        <v>4719</v>
      </c>
    </row>
    <row r="108" spans="1:9" x14ac:dyDescent="0.25">
      <c r="A108" s="53" t="s">
        <v>2502</v>
      </c>
      <c r="B108" s="52" t="s">
        <v>7857</v>
      </c>
      <c r="C108" s="108" t="s">
        <v>6769</v>
      </c>
      <c r="D108" s="57" t="s">
        <v>7916</v>
      </c>
      <c r="E108" s="56" t="s">
        <v>7917</v>
      </c>
      <c r="F108" s="56" t="s">
        <v>7918</v>
      </c>
      <c r="G108" s="56" t="s">
        <v>7919</v>
      </c>
      <c r="H108" s="54"/>
      <c r="I108" s="54" t="s">
        <v>4720</v>
      </c>
    </row>
    <row r="109" spans="1:9" x14ac:dyDescent="0.25">
      <c r="A109" s="53" t="s">
        <v>2502</v>
      </c>
      <c r="B109" s="52" t="s">
        <v>7857</v>
      </c>
      <c r="C109" s="108" t="s">
        <v>6770</v>
      </c>
      <c r="D109" s="57" t="s">
        <v>7916</v>
      </c>
      <c r="E109" s="56" t="s">
        <v>7917</v>
      </c>
      <c r="F109" s="56" t="s">
        <v>7918</v>
      </c>
      <c r="G109" s="56" t="s">
        <v>7919</v>
      </c>
      <c r="H109" s="54"/>
      <c r="I109" s="54" t="s">
        <v>4721</v>
      </c>
    </row>
    <row r="110" spans="1:9" x14ac:dyDescent="0.25">
      <c r="A110" s="53" t="s">
        <v>2502</v>
      </c>
      <c r="B110" s="52" t="s">
        <v>7857</v>
      </c>
      <c r="C110" s="108" t="s">
        <v>6771</v>
      </c>
      <c r="D110" s="57" t="s">
        <v>7916</v>
      </c>
      <c r="E110" s="56" t="s">
        <v>7917</v>
      </c>
      <c r="F110" s="56" t="s">
        <v>7918</v>
      </c>
      <c r="G110" s="68" t="s">
        <v>7919</v>
      </c>
      <c r="H110" s="54"/>
      <c r="I110" s="54" t="s">
        <v>4722</v>
      </c>
    </row>
    <row r="111" spans="1:9" x14ac:dyDescent="0.25">
      <c r="A111" s="53" t="s">
        <v>2502</v>
      </c>
      <c r="B111" s="52" t="s">
        <v>7857</v>
      </c>
      <c r="C111" s="108" t="s">
        <v>6772</v>
      </c>
      <c r="D111" s="57" t="s">
        <v>7916</v>
      </c>
      <c r="E111" s="56" t="s">
        <v>7917</v>
      </c>
      <c r="F111" s="56" t="s">
        <v>7918</v>
      </c>
      <c r="G111" s="56" t="s">
        <v>7919</v>
      </c>
      <c r="H111" s="54"/>
      <c r="I111" s="54" t="s">
        <v>4723</v>
      </c>
    </row>
    <row r="112" spans="1:9" x14ac:dyDescent="0.25">
      <c r="A112" s="53" t="s">
        <v>2502</v>
      </c>
      <c r="B112" s="52" t="s">
        <v>7857</v>
      </c>
      <c r="C112" s="108" t="s">
        <v>6773</v>
      </c>
      <c r="D112" s="57" t="s">
        <v>7916</v>
      </c>
      <c r="E112" s="56" t="s">
        <v>7917</v>
      </c>
      <c r="F112" s="56" t="s">
        <v>7918</v>
      </c>
      <c r="G112" s="56" t="s">
        <v>7919</v>
      </c>
      <c r="H112" s="54"/>
      <c r="I112" s="54" t="s">
        <v>4724</v>
      </c>
    </row>
    <row r="113" spans="1:9" x14ac:dyDescent="0.25">
      <c r="A113" s="53" t="s">
        <v>2502</v>
      </c>
      <c r="B113" s="52" t="s">
        <v>7857</v>
      </c>
      <c r="C113" s="108" t="s">
        <v>6774</v>
      </c>
      <c r="D113" s="57" t="s">
        <v>7916</v>
      </c>
      <c r="E113" s="56" t="s">
        <v>7917</v>
      </c>
      <c r="F113" s="56" t="s">
        <v>7918</v>
      </c>
      <c r="G113" s="56" t="s">
        <v>7919</v>
      </c>
      <c r="H113" s="54"/>
      <c r="I113" s="54" t="s">
        <v>4725</v>
      </c>
    </row>
    <row r="114" spans="1:9" x14ac:dyDescent="0.25">
      <c r="A114" s="53" t="s">
        <v>2502</v>
      </c>
      <c r="B114" s="52" t="s">
        <v>7857</v>
      </c>
      <c r="C114" s="108" t="s">
        <v>6796</v>
      </c>
      <c r="D114" s="135" t="s">
        <v>7916</v>
      </c>
      <c r="E114" s="56" t="s">
        <v>7917</v>
      </c>
      <c r="F114" s="56" t="s">
        <v>7918</v>
      </c>
      <c r="G114" s="56" t="s">
        <v>7919</v>
      </c>
      <c r="H114" s="54"/>
      <c r="I114" s="54" t="s">
        <v>4745</v>
      </c>
    </row>
    <row r="115" spans="1:9" x14ac:dyDescent="0.25">
      <c r="A115" s="53" t="s">
        <v>2502</v>
      </c>
      <c r="B115" s="52" t="s">
        <v>7857</v>
      </c>
      <c r="C115" s="108" t="s">
        <v>6797</v>
      </c>
      <c r="D115" s="57" t="s">
        <v>7916</v>
      </c>
      <c r="E115" s="56" t="s">
        <v>7917</v>
      </c>
      <c r="F115" s="56" t="s">
        <v>7918</v>
      </c>
      <c r="G115" s="56" t="s">
        <v>7919</v>
      </c>
      <c r="H115" s="54"/>
      <c r="I115" s="54" t="s">
        <v>4746</v>
      </c>
    </row>
    <row r="116" spans="1:9" x14ac:dyDescent="0.25">
      <c r="A116" s="53" t="s">
        <v>2502</v>
      </c>
      <c r="B116" s="52" t="s">
        <v>7857</v>
      </c>
      <c r="C116" s="108" t="s">
        <v>6799</v>
      </c>
      <c r="D116" s="57" t="s">
        <v>7916</v>
      </c>
      <c r="E116" s="56" t="s">
        <v>7917</v>
      </c>
      <c r="F116" s="56" t="s">
        <v>7918</v>
      </c>
      <c r="G116" s="56" t="s">
        <v>7919</v>
      </c>
      <c r="H116" s="54"/>
      <c r="I116" s="54" t="s">
        <v>4748</v>
      </c>
    </row>
    <row r="117" spans="1:9" x14ac:dyDescent="0.25">
      <c r="A117" s="53" t="s">
        <v>2502</v>
      </c>
      <c r="B117" s="52" t="s">
        <v>7857</v>
      </c>
      <c r="C117" s="108" t="s">
        <v>6802</v>
      </c>
      <c r="D117" s="57" t="s">
        <v>7916</v>
      </c>
      <c r="E117" s="56" t="s">
        <v>7917</v>
      </c>
      <c r="F117" s="56" t="s">
        <v>7918</v>
      </c>
      <c r="G117" s="56" t="s">
        <v>7919</v>
      </c>
      <c r="H117" s="54"/>
      <c r="I117" s="54" t="s">
        <v>4751</v>
      </c>
    </row>
    <row r="118" spans="1:9" x14ac:dyDescent="0.25">
      <c r="A118" s="53" t="s">
        <v>2502</v>
      </c>
      <c r="B118" s="52" t="s">
        <v>7857</v>
      </c>
      <c r="C118" s="108" t="s">
        <v>6804</v>
      </c>
      <c r="D118" s="57" t="s">
        <v>7916</v>
      </c>
      <c r="E118" s="56" t="s">
        <v>7917</v>
      </c>
      <c r="F118" s="56" t="s">
        <v>7918</v>
      </c>
      <c r="G118" s="56" t="s">
        <v>7919</v>
      </c>
      <c r="H118" s="54"/>
      <c r="I118" s="54" t="s">
        <v>4752</v>
      </c>
    </row>
    <row r="119" spans="1:9" x14ac:dyDescent="0.25">
      <c r="A119" s="53" t="s">
        <v>2502</v>
      </c>
      <c r="B119" s="52" t="s">
        <v>7857</v>
      </c>
      <c r="C119" s="108" t="s">
        <v>6816</v>
      </c>
      <c r="D119" s="57" t="s">
        <v>7916</v>
      </c>
      <c r="E119" s="56" t="s">
        <v>7917</v>
      </c>
      <c r="F119" s="56" t="s">
        <v>7918</v>
      </c>
      <c r="G119" s="56" t="s">
        <v>7919</v>
      </c>
      <c r="H119" s="54"/>
      <c r="I119" s="54" t="s">
        <v>4759</v>
      </c>
    </row>
    <row r="120" spans="1:9" x14ac:dyDescent="0.25">
      <c r="A120" s="53" t="s">
        <v>2502</v>
      </c>
      <c r="B120" s="52" t="s">
        <v>7857</v>
      </c>
      <c r="C120" s="108" t="s">
        <v>6818</v>
      </c>
      <c r="D120" s="57" t="s">
        <v>7916</v>
      </c>
      <c r="E120" s="56" t="s">
        <v>7917</v>
      </c>
      <c r="F120" s="56" t="s">
        <v>7918</v>
      </c>
      <c r="G120" s="56" t="s">
        <v>7919</v>
      </c>
      <c r="H120" s="54"/>
      <c r="I120" s="54" t="s">
        <v>4762</v>
      </c>
    </row>
    <row r="121" spans="1:9" x14ac:dyDescent="0.25">
      <c r="A121" s="53" t="s">
        <v>2502</v>
      </c>
      <c r="B121" s="52" t="s">
        <v>7857</v>
      </c>
      <c r="C121" s="108" t="s">
        <v>6819</v>
      </c>
      <c r="D121" s="57" t="s">
        <v>7916</v>
      </c>
      <c r="E121" s="56" t="s">
        <v>7917</v>
      </c>
      <c r="F121" s="56" t="s">
        <v>7918</v>
      </c>
      <c r="G121" s="56" t="s">
        <v>7919</v>
      </c>
      <c r="H121" s="54"/>
      <c r="I121" s="54"/>
    </row>
    <row r="122" spans="1:9" x14ac:dyDescent="0.25">
      <c r="A122" s="53" t="s">
        <v>2502</v>
      </c>
      <c r="B122" s="52" t="s">
        <v>7341</v>
      </c>
      <c r="C122" s="108" t="s">
        <v>6637</v>
      </c>
      <c r="D122" s="57" t="s">
        <v>7342</v>
      </c>
      <c r="E122" s="56" t="s">
        <v>7343</v>
      </c>
      <c r="F122" s="56" t="s">
        <v>7343</v>
      </c>
      <c r="G122" s="56" t="s">
        <v>7344</v>
      </c>
      <c r="H122" s="54"/>
      <c r="I122" s="54" t="s">
        <v>4595</v>
      </c>
    </row>
    <row r="123" spans="1:9" x14ac:dyDescent="0.25">
      <c r="A123" s="53" t="s">
        <v>2502</v>
      </c>
      <c r="B123" s="52" t="s">
        <v>7618</v>
      </c>
      <c r="C123" s="108" t="s">
        <v>6695</v>
      </c>
      <c r="D123" s="57" t="s">
        <v>7617</v>
      </c>
      <c r="E123" s="56" t="s">
        <v>7619</v>
      </c>
      <c r="F123" s="56" t="s">
        <v>7620</v>
      </c>
      <c r="G123" s="56" t="s">
        <v>7621</v>
      </c>
      <c r="H123" s="54"/>
      <c r="I123" s="54" t="s">
        <v>4651</v>
      </c>
    </row>
    <row r="124" spans="1:9" x14ac:dyDescent="0.25">
      <c r="A124" s="53" t="s">
        <v>2502</v>
      </c>
      <c r="B124" s="52" t="s">
        <v>6356</v>
      </c>
      <c r="C124" s="108" t="s">
        <v>6563</v>
      </c>
      <c r="D124" s="57" t="s">
        <v>6352</v>
      </c>
      <c r="E124" s="56" t="s">
        <v>6353</v>
      </c>
      <c r="F124" s="56" t="s">
        <v>6354</v>
      </c>
      <c r="G124" s="56" t="s">
        <v>6355</v>
      </c>
      <c r="H124" s="54"/>
      <c r="I124" s="54" t="s">
        <v>4534</v>
      </c>
    </row>
    <row r="125" spans="1:9" x14ac:dyDescent="0.25">
      <c r="A125" s="53" t="s">
        <v>2502</v>
      </c>
      <c r="B125" s="52" t="s">
        <v>7761</v>
      </c>
      <c r="C125" s="108" t="s">
        <v>6734</v>
      </c>
      <c r="D125" s="57" t="s">
        <v>7777</v>
      </c>
      <c r="E125" s="56" t="s">
        <v>7778</v>
      </c>
      <c r="F125" s="56" t="s">
        <v>7779</v>
      </c>
      <c r="G125" s="56" t="s">
        <v>7780</v>
      </c>
      <c r="H125" s="54"/>
      <c r="I125" s="54" t="s">
        <v>4687</v>
      </c>
    </row>
    <row r="126" spans="1:9" x14ac:dyDescent="0.25">
      <c r="A126" s="53" t="s">
        <v>2502</v>
      </c>
      <c r="B126" s="52" t="s">
        <v>4187</v>
      </c>
      <c r="C126" s="108" t="s">
        <v>6474</v>
      </c>
      <c r="D126" s="57" t="s">
        <v>4189</v>
      </c>
      <c r="E126" s="56" t="s">
        <v>4145</v>
      </c>
      <c r="F126" s="56" t="s">
        <v>4147</v>
      </c>
      <c r="G126" s="56" t="s">
        <v>4320</v>
      </c>
      <c r="H126" s="54"/>
      <c r="I126" s="54" t="s">
        <v>4361</v>
      </c>
    </row>
    <row r="127" spans="1:9" x14ac:dyDescent="0.25">
      <c r="A127" s="53" t="s">
        <v>2502</v>
      </c>
      <c r="B127" s="52" t="s">
        <v>7132</v>
      </c>
      <c r="C127" s="108" t="s">
        <v>6594</v>
      </c>
      <c r="D127" s="57" t="s">
        <v>7133</v>
      </c>
      <c r="E127" s="56" t="s">
        <v>7134</v>
      </c>
      <c r="F127" s="56" t="s">
        <v>7135</v>
      </c>
      <c r="G127" s="56" t="s">
        <v>7136</v>
      </c>
      <c r="H127" s="54"/>
      <c r="I127" s="54" t="s">
        <v>4556</v>
      </c>
    </row>
    <row r="128" spans="1:9" x14ac:dyDescent="0.25">
      <c r="A128" s="53" t="s">
        <v>2502</v>
      </c>
      <c r="B128" s="52" t="s">
        <v>7132</v>
      </c>
      <c r="C128" s="108" t="s">
        <v>6658</v>
      </c>
      <c r="D128" s="57" t="s">
        <v>7431</v>
      </c>
      <c r="E128" s="56" t="s">
        <v>7432</v>
      </c>
      <c r="F128" s="56" t="s">
        <v>7433</v>
      </c>
      <c r="G128" s="56" t="s">
        <v>7434</v>
      </c>
      <c r="H128" s="54"/>
      <c r="I128" s="54" t="s">
        <v>4614</v>
      </c>
    </row>
    <row r="129" spans="1:9" x14ac:dyDescent="0.25">
      <c r="A129" s="53" t="s">
        <v>2502</v>
      </c>
      <c r="B129" s="52" t="s">
        <v>7418</v>
      </c>
      <c r="C129" s="108" t="s">
        <v>6655</v>
      </c>
      <c r="D129" s="57" t="s">
        <v>7419</v>
      </c>
      <c r="E129" s="56" t="s">
        <v>7420</v>
      </c>
      <c r="F129" s="56" t="s">
        <v>7420</v>
      </c>
      <c r="G129" s="56" t="s">
        <v>7421</v>
      </c>
      <c r="H129" s="54"/>
      <c r="I129" s="54" t="s">
        <v>4611</v>
      </c>
    </row>
    <row r="130" spans="1:9" x14ac:dyDescent="0.25">
      <c r="A130" s="53" t="s">
        <v>2502</v>
      </c>
      <c r="B130" s="52" t="s">
        <v>7355</v>
      </c>
      <c r="C130" s="108" t="s">
        <v>6641</v>
      </c>
      <c r="D130" s="57" t="s">
        <v>7356</v>
      </c>
      <c r="E130" s="56" t="s">
        <v>7357</v>
      </c>
      <c r="F130" s="56" t="s">
        <v>7358</v>
      </c>
      <c r="G130" s="56" t="s">
        <v>7359</v>
      </c>
      <c r="H130" s="54"/>
      <c r="I130" s="54" t="s">
        <v>4598</v>
      </c>
    </row>
    <row r="131" spans="1:9" x14ac:dyDescent="0.25">
      <c r="A131" s="53" t="s">
        <v>2443</v>
      </c>
      <c r="B131" s="52" t="s">
        <v>8019</v>
      </c>
      <c r="C131" s="108" t="s">
        <v>6806</v>
      </c>
      <c r="D131" s="57" t="s">
        <v>8020</v>
      </c>
      <c r="E131" s="56" t="s">
        <v>8021</v>
      </c>
      <c r="F131" s="56" t="s">
        <v>8022</v>
      </c>
      <c r="G131" s="56" t="s">
        <v>8023</v>
      </c>
      <c r="H131" s="54"/>
      <c r="I131" s="54" t="s">
        <v>4753</v>
      </c>
    </row>
    <row r="132" spans="1:9" x14ac:dyDescent="0.25">
      <c r="A132" s="53" t="s">
        <v>2502</v>
      </c>
      <c r="B132" s="52" t="s">
        <v>7652</v>
      </c>
      <c r="C132" s="108" t="s">
        <v>6705</v>
      </c>
      <c r="D132" s="57" t="s">
        <v>7653</v>
      </c>
      <c r="E132" s="56" t="s">
        <v>7654</v>
      </c>
      <c r="F132" s="56" t="s">
        <v>7655</v>
      </c>
      <c r="G132" s="56" t="s">
        <v>7656</v>
      </c>
      <c r="H132" s="54"/>
      <c r="I132" s="54" t="s">
        <v>4659</v>
      </c>
    </row>
    <row r="133" spans="1:9" x14ac:dyDescent="0.25">
      <c r="A133" s="63" t="s">
        <v>2502</v>
      </c>
      <c r="B133" s="64" t="s">
        <v>4199</v>
      </c>
      <c r="C133" s="108" t="s">
        <v>6526</v>
      </c>
      <c r="D133" s="66" t="s">
        <v>4200</v>
      </c>
      <c r="E133" s="65" t="s">
        <v>4215</v>
      </c>
      <c r="F133" s="65" t="s">
        <v>4216</v>
      </c>
      <c r="G133" s="65" t="s">
        <v>4217</v>
      </c>
      <c r="H133" s="67"/>
      <c r="I133" s="67" t="s">
        <v>4396</v>
      </c>
    </row>
    <row r="134" spans="1:9" x14ac:dyDescent="0.25">
      <c r="A134" s="53" t="s">
        <v>2502</v>
      </c>
      <c r="B134" s="52" t="s">
        <v>8024</v>
      </c>
      <c r="C134" s="108" t="s">
        <v>6809</v>
      </c>
      <c r="D134" s="57" t="s">
        <v>8025</v>
      </c>
      <c r="E134" s="56" t="s">
        <v>8026</v>
      </c>
      <c r="F134" s="56" t="s">
        <v>8027</v>
      </c>
      <c r="G134" s="56" t="s">
        <v>8028</v>
      </c>
      <c r="H134" s="54"/>
      <c r="I134" s="54" t="s">
        <v>4755</v>
      </c>
    </row>
    <row r="135" spans="1:9" x14ac:dyDescent="0.25">
      <c r="A135" s="53" t="s">
        <v>2502</v>
      </c>
      <c r="B135" s="109" t="s">
        <v>6991</v>
      </c>
      <c r="C135" s="108" t="s">
        <v>6549</v>
      </c>
      <c r="D135" s="57" t="s">
        <v>6992</v>
      </c>
      <c r="E135" s="56" t="s">
        <v>6993</v>
      </c>
      <c r="F135" s="56" t="s">
        <v>6994</v>
      </c>
      <c r="G135" s="56" t="s">
        <v>6995</v>
      </c>
      <c r="H135" s="54"/>
      <c r="I135" s="54"/>
    </row>
    <row r="136" spans="1:9" x14ac:dyDescent="0.25">
      <c r="A136" s="53" t="s">
        <v>2502</v>
      </c>
      <c r="B136" s="109" t="s">
        <v>7078</v>
      </c>
      <c r="C136" s="108" t="s">
        <v>6586</v>
      </c>
      <c r="D136" s="57" t="s">
        <v>7079</v>
      </c>
      <c r="E136" s="56" t="s">
        <v>7080</v>
      </c>
      <c r="F136" s="56" t="s">
        <v>7081</v>
      </c>
      <c r="G136" s="56" t="s">
        <v>7082</v>
      </c>
      <c r="H136" s="54"/>
      <c r="I136" s="54"/>
    </row>
    <row r="137" spans="1:9" x14ac:dyDescent="0.25">
      <c r="A137" s="53" t="s">
        <v>2502</v>
      </c>
      <c r="B137" s="52" t="s">
        <v>7561</v>
      </c>
      <c r="C137" s="108" t="s">
        <v>6677</v>
      </c>
      <c r="D137" s="57" t="s">
        <v>7562</v>
      </c>
      <c r="E137" s="56" t="s">
        <v>7563</v>
      </c>
      <c r="F137" s="56" t="s">
        <v>7564</v>
      </c>
      <c r="G137" s="56" t="s">
        <v>7565</v>
      </c>
      <c r="H137" s="54"/>
      <c r="I137" s="54" t="s">
        <v>4633</v>
      </c>
    </row>
    <row r="138" spans="1:9" x14ac:dyDescent="0.25">
      <c r="A138" s="53" t="s">
        <v>2502</v>
      </c>
      <c r="B138" s="52" t="s">
        <v>7850</v>
      </c>
      <c r="C138" s="108" t="s">
        <v>6752</v>
      </c>
      <c r="D138" s="57" t="s">
        <v>7851</v>
      </c>
      <c r="E138" s="56" t="s">
        <v>7852</v>
      </c>
      <c r="F138" s="56" t="s">
        <v>7853</v>
      </c>
      <c r="G138" s="56" t="s">
        <v>7854</v>
      </c>
      <c r="H138" s="54"/>
      <c r="I138" s="54" t="s">
        <v>4703</v>
      </c>
    </row>
    <row r="139" spans="1:9" x14ac:dyDescent="0.25">
      <c r="A139" s="53" t="s">
        <v>2502</v>
      </c>
      <c r="B139" s="52" t="s">
        <v>8029</v>
      </c>
      <c r="C139" s="108" t="s">
        <v>6810</v>
      </c>
      <c r="D139" s="57" t="s">
        <v>8030</v>
      </c>
      <c r="E139" s="56" t="s">
        <v>8031</v>
      </c>
      <c r="F139" s="56" t="s">
        <v>8032</v>
      </c>
      <c r="G139" s="56" t="s">
        <v>8033</v>
      </c>
      <c r="H139" s="54"/>
      <c r="I139" s="54" t="s">
        <v>4756</v>
      </c>
    </row>
    <row r="140" spans="1:9" x14ac:dyDescent="0.25">
      <c r="A140" s="53" t="s">
        <v>2502</v>
      </c>
      <c r="B140" s="109" t="s">
        <v>6902</v>
      </c>
      <c r="C140" s="108" t="s">
        <v>6444</v>
      </c>
      <c r="D140" s="57" t="s">
        <v>6903</v>
      </c>
      <c r="E140" s="56" t="s">
        <v>6904</v>
      </c>
      <c r="F140" s="56" t="s">
        <v>6905</v>
      </c>
      <c r="G140" s="56" t="s">
        <v>6905</v>
      </c>
      <c r="H140" s="54"/>
      <c r="I140" s="54"/>
    </row>
    <row r="141" spans="1:9" x14ac:dyDescent="0.25">
      <c r="A141" s="53" t="s">
        <v>2502</v>
      </c>
      <c r="B141" s="52" t="s">
        <v>7944</v>
      </c>
      <c r="C141" s="108" t="s">
        <v>6781</v>
      </c>
      <c r="D141" s="57" t="s">
        <v>7945</v>
      </c>
      <c r="E141" s="56" t="s">
        <v>7946</v>
      </c>
      <c r="F141" s="56" t="s">
        <v>7947</v>
      </c>
      <c r="G141" s="56" t="s">
        <v>7948</v>
      </c>
      <c r="H141" s="54"/>
      <c r="I141" s="54" t="s">
        <v>4732</v>
      </c>
    </row>
    <row r="142" spans="1:9" x14ac:dyDescent="0.25">
      <c r="A142" s="53" t="s">
        <v>3710</v>
      </c>
      <c r="B142" s="52" t="s">
        <v>7700</v>
      </c>
      <c r="C142" s="108" t="s">
        <v>6715</v>
      </c>
      <c r="D142" s="57" t="s">
        <v>7701</v>
      </c>
      <c r="E142" s="56" t="s">
        <v>7702</v>
      </c>
      <c r="F142" s="56" t="s">
        <v>7703</v>
      </c>
      <c r="G142" s="56" t="s">
        <v>7704</v>
      </c>
      <c r="H142" s="54"/>
      <c r="I142" s="54" t="s">
        <v>4670</v>
      </c>
    </row>
    <row r="143" spans="1:9" x14ac:dyDescent="0.25">
      <c r="A143" s="53" t="s">
        <v>3710</v>
      </c>
      <c r="B143" s="52" t="s">
        <v>7700</v>
      </c>
      <c r="C143" s="108" t="s">
        <v>6728</v>
      </c>
      <c r="D143" s="57" t="s">
        <v>7706</v>
      </c>
      <c r="E143" s="56" t="s">
        <v>7707</v>
      </c>
      <c r="F143" s="56" t="s">
        <v>7708</v>
      </c>
      <c r="G143" s="56" t="s">
        <v>7709</v>
      </c>
      <c r="H143" s="54"/>
      <c r="I143" s="54" t="s">
        <v>4681</v>
      </c>
    </row>
    <row r="144" spans="1:9" x14ac:dyDescent="0.25">
      <c r="A144" s="53" t="s">
        <v>3710</v>
      </c>
      <c r="B144" s="52" t="s">
        <v>7700</v>
      </c>
      <c r="C144" s="108" t="s">
        <v>6766</v>
      </c>
      <c r="D144" s="57" t="s">
        <v>7701</v>
      </c>
      <c r="E144" s="56" t="s">
        <v>7702</v>
      </c>
      <c r="F144" s="56" t="s">
        <v>7703</v>
      </c>
      <c r="G144" s="56" t="s">
        <v>7704</v>
      </c>
      <c r="H144" s="54"/>
      <c r="I144" s="54" t="s">
        <v>4717</v>
      </c>
    </row>
    <row r="145" spans="1:9" x14ac:dyDescent="0.25">
      <c r="A145" s="53" t="s">
        <v>2502</v>
      </c>
      <c r="B145" s="109" t="s">
        <v>7091</v>
      </c>
      <c r="C145" s="108" t="s">
        <v>6588</v>
      </c>
      <c r="D145" s="57" t="s">
        <v>7092</v>
      </c>
      <c r="E145" s="56" t="s">
        <v>7093</v>
      </c>
      <c r="F145" s="56" t="s">
        <v>7094</v>
      </c>
      <c r="G145" s="56" t="s">
        <v>7095</v>
      </c>
      <c r="H145" s="54"/>
      <c r="I145" s="54"/>
    </row>
    <row r="146" spans="1:9" x14ac:dyDescent="0.25">
      <c r="A146" s="53" t="s">
        <v>2502</v>
      </c>
      <c r="B146" s="52" t="s">
        <v>4177</v>
      </c>
      <c r="C146" s="108" t="s">
        <v>6487</v>
      </c>
      <c r="D146" s="57" t="s">
        <v>4197</v>
      </c>
      <c r="E146" s="56" t="s">
        <v>4287</v>
      </c>
      <c r="F146" s="56" t="s">
        <v>4288</v>
      </c>
      <c r="G146" s="56" t="s">
        <v>4289</v>
      </c>
      <c r="H146" s="54"/>
      <c r="I146" s="54" t="s">
        <v>4372</v>
      </c>
    </row>
    <row r="147" spans="1:9" x14ac:dyDescent="0.25">
      <c r="A147" s="53" t="s">
        <v>2502</v>
      </c>
      <c r="B147" s="52" t="s">
        <v>7603</v>
      </c>
      <c r="C147" s="108" t="s">
        <v>6692</v>
      </c>
      <c r="D147" s="57" t="s">
        <v>7604</v>
      </c>
      <c r="E147" s="56" t="s">
        <v>7605</v>
      </c>
      <c r="F147" s="56" t="s">
        <v>7606</v>
      </c>
      <c r="G147" s="56" t="s">
        <v>7607</v>
      </c>
      <c r="H147" s="54"/>
      <c r="I147" s="54" t="s">
        <v>4648</v>
      </c>
    </row>
    <row r="148" spans="1:9" x14ac:dyDescent="0.25">
      <c r="A148" s="53" t="s">
        <v>2502</v>
      </c>
      <c r="B148" s="52" t="s">
        <v>7939</v>
      </c>
      <c r="C148" s="108" t="s">
        <v>6780</v>
      </c>
      <c r="D148" s="57" t="s">
        <v>7940</v>
      </c>
      <c r="E148" s="56" t="s">
        <v>7941</v>
      </c>
      <c r="F148" s="56" t="s">
        <v>7942</v>
      </c>
      <c r="G148" s="56" t="s">
        <v>7943</v>
      </c>
      <c r="H148" s="54"/>
      <c r="I148" s="54" t="s">
        <v>4731</v>
      </c>
    </row>
    <row r="149" spans="1:9" x14ac:dyDescent="0.25">
      <c r="A149" s="53" t="s">
        <v>2502</v>
      </c>
      <c r="B149" s="52" t="s">
        <v>7979</v>
      </c>
      <c r="C149" s="108" t="s">
        <v>6789</v>
      </c>
      <c r="D149" s="57" t="s">
        <v>7980</v>
      </c>
      <c r="E149" s="56" t="s">
        <v>7981</v>
      </c>
      <c r="F149" s="56" t="s">
        <v>7982</v>
      </c>
      <c r="G149" s="56" t="s">
        <v>7983</v>
      </c>
      <c r="H149" s="54"/>
      <c r="I149" s="54" t="s">
        <v>4739</v>
      </c>
    </row>
    <row r="150" spans="1:9" x14ac:dyDescent="0.25">
      <c r="A150" s="53" t="s">
        <v>2502</v>
      </c>
      <c r="B150" s="109" t="s">
        <v>6914</v>
      </c>
      <c r="C150" s="108" t="s">
        <v>6485</v>
      </c>
      <c r="D150" s="57" t="s">
        <v>6915</v>
      </c>
      <c r="E150" s="56" t="s">
        <v>6916</v>
      </c>
      <c r="F150" s="56" t="s">
        <v>6916</v>
      </c>
      <c r="G150" s="56" t="s">
        <v>6917</v>
      </c>
      <c r="H150" s="54"/>
      <c r="I150" s="54"/>
    </row>
    <row r="151" spans="1:9" x14ac:dyDescent="0.25">
      <c r="A151" s="53" t="s">
        <v>2502</v>
      </c>
      <c r="B151" s="52" t="s">
        <v>7274</v>
      </c>
      <c r="C151" s="108" t="s">
        <v>6634</v>
      </c>
      <c r="D151" s="57" t="s">
        <v>7327</v>
      </c>
      <c r="E151" s="56" t="s">
        <v>7328</v>
      </c>
      <c r="F151" s="56" t="s">
        <v>7329</v>
      </c>
      <c r="G151" s="56" t="s">
        <v>7330</v>
      </c>
      <c r="H151" s="54"/>
      <c r="I151" s="54" t="s">
        <v>4592</v>
      </c>
    </row>
    <row r="152" spans="1:9" x14ac:dyDescent="0.25">
      <c r="A152" s="53" t="s">
        <v>2502</v>
      </c>
      <c r="B152" s="52" t="s">
        <v>7422</v>
      </c>
      <c r="C152" s="108" t="s">
        <v>6656</v>
      </c>
      <c r="D152" s="57" t="s">
        <v>7423</v>
      </c>
      <c r="E152" s="56" t="s">
        <v>7424</v>
      </c>
      <c r="F152" s="56" t="s">
        <v>7425</v>
      </c>
      <c r="G152" s="56" t="s">
        <v>7426</v>
      </c>
      <c r="H152" s="54"/>
      <c r="I152" s="54" t="s">
        <v>4612</v>
      </c>
    </row>
    <row r="153" spans="1:9" x14ac:dyDescent="0.25">
      <c r="A153" s="58" t="s">
        <v>3706</v>
      </c>
      <c r="B153" s="59" t="s">
        <v>3695</v>
      </c>
      <c r="C153" s="108" t="s">
        <v>6829</v>
      </c>
      <c r="D153" s="61" t="s">
        <v>3804</v>
      </c>
      <c r="E153" s="60" t="s">
        <v>3835</v>
      </c>
      <c r="F153" s="60" t="s">
        <v>3965</v>
      </c>
      <c r="G153" s="60" t="s">
        <v>3705</v>
      </c>
      <c r="H153" s="54"/>
      <c r="I153" s="54" t="s">
        <v>3980</v>
      </c>
    </row>
    <row r="154" spans="1:9" x14ac:dyDescent="0.25">
      <c r="A154" s="58" t="s">
        <v>3706</v>
      </c>
      <c r="B154" s="59" t="s">
        <v>3695</v>
      </c>
      <c r="C154" s="108" t="s">
        <v>6830</v>
      </c>
      <c r="D154" s="61" t="s">
        <v>3805</v>
      </c>
      <c r="E154" s="60" t="s">
        <v>3836</v>
      </c>
      <c r="F154" s="60" t="s">
        <v>3963</v>
      </c>
      <c r="G154" s="60" t="s">
        <v>3964</v>
      </c>
      <c r="H154" s="54"/>
      <c r="I154" s="54" t="s">
        <v>3981</v>
      </c>
    </row>
    <row r="155" spans="1:9" x14ac:dyDescent="0.25">
      <c r="A155" s="58" t="s">
        <v>3706</v>
      </c>
      <c r="B155" s="59" t="s">
        <v>3695</v>
      </c>
      <c r="C155" s="108" t="s">
        <v>6831</v>
      </c>
      <c r="D155" s="61" t="s">
        <v>3806</v>
      </c>
      <c r="E155" s="60" t="s">
        <v>3837</v>
      </c>
      <c r="F155" s="60" t="s">
        <v>3961</v>
      </c>
      <c r="G155" s="60" t="s">
        <v>3962</v>
      </c>
      <c r="H155" s="54"/>
      <c r="I155" s="54" t="s">
        <v>3982</v>
      </c>
    </row>
    <row r="156" spans="1:9" x14ac:dyDescent="0.25">
      <c r="A156" s="53" t="s">
        <v>2502</v>
      </c>
      <c r="B156" s="52" t="s">
        <v>3695</v>
      </c>
      <c r="C156" s="108" t="s">
        <v>2655</v>
      </c>
      <c r="D156" s="57" t="s">
        <v>4408</v>
      </c>
      <c r="E156" s="56" t="s">
        <v>4409</v>
      </c>
      <c r="F156" s="56" t="s">
        <v>4410</v>
      </c>
      <c r="G156" s="56" t="s">
        <v>4411</v>
      </c>
      <c r="H156" s="54"/>
      <c r="I156" s="54" t="s">
        <v>4493</v>
      </c>
    </row>
    <row r="157" spans="1:9" x14ac:dyDescent="0.25">
      <c r="A157" s="58" t="s">
        <v>2502</v>
      </c>
      <c r="B157" s="59" t="s">
        <v>3695</v>
      </c>
      <c r="C157" s="108" t="s">
        <v>6573</v>
      </c>
      <c r="D157" s="61" t="s">
        <v>4208</v>
      </c>
      <c r="E157" s="60" t="s">
        <v>3829</v>
      </c>
      <c r="F157" s="60" t="s">
        <v>3976</v>
      </c>
      <c r="G157" s="60" t="s">
        <v>3977</v>
      </c>
      <c r="H157" s="54"/>
      <c r="I157" s="54" t="s">
        <v>4327</v>
      </c>
    </row>
    <row r="158" spans="1:9" x14ac:dyDescent="0.25">
      <c r="A158" s="53" t="s">
        <v>2502</v>
      </c>
      <c r="B158" s="52" t="s">
        <v>3695</v>
      </c>
      <c r="C158" s="108" t="s">
        <v>6503</v>
      </c>
      <c r="D158" s="57" t="s">
        <v>4206</v>
      </c>
      <c r="E158" s="56" t="s">
        <v>3701</v>
      </c>
      <c r="F158" s="56" t="s">
        <v>3702</v>
      </c>
      <c r="G158" s="56" t="s">
        <v>3703</v>
      </c>
      <c r="H158" s="54"/>
      <c r="I158" s="54" t="s">
        <v>4325</v>
      </c>
    </row>
    <row r="159" spans="1:9" x14ac:dyDescent="0.25">
      <c r="A159" s="53" t="s">
        <v>2502</v>
      </c>
      <c r="B159" s="52" t="s">
        <v>3695</v>
      </c>
      <c r="C159" s="108" t="s">
        <v>6492</v>
      </c>
      <c r="D159" s="57" t="s">
        <v>4205</v>
      </c>
      <c r="E159" s="56" t="s">
        <v>3696</v>
      </c>
      <c r="F159" s="56" t="s">
        <v>3697</v>
      </c>
      <c r="G159" s="56" t="s">
        <v>3698</v>
      </c>
      <c r="H159" s="54"/>
      <c r="I159" s="54" t="s">
        <v>4324</v>
      </c>
    </row>
    <row r="160" spans="1:9" x14ac:dyDescent="0.25">
      <c r="A160" s="58" t="s">
        <v>2502</v>
      </c>
      <c r="B160" s="59" t="s">
        <v>3695</v>
      </c>
      <c r="C160" s="108" t="s">
        <v>6571</v>
      </c>
      <c r="D160" s="61" t="s">
        <v>4207</v>
      </c>
      <c r="E160" s="60" t="s">
        <v>3699</v>
      </c>
      <c r="F160" s="60" t="s">
        <v>3700</v>
      </c>
      <c r="G160" s="60" t="s">
        <v>3801</v>
      </c>
      <c r="H160" s="54"/>
      <c r="I160" s="54" t="s">
        <v>4326</v>
      </c>
    </row>
    <row r="161" spans="1:9" x14ac:dyDescent="0.25">
      <c r="A161" s="58" t="s">
        <v>2502</v>
      </c>
      <c r="B161" s="136" t="s">
        <v>3695</v>
      </c>
      <c r="C161" s="108" t="s">
        <v>6837</v>
      </c>
      <c r="D161" s="61" t="s">
        <v>3807</v>
      </c>
      <c r="E161" s="60" t="s">
        <v>3838</v>
      </c>
      <c r="F161" s="60" t="s">
        <v>3957</v>
      </c>
      <c r="G161" s="60" t="s">
        <v>3960</v>
      </c>
      <c r="H161" s="54"/>
      <c r="I161" s="54" t="s">
        <v>3983</v>
      </c>
    </row>
    <row r="162" spans="1:9" x14ac:dyDescent="0.25">
      <c r="A162" s="58" t="s">
        <v>2502</v>
      </c>
      <c r="B162" s="59" t="s">
        <v>3695</v>
      </c>
      <c r="C162" s="128" t="s">
        <v>3001</v>
      </c>
      <c r="D162" s="61" t="s">
        <v>4210</v>
      </c>
      <c r="E162" s="60" t="s">
        <v>3831</v>
      </c>
      <c r="F162" s="60" t="s">
        <v>3972</v>
      </c>
      <c r="G162" s="60" t="s">
        <v>3973</v>
      </c>
      <c r="H162" s="54"/>
      <c r="I162" s="54" t="s">
        <v>4329</v>
      </c>
    </row>
    <row r="163" spans="1:9" x14ac:dyDescent="0.25">
      <c r="A163" s="58" t="s">
        <v>2502</v>
      </c>
      <c r="B163" s="59" t="s">
        <v>3695</v>
      </c>
      <c r="C163" s="108" t="s">
        <v>6700</v>
      </c>
      <c r="D163" s="61" t="s">
        <v>4209</v>
      </c>
      <c r="E163" s="60" t="s">
        <v>3830</v>
      </c>
      <c r="F163" s="60" t="s">
        <v>3974</v>
      </c>
      <c r="G163" s="60" t="s">
        <v>3975</v>
      </c>
      <c r="H163" s="54"/>
      <c r="I163" s="54" t="s">
        <v>4328</v>
      </c>
    </row>
    <row r="164" spans="1:9" x14ac:dyDescent="0.25">
      <c r="A164" s="58" t="s">
        <v>2442</v>
      </c>
      <c r="B164" s="59" t="s">
        <v>3695</v>
      </c>
      <c r="C164" s="108" t="s">
        <v>6805</v>
      </c>
      <c r="D164" s="61" t="s">
        <v>4211</v>
      </c>
      <c r="E164" s="60" t="s">
        <v>3832</v>
      </c>
      <c r="F164" s="60" t="s">
        <v>3970</v>
      </c>
      <c r="G164" s="60" t="s">
        <v>3971</v>
      </c>
      <c r="H164" s="54"/>
      <c r="I164" s="54" t="s">
        <v>4330</v>
      </c>
    </row>
    <row r="165" spans="1:9" x14ac:dyDescent="0.25">
      <c r="A165" s="53" t="s">
        <v>2502</v>
      </c>
      <c r="B165" s="52" t="s">
        <v>3695</v>
      </c>
      <c r="C165" s="108" t="s">
        <v>6623</v>
      </c>
      <c r="D165" s="57" t="s">
        <v>7266</v>
      </c>
      <c r="E165" s="56" t="s">
        <v>7267</v>
      </c>
      <c r="F165" s="56" t="s">
        <v>7268</v>
      </c>
      <c r="G165" s="56" t="s">
        <v>7028</v>
      </c>
      <c r="H165" s="54"/>
      <c r="I165" s="54" t="s">
        <v>4581</v>
      </c>
    </row>
    <row r="166" spans="1:9" x14ac:dyDescent="0.25">
      <c r="A166" s="53" t="s">
        <v>2502</v>
      </c>
      <c r="B166" s="52" t="s">
        <v>7220</v>
      </c>
      <c r="C166" s="108" t="s">
        <v>6616</v>
      </c>
      <c r="D166" s="57" t="s">
        <v>7232</v>
      </c>
      <c r="E166" s="56" t="s">
        <v>7233</v>
      </c>
      <c r="F166" s="56" t="s">
        <v>7234</v>
      </c>
      <c r="G166" s="56" t="s">
        <v>7235</v>
      </c>
      <c r="H166" s="54"/>
      <c r="I166" s="54" t="s">
        <v>4574</v>
      </c>
    </row>
    <row r="167" spans="1:9" x14ac:dyDescent="0.25">
      <c r="A167" s="53" t="s">
        <v>2502</v>
      </c>
      <c r="B167" s="52" t="s">
        <v>7024</v>
      </c>
      <c r="C167" s="108" t="s">
        <v>6575</v>
      </c>
      <c r="D167" s="57" t="s">
        <v>7025</v>
      </c>
      <c r="E167" s="56" t="s">
        <v>7026</v>
      </c>
      <c r="F167" s="56" t="s">
        <v>7027</v>
      </c>
      <c r="G167" s="56" t="s">
        <v>7028</v>
      </c>
      <c r="H167" s="54"/>
      <c r="I167" s="54" t="s">
        <v>4544</v>
      </c>
    </row>
    <row r="168" spans="1:9" x14ac:dyDescent="0.25">
      <c r="A168" s="53" t="s">
        <v>2502</v>
      </c>
      <c r="B168" s="109" t="s">
        <v>6986</v>
      </c>
      <c r="C168" s="108" t="s">
        <v>6548</v>
      </c>
      <c r="D168" s="57" t="s">
        <v>6987</v>
      </c>
      <c r="E168" s="56" t="s">
        <v>6988</v>
      </c>
      <c r="F168" s="56" t="s">
        <v>6989</v>
      </c>
      <c r="G168" s="56" t="s">
        <v>6990</v>
      </c>
      <c r="H168" s="54"/>
      <c r="I168" s="54"/>
    </row>
    <row r="169" spans="1:9" x14ac:dyDescent="0.25">
      <c r="A169" s="53" t="s">
        <v>2502</v>
      </c>
      <c r="B169" s="109" t="s">
        <v>7073</v>
      </c>
      <c r="C169" s="108" t="s">
        <v>6585</v>
      </c>
      <c r="D169" s="57" t="s">
        <v>7074</v>
      </c>
      <c r="E169" s="56" t="s">
        <v>7075</v>
      </c>
      <c r="F169" s="56" t="s">
        <v>7076</v>
      </c>
      <c r="G169" s="56" t="s">
        <v>7077</v>
      </c>
      <c r="H169" s="54"/>
      <c r="I169" s="54"/>
    </row>
    <row r="170" spans="1:9" x14ac:dyDescent="0.25">
      <c r="A170" s="53" t="s">
        <v>2502</v>
      </c>
      <c r="B170" s="52" t="s">
        <v>7934</v>
      </c>
      <c r="C170" s="108" t="s">
        <v>6776</v>
      </c>
      <c r="D170" s="57" t="s">
        <v>7935</v>
      </c>
      <c r="E170" s="56" t="s">
        <v>7936</v>
      </c>
      <c r="F170" s="56" t="s">
        <v>7937</v>
      </c>
      <c r="G170" s="56" t="s">
        <v>7938</v>
      </c>
      <c r="H170" s="54"/>
      <c r="I170" s="54" t="s">
        <v>4727</v>
      </c>
    </row>
    <row r="171" spans="1:9" x14ac:dyDescent="0.25">
      <c r="A171" s="53" t="s">
        <v>2502</v>
      </c>
      <c r="B171" s="52" t="s">
        <v>7762</v>
      </c>
      <c r="C171" s="108" t="s">
        <v>6736</v>
      </c>
      <c r="D171" s="57" t="s">
        <v>7786</v>
      </c>
      <c r="E171" s="56" t="s">
        <v>7787</v>
      </c>
      <c r="F171" s="56" t="s">
        <v>7788</v>
      </c>
      <c r="G171" s="56" t="s">
        <v>7789</v>
      </c>
      <c r="H171" s="54"/>
      <c r="I171" s="54" t="s">
        <v>4689</v>
      </c>
    </row>
    <row r="172" spans="1:9" x14ac:dyDescent="0.25">
      <c r="A172" s="53" t="s">
        <v>7575</v>
      </c>
      <c r="B172" s="52" t="s">
        <v>7891</v>
      </c>
      <c r="C172" s="108" t="s">
        <v>6760</v>
      </c>
      <c r="D172" s="57" t="s">
        <v>7892</v>
      </c>
      <c r="E172" s="56" t="s">
        <v>7893</v>
      </c>
      <c r="F172" s="56" t="s">
        <v>7894</v>
      </c>
      <c r="G172" s="56" t="s">
        <v>7895</v>
      </c>
      <c r="H172" s="54"/>
      <c r="I172" s="54" t="s">
        <v>4711</v>
      </c>
    </row>
    <row r="173" spans="1:9" x14ac:dyDescent="0.25">
      <c r="A173" s="53" t="s">
        <v>7575</v>
      </c>
      <c r="B173" s="52" t="s">
        <v>7891</v>
      </c>
      <c r="C173" s="108" t="s">
        <v>6765</v>
      </c>
      <c r="D173" s="57" t="s">
        <v>7892</v>
      </c>
      <c r="E173" s="56" t="s">
        <v>7893</v>
      </c>
      <c r="F173" s="56" t="s">
        <v>7894</v>
      </c>
      <c r="G173" s="56" t="s">
        <v>7895</v>
      </c>
      <c r="H173" s="54"/>
      <c r="I173" s="54" t="s">
        <v>4716</v>
      </c>
    </row>
    <row r="174" spans="1:9" x14ac:dyDescent="0.25">
      <c r="A174" s="53" t="s">
        <v>2502</v>
      </c>
      <c r="B174" s="52" t="s">
        <v>7842</v>
      </c>
      <c r="C174" s="108" t="s">
        <v>6747</v>
      </c>
      <c r="D174" s="57" t="s">
        <v>7841</v>
      </c>
      <c r="E174" s="56" t="s">
        <v>7843</v>
      </c>
      <c r="F174" s="56" t="s">
        <v>7844</v>
      </c>
      <c r="G174" s="56" t="s">
        <v>7845</v>
      </c>
      <c r="H174" s="54"/>
      <c r="I174" s="54" t="s">
        <v>4700</v>
      </c>
    </row>
    <row r="175" spans="1:9" x14ac:dyDescent="0.25">
      <c r="A175" s="53" t="s">
        <v>2502</v>
      </c>
      <c r="B175" s="52" t="s">
        <v>7471</v>
      </c>
      <c r="C175" s="108" t="s">
        <v>6666</v>
      </c>
      <c r="D175" s="57" t="s">
        <v>7472</v>
      </c>
      <c r="E175" s="56" t="s">
        <v>7473</v>
      </c>
      <c r="F175" s="56" t="s">
        <v>7474</v>
      </c>
      <c r="G175" s="56" t="s">
        <v>7475</v>
      </c>
      <c r="H175" s="54"/>
      <c r="I175" s="54" t="s">
        <v>4622</v>
      </c>
    </row>
    <row r="176" spans="1:9" x14ac:dyDescent="0.25">
      <c r="A176" s="53" t="s">
        <v>2502</v>
      </c>
      <c r="B176" s="52" t="s">
        <v>7213</v>
      </c>
      <c r="C176" s="108" t="s">
        <v>6612</v>
      </c>
      <c r="D176" s="57" t="s">
        <v>7214</v>
      </c>
      <c r="E176" s="56" t="s">
        <v>7215</v>
      </c>
      <c r="F176" s="56" t="s">
        <v>7216</v>
      </c>
      <c r="G176" s="56" t="s">
        <v>7216</v>
      </c>
      <c r="H176" s="54"/>
      <c r="I176" s="54" t="s">
        <v>4572</v>
      </c>
    </row>
    <row r="177" spans="1:9" x14ac:dyDescent="0.25">
      <c r="A177" s="53" t="s">
        <v>2502</v>
      </c>
      <c r="B177" s="52" t="s">
        <v>7122</v>
      </c>
      <c r="C177" s="108" t="s">
        <v>6593</v>
      </c>
      <c r="D177" s="57" t="s">
        <v>7123</v>
      </c>
      <c r="E177" s="56" t="s">
        <v>7124</v>
      </c>
      <c r="F177" s="56" t="s">
        <v>7125</v>
      </c>
      <c r="G177" s="56" t="s">
        <v>7126</v>
      </c>
      <c r="H177" s="54"/>
      <c r="I177" s="54" t="s">
        <v>4554</v>
      </c>
    </row>
    <row r="178" spans="1:9" x14ac:dyDescent="0.25">
      <c r="A178" s="53" t="s">
        <v>2502</v>
      </c>
      <c r="B178" s="52" t="s">
        <v>7736</v>
      </c>
      <c r="C178" s="108" t="s">
        <v>6739</v>
      </c>
      <c r="D178" s="57" t="s">
        <v>7800</v>
      </c>
      <c r="E178" s="56" t="s">
        <v>7801</v>
      </c>
      <c r="F178" s="56" t="s">
        <v>7802</v>
      </c>
      <c r="G178" s="56" t="s">
        <v>7803</v>
      </c>
      <c r="H178" s="54"/>
      <c r="I178" s="54" t="s">
        <v>4692</v>
      </c>
    </row>
    <row r="179" spans="1:9" x14ac:dyDescent="0.25">
      <c r="A179" s="53" t="s">
        <v>2502</v>
      </c>
      <c r="B179" s="52" t="s">
        <v>7518</v>
      </c>
      <c r="C179" s="108" t="s">
        <v>6690</v>
      </c>
      <c r="D179" s="57" t="s">
        <v>7591</v>
      </c>
      <c r="E179" s="56" t="s">
        <v>7592</v>
      </c>
      <c r="F179" s="56" t="s">
        <v>7593</v>
      </c>
      <c r="G179" s="56" t="s">
        <v>7594</v>
      </c>
      <c r="H179" s="54"/>
      <c r="I179" s="54" t="s">
        <v>4646</v>
      </c>
    </row>
    <row r="180" spans="1:9" x14ac:dyDescent="0.25">
      <c r="A180" s="53" t="s">
        <v>2502</v>
      </c>
      <c r="B180" s="52" t="s">
        <v>4472</v>
      </c>
      <c r="C180" s="108" t="s">
        <v>2671</v>
      </c>
      <c r="D180" s="57" t="s">
        <v>4473</v>
      </c>
      <c r="E180" s="56" t="s">
        <v>4474</v>
      </c>
      <c r="F180" s="56" t="s">
        <v>4475</v>
      </c>
      <c r="G180" s="56" t="s">
        <v>4476</v>
      </c>
      <c r="H180" s="54"/>
      <c r="I180" s="54" t="s">
        <v>4507</v>
      </c>
    </row>
    <row r="181" spans="1:9" x14ac:dyDescent="0.25">
      <c r="A181" s="53" t="s">
        <v>2502</v>
      </c>
      <c r="B181" s="52" t="s">
        <v>4181</v>
      </c>
      <c r="C181" s="108" t="s">
        <v>6482</v>
      </c>
      <c r="D181" s="57" t="s">
        <v>4193</v>
      </c>
      <c r="E181" s="56" t="s">
        <v>4302</v>
      </c>
      <c r="F181" s="56" t="s">
        <v>4303</v>
      </c>
      <c r="G181" s="56" t="s">
        <v>4304</v>
      </c>
      <c r="H181" s="54"/>
      <c r="I181" s="54" t="s">
        <v>4367</v>
      </c>
    </row>
    <row r="182" spans="1:9" x14ac:dyDescent="0.25">
      <c r="A182" s="53" t="s">
        <v>2502</v>
      </c>
      <c r="B182" s="52" t="s">
        <v>4416</v>
      </c>
      <c r="C182" s="108" t="s">
        <v>6530</v>
      </c>
      <c r="D182" s="57" t="s">
        <v>4419</v>
      </c>
      <c r="E182" s="56" t="s">
        <v>4420</v>
      </c>
      <c r="F182" s="56" t="s">
        <v>4421</v>
      </c>
      <c r="G182" s="56" t="s">
        <v>4422</v>
      </c>
      <c r="H182" s="54"/>
      <c r="I182" s="54" t="s">
        <v>4495</v>
      </c>
    </row>
    <row r="183" spans="1:9" x14ac:dyDescent="0.25">
      <c r="A183" s="53" t="s">
        <v>2502</v>
      </c>
      <c r="B183" s="52" t="s">
        <v>7637</v>
      </c>
      <c r="C183" s="108" t="s">
        <v>6718</v>
      </c>
      <c r="D183" s="57" t="s">
        <v>7716</v>
      </c>
      <c r="E183" s="56" t="s">
        <v>7717</v>
      </c>
      <c r="F183" s="56" t="s">
        <v>7718</v>
      </c>
      <c r="G183" s="56" t="s">
        <v>7719</v>
      </c>
      <c r="H183" s="54"/>
      <c r="I183" s="54" t="s">
        <v>4673</v>
      </c>
    </row>
    <row r="184" spans="1:9" x14ac:dyDescent="0.25">
      <c r="A184" s="53" t="s">
        <v>2502</v>
      </c>
      <c r="B184" s="52" t="s">
        <v>8009</v>
      </c>
      <c r="C184" s="108" t="s">
        <v>6801</v>
      </c>
      <c r="D184" s="57" t="s">
        <v>8010</v>
      </c>
      <c r="E184" s="56" t="s">
        <v>8011</v>
      </c>
      <c r="F184" s="56" t="s">
        <v>8012</v>
      </c>
      <c r="G184" s="56" t="s">
        <v>8013</v>
      </c>
      <c r="H184" s="54"/>
      <c r="I184" s="54" t="s">
        <v>4750</v>
      </c>
    </row>
    <row r="185" spans="1:9" x14ac:dyDescent="0.25">
      <c r="A185" s="53" t="s">
        <v>2502</v>
      </c>
      <c r="B185" s="52" t="s">
        <v>6346</v>
      </c>
      <c r="C185" s="108" t="s">
        <v>6562</v>
      </c>
      <c r="D185" s="57" t="s">
        <v>6348</v>
      </c>
      <c r="E185" s="56" t="s">
        <v>6349</v>
      </c>
      <c r="F185" s="56" t="s">
        <v>6350</v>
      </c>
      <c r="G185" s="56" t="s">
        <v>6351</v>
      </c>
      <c r="H185" s="54"/>
      <c r="I185" s="54" t="s">
        <v>4533</v>
      </c>
    </row>
    <row r="186" spans="1:9" x14ac:dyDescent="0.25">
      <c r="A186" s="53" t="s">
        <v>2502</v>
      </c>
      <c r="B186" s="52" t="s">
        <v>7612</v>
      </c>
      <c r="C186" s="108" t="s">
        <v>6694</v>
      </c>
      <c r="D186" s="57" t="s">
        <v>7613</v>
      </c>
      <c r="E186" s="56" t="s">
        <v>7614</v>
      </c>
      <c r="F186" s="56" t="s">
        <v>7615</v>
      </c>
      <c r="G186" s="56" t="s">
        <v>7616</v>
      </c>
      <c r="H186" s="54"/>
      <c r="I186" s="54" t="s">
        <v>4650</v>
      </c>
    </row>
    <row r="187" spans="1:9" x14ac:dyDescent="0.25">
      <c r="A187" s="53" t="s">
        <v>2502</v>
      </c>
      <c r="B187" s="52" t="s">
        <v>4428</v>
      </c>
      <c r="C187" s="108" t="s">
        <v>6532</v>
      </c>
      <c r="D187" s="57" t="s">
        <v>4429</v>
      </c>
      <c r="E187" s="56" t="s">
        <v>4430</v>
      </c>
      <c r="F187" s="56" t="s">
        <v>4431</v>
      </c>
      <c r="G187" s="56" t="s">
        <v>4432</v>
      </c>
      <c r="H187" s="54"/>
      <c r="I187" s="54" t="s">
        <v>4497</v>
      </c>
    </row>
    <row r="188" spans="1:9" x14ac:dyDescent="0.25">
      <c r="A188" s="53" t="s">
        <v>2502</v>
      </c>
      <c r="B188" s="109" t="s">
        <v>6893</v>
      </c>
      <c r="C188" s="108" t="s">
        <v>6431</v>
      </c>
      <c r="D188" s="57" t="s">
        <v>6894</v>
      </c>
      <c r="E188" s="56" t="s">
        <v>6895</v>
      </c>
      <c r="F188" s="56" t="s">
        <v>6896</v>
      </c>
      <c r="G188" s="56" t="s">
        <v>6897</v>
      </c>
      <c r="H188" s="54"/>
      <c r="I188" s="54"/>
    </row>
    <row r="189" spans="1:9" x14ac:dyDescent="0.25">
      <c r="A189" s="53" t="s">
        <v>2502</v>
      </c>
      <c r="B189" s="52" t="s">
        <v>4418</v>
      </c>
      <c r="C189" s="108" t="s">
        <v>6538</v>
      </c>
      <c r="D189" s="57" t="s">
        <v>4459</v>
      </c>
      <c r="E189" s="56" t="s">
        <v>4462</v>
      </c>
      <c r="F189" s="56" t="s">
        <v>4461</v>
      </c>
      <c r="G189" s="56" t="s">
        <v>4460</v>
      </c>
      <c r="H189" s="54"/>
      <c r="I189" s="54" t="s">
        <v>4504</v>
      </c>
    </row>
    <row r="190" spans="1:9" x14ac:dyDescent="0.25">
      <c r="A190" s="53" t="s">
        <v>2502</v>
      </c>
      <c r="B190" s="52" t="s">
        <v>7622</v>
      </c>
      <c r="C190" s="108" t="s">
        <v>6711</v>
      </c>
      <c r="D190" s="57" t="s">
        <v>7681</v>
      </c>
      <c r="E190" s="56" t="s">
        <v>7682</v>
      </c>
      <c r="F190" s="56" t="s">
        <v>7682</v>
      </c>
      <c r="G190" s="56" t="s">
        <v>7683</v>
      </c>
      <c r="H190" s="54"/>
      <c r="I190" s="54" t="s">
        <v>4665</v>
      </c>
    </row>
    <row r="191" spans="1:9" x14ac:dyDescent="0.25">
      <c r="A191" s="53" t="s">
        <v>2502</v>
      </c>
      <c r="B191" s="52" t="s">
        <v>7336</v>
      </c>
      <c r="C191" s="108" t="s">
        <v>6636</v>
      </c>
      <c r="D191" s="57" t="s">
        <v>7337</v>
      </c>
      <c r="E191" s="56" t="s">
        <v>7338</v>
      </c>
      <c r="F191" s="56" t="s">
        <v>7339</v>
      </c>
      <c r="G191" s="56" t="s">
        <v>7340</v>
      </c>
      <c r="H191" s="54"/>
      <c r="I191" s="54" t="s">
        <v>4594</v>
      </c>
    </row>
    <row r="192" spans="1:9" x14ac:dyDescent="0.25">
      <c r="A192" s="53" t="s">
        <v>2502</v>
      </c>
      <c r="B192" s="52" t="s">
        <v>7224</v>
      </c>
      <c r="C192" s="108" t="s">
        <v>6620</v>
      </c>
      <c r="D192" s="57" t="s">
        <v>7283</v>
      </c>
      <c r="E192" s="56" t="s">
        <v>7284</v>
      </c>
      <c r="F192" s="56" t="s">
        <v>7285</v>
      </c>
      <c r="G192" s="56" t="s">
        <v>7286</v>
      </c>
      <c r="H192" s="54"/>
      <c r="I192" s="54" t="s">
        <v>4578</v>
      </c>
    </row>
    <row r="193" spans="1:9" x14ac:dyDescent="0.25">
      <c r="A193" s="53" t="s">
        <v>2502</v>
      </c>
      <c r="B193" s="52" t="s">
        <v>7083</v>
      </c>
      <c r="C193" s="108" t="s">
        <v>6587</v>
      </c>
      <c r="D193" s="57" t="s">
        <v>7087</v>
      </c>
      <c r="E193" s="56" t="s">
        <v>7088</v>
      </c>
      <c r="F193" s="56" t="s">
        <v>7089</v>
      </c>
      <c r="G193" s="56" t="s">
        <v>7090</v>
      </c>
      <c r="H193" s="54"/>
      <c r="I193" s="54" t="s">
        <v>4551</v>
      </c>
    </row>
    <row r="194" spans="1:9" x14ac:dyDescent="0.25">
      <c r="A194" s="53" t="s">
        <v>3658</v>
      </c>
      <c r="B194" s="52" t="s">
        <v>3659</v>
      </c>
      <c r="C194" s="108" t="s">
        <v>6783</v>
      </c>
      <c r="D194" s="57" t="s">
        <v>4202</v>
      </c>
      <c r="E194" s="56" t="s">
        <v>3663</v>
      </c>
      <c r="F194" s="56" t="s">
        <v>3664</v>
      </c>
      <c r="G194" s="56" t="s">
        <v>4203</v>
      </c>
      <c r="H194" s="54"/>
      <c r="I194" s="54" t="s">
        <v>4322</v>
      </c>
    </row>
    <row r="195" spans="1:9" x14ac:dyDescent="0.25">
      <c r="A195" s="53" t="s">
        <v>3658</v>
      </c>
      <c r="B195" s="52" t="s">
        <v>3659</v>
      </c>
      <c r="C195" s="108" t="s">
        <v>6843</v>
      </c>
      <c r="D195" s="57" t="s">
        <v>3672</v>
      </c>
      <c r="E195" s="56" t="s">
        <v>3678</v>
      </c>
      <c r="F195" s="56" t="s">
        <v>3682</v>
      </c>
      <c r="G195" s="56" t="s">
        <v>3687</v>
      </c>
      <c r="H195" s="54"/>
      <c r="I195" s="54" t="s">
        <v>3766</v>
      </c>
    </row>
    <row r="196" spans="1:9" x14ac:dyDescent="0.25">
      <c r="A196" s="53" t="s">
        <v>3658</v>
      </c>
      <c r="B196" s="52" t="s">
        <v>3659</v>
      </c>
      <c r="C196" s="108" t="s">
        <v>3479</v>
      </c>
      <c r="D196" s="57" t="s">
        <v>3722</v>
      </c>
      <c r="E196" s="56" t="s">
        <v>3737</v>
      </c>
      <c r="F196" s="56" t="s">
        <v>3751</v>
      </c>
      <c r="G196" s="56" t="s">
        <v>3759</v>
      </c>
      <c r="H196" s="54"/>
      <c r="I196" s="54" t="s">
        <v>3775</v>
      </c>
    </row>
    <row r="197" spans="1:9" x14ac:dyDescent="0.25">
      <c r="A197" s="53" t="s">
        <v>3658</v>
      </c>
      <c r="B197" s="52" t="s">
        <v>3659</v>
      </c>
      <c r="C197" s="108" t="s">
        <v>6844</v>
      </c>
      <c r="D197" s="57" t="s">
        <v>3673</v>
      </c>
      <c r="E197" s="56" t="s">
        <v>3679</v>
      </c>
      <c r="F197" s="56" t="s">
        <v>3683</v>
      </c>
      <c r="G197" s="56" t="s">
        <v>3686</v>
      </c>
      <c r="H197" s="54"/>
      <c r="I197" s="54" t="s">
        <v>3767</v>
      </c>
    </row>
    <row r="198" spans="1:9" x14ac:dyDescent="0.25">
      <c r="A198" s="53" t="s">
        <v>3658</v>
      </c>
      <c r="B198" s="52" t="s">
        <v>3659</v>
      </c>
      <c r="C198" s="108" t="s">
        <v>6606</v>
      </c>
      <c r="D198" s="57" t="s">
        <v>4201</v>
      </c>
      <c r="E198" s="56" t="s">
        <v>3660</v>
      </c>
      <c r="F198" s="56" t="s">
        <v>3661</v>
      </c>
      <c r="G198" s="56" t="s">
        <v>3662</v>
      </c>
      <c r="H198" s="54"/>
      <c r="I198" s="54" t="s">
        <v>4321</v>
      </c>
    </row>
    <row r="199" spans="1:9" x14ac:dyDescent="0.25">
      <c r="A199" s="53" t="s">
        <v>3658</v>
      </c>
      <c r="B199" s="52" t="s">
        <v>3659</v>
      </c>
      <c r="C199" s="108" t="s">
        <v>6497</v>
      </c>
      <c r="D199" s="57" t="s">
        <v>4155</v>
      </c>
      <c r="E199" s="56" t="s">
        <v>4274</v>
      </c>
      <c r="F199" s="56" t="s">
        <v>4272</v>
      </c>
      <c r="G199" s="56" t="s">
        <v>4273</v>
      </c>
      <c r="H199" s="54"/>
      <c r="I199" s="54" t="s">
        <v>4377</v>
      </c>
    </row>
    <row r="200" spans="1:9" x14ac:dyDescent="0.25">
      <c r="A200" s="53" t="s">
        <v>2502</v>
      </c>
      <c r="B200" s="52" t="s">
        <v>3659</v>
      </c>
      <c r="C200" s="108" t="s">
        <v>6803</v>
      </c>
      <c r="D200" s="57" t="s">
        <v>4204</v>
      </c>
      <c r="E200" s="56" t="s">
        <v>3665</v>
      </c>
      <c r="F200" s="56" t="s">
        <v>3666</v>
      </c>
      <c r="G200" s="56" t="s">
        <v>3667</v>
      </c>
      <c r="H200" s="54"/>
      <c r="I200" s="54" t="s">
        <v>4323</v>
      </c>
    </row>
    <row r="201" spans="1:9" x14ac:dyDescent="0.25">
      <c r="A201" s="53" t="s">
        <v>3707</v>
      </c>
      <c r="B201" s="52" t="s">
        <v>3659</v>
      </c>
      <c r="C201" s="108" t="s">
        <v>6807</v>
      </c>
      <c r="D201" s="57" t="s">
        <v>3670</v>
      </c>
      <c r="E201" s="56" t="s">
        <v>3676</v>
      </c>
      <c r="F201" s="56" t="s">
        <v>3692</v>
      </c>
      <c r="G201" s="56" t="s">
        <v>3689</v>
      </c>
      <c r="H201" s="54"/>
      <c r="I201" s="54" t="s">
        <v>3764</v>
      </c>
    </row>
    <row r="202" spans="1:9" x14ac:dyDescent="0.25">
      <c r="A202" s="53" t="s">
        <v>3658</v>
      </c>
      <c r="B202" s="52" t="s">
        <v>3659</v>
      </c>
      <c r="C202" s="108" t="s">
        <v>6845</v>
      </c>
      <c r="D202" s="57" t="s">
        <v>3674</v>
      </c>
      <c r="E202" s="56" t="s">
        <v>3680</v>
      </c>
      <c r="F202" s="56" t="s">
        <v>3684</v>
      </c>
      <c r="G202" s="56" t="s">
        <v>3685</v>
      </c>
      <c r="H202" s="54"/>
      <c r="I202" s="54" t="s">
        <v>3768</v>
      </c>
    </row>
    <row r="203" spans="1:9" x14ac:dyDescent="0.25">
      <c r="A203" s="53" t="s">
        <v>3707</v>
      </c>
      <c r="B203" s="52" t="s">
        <v>3659</v>
      </c>
      <c r="C203" s="108" t="s">
        <v>3669</v>
      </c>
      <c r="D203" s="57" t="s">
        <v>3668</v>
      </c>
      <c r="E203" s="56" t="s">
        <v>3675</v>
      </c>
      <c r="F203" s="56" t="s">
        <v>3691</v>
      </c>
      <c r="G203" s="56" t="s">
        <v>3690</v>
      </c>
      <c r="H203" s="54"/>
      <c r="I203" s="54" t="s">
        <v>3763</v>
      </c>
    </row>
    <row r="204" spans="1:9" x14ac:dyDescent="0.25">
      <c r="A204" s="53" t="s">
        <v>3658</v>
      </c>
      <c r="B204" s="52" t="s">
        <v>3659</v>
      </c>
      <c r="C204" s="108" t="s">
        <v>6828</v>
      </c>
      <c r="D204" s="57" t="s">
        <v>3671</v>
      </c>
      <c r="E204" s="56" t="s">
        <v>3677</v>
      </c>
      <c r="F204" s="56" t="s">
        <v>3681</v>
      </c>
      <c r="G204" s="56" t="s">
        <v>3688</v>
      </c>
      <c r="H204" s="54"/>
      <c r="I204" s="54" t="s">
        <v>3765</v>
      </c>
    </row>
    <row r="205" spans="1:9" x14ac:dyDescent="0.25">
      <c r="A205" s="53" t="s">
        <v>2502</v>
      </c>
      <c r="B205" s="52" t="s">
        <v>6347</v>
      </c>
      <c r="C205" s="108" t="s">
        <v>6561</v>
      </c>
      <c r="D205" s="57" t="s">
        <v>6342</v>
      </c>
      <c r="E205" s="56" t="s">
        <v>6343</v>
      </c>
      <c r="F205" s="56" t="s">
        <v>6344</v>
      </c>
      <c r="G205" s="56" t="s">
        <v>6345</v>
      </c>
      <c r="H205" s="54"/>
      <c r="I205" s="54" t="s">
        <v>4532</v>
      </c>
    </row>
    <row r="206" spans="1:9" x14ac:dyDescent="0.25">
      <c r="A206" s="53" t="s">
        <v>2502</v>
      </c>
      <c r="B206" s="52" t="s">
        <v>3791</v>
      </c>
      <c r="C206" s="108" t="s">
        <v>6435</v>
      </c>
      <c r="D206" s="57" t="s">
        <v>3793</v>
      </c>
      <c r="E206" s="56" t="s">
        <v>3866</v>
      </c>
      <c r="F206" s="56" t="s">
        <v>3897</v>
      </c>
      <c r="G206" s="56" t="s">
        <v>3898</v>
      </c>
      <c r="H206" s="54"/>
      <c r="I206" s="54" t="s">
        <v>4014</v>
      </c>
    </row>
    <row r="207" spans="1:9" x14ac:dyDescent="0.25">
      <c r="A207" s="53" t="s">
        <v>2502</v>
      </c>
      <c r="B207" s="52" t="s">
        <v>7541</v>
      </c>
      <c r="C207" s="108" t="s">
        <v>6681</v>
      </c>
      <c r="D207" s="57" t="s">
        <v>7542</v>
      </c>
      <c r="E207" s="56" t="s">
        <v>7543</v>
      </c>
      <c r="F207" s="56" t="s">
        <v>7544</v>
      </c>
      <c r="G207" s="56" t="s">
        <v>7545</v>
      </c>
      <c r="H207" s="54"/>
      <c r="I207" s="54" t="s">
        <v>4637</v>
      </c>
    </row>
    <row r="208" spans="1:9" x14ac:dyDescent="0.25">
      <c r="A208" s="53" t="s">
        <v>3717</v>
      </c>
      <c r="B208" s="52" t="s">
        <v>7705</v>
      </c>
      <c r="C208" s="108" t="s">
        <v>6716</v>
      </c>
      <c r="D208" s="57" t="s">
        <v>7706</v>
      </c>
      <c r="E208" s="56" t="s">
        <v>7707</v>
      </c>
      <c r="F208" s="56" t="s">
        <v>7708</v>
      </c>
      <c r="G208" s="56" t="s">
        <v>7709</v>
      </c>
      <c r="H208" s="54"/>
      <c r="I208" s="54" t="s">
        <v>4671</v>
      </c>
    </row>
    <row r="209" spans="1:9" x14ac:dyDescent="0.25">
      <c r="A209" s="53" t="s">
        <v>2502</v>
      </c>
      <c r="B209" s="52" t="s">
        <v>4840</v>
      </c>
      <c r="C209" s="108" t="s">
        <v>4845</v>
      </c>
      <c r="D209" s="57" t="s">
        <v>4841</v>
      </c>
      <c r="E209" s="56" t="s">
        <v>4842</v>
      </c>
      <c r="F209" s="56" t="s">
        <v>4843</v>
      </c>
      <c r="G209" s="56" t="s">
        <v>4844</v>
      </c>
      <c r="H209" s="54"/>
      <c r="I209" s="54" t="s">
        <v>4522</v>
      </c>
    </row>
    <row r="210" spans="1:9" x14ac:dyDescent="0.25">
      <c r="A210" s="53" t="s">
        <v>2502</v>
      </c>
      <c r="B210" s="52" t="s">
        <v>7751</v>
      </c>
      <c r="C210" s="108" t="s">
        <v>6727</v>
      </c>
      <c r="D210" s="57" t="s">
        <v>7752</v>
      </c>
      <c r="E210" s="56" t="s">
        <v>7753</v>
      </c>
      <c r="F210" s="56" t="s">
        <v>7754</v>
      </c>
      <c r="G210" s="56" t="s">
        <v>7755</v>
      </c>
      <c r="H210" s="54"/>
      <c r="I210" s="54" t="s">
        <v>4680</v>
      </c>
    </row>
    <row r="211" spans="1:9" x14ac:dyDescent="0.25">
      <c r="A211" s="53" t="s">
        <v>2502</v>
      </c>
      <c r="B211" s="52" t="s">
        <v>4186</v>
      </c>
      <c r="C211" s="108" t="s">
        <v>6475</v>
      </c>
      <c r="D211" s="57" t="s">
        <v>4144</v>
      </c>
      <c r="E211" s="56" t="s">
        <v>4146</v>
      </c>
      <c r="F211" s="56" t="s">
        <v>4148</v>
      </c>
      <c r="G211" s="56" t="s">
        <v>4397</v>
      </c>
      <c r="H211" s="54"/>
      <c r="I211" s="54" t="s">
        <v>4398</v>
      </c>
    </row>
    <row r="212" spans="1:9" x14ac:dyDescent="0.25">
      <c r="A212" s="53" t="s">
        <v>2502</v>
      </c>
      <c r="B212" s="52" t="s">
        <v>4185</v>
      </c>
      <c r="C212" s="108" t="s">
        <v>6476</v>
      </c>
      <c r="D212" s="57" t="s">
        <v>4188</v>
      </c>
      <c r="E212" s="56" t="s">
        <v>4317</v>
      </c>
      <c r="F212" s="56" t="s">
        <v>4318</v>
      </c>
      <c r="G212" s="56" t="s">
        <v>4319</v>
      </c>
      <c r="H212" s="54"/>
      <c r="I212" s="54" t="s">
        <v>4362</v>
      </c>
    </row>
    <row r="213" spans="1:9" ht="114.75" x14ac:dyDescent="0.25">
      <c r="A213" s="53" t="s">
        <v>2502</v>
      </c>
      <c r="B213" s="52" t="s">
        <v>7523</v>
      </c>
      <c r="C213" s="108" t="s">
        <v>6673</v>
      </c>
      <c r="D213" s="57" t="s">
        <v>7524</v>
      </c>
      <c r="E213" s="69" t="s">
        <v>7600</v>
      </c>
      <c r="F213" s="69" t="s">
        <v>7602</v>
      </c>
      <c r="G213" s="56" t="s">
        <v>7525</v>
      </c>
      <c r="H213" s="54"/>
      <c r="I213" s="54" t="s">
        <v>4629</v>
      </c>
    </row>
    <row r="214" spans="1:9" x14ac:dyDescent="0.25">
      <c r="A214" s="53" t="s">
        <v>2502</v>
      </c>
      <c r="B214" s="52" t="s">
        <v>7855</v>
      </c>
      <c r="C214" s="108" t="s">
        <v>6762</v>
      </c>
      <c r="D214" s="57" t="s">
        <v>7902</v>
      </c>
      <c r="E214" s="56" t="s">
        <v>7903</v>
      </c>
      <c r="F214" s="56" t="s">
        <v>7904</v>
      </c>
      <c r="G214" s="56" t="s">
        <v>7905</v>
      </c>
      <c r="H214" s="54"/>
      <c r="I214" s="54" t="s">
        <v>4713</v>
      </c>
    </row>
    <row r="215" spans="1:9" x14ac:dyDescent="0.25">
      <c r="A215" s="53" t="s">
        <v>2502</v>
      </c>
      <c r="B215" s="52" t="s">
        <v>7488</v>
      </c>
      <c r="C215" s="108" t="s">
        <v>6676</v>
      </c>
      <c r="D215" s="57" t="s">
        <v>7521</v>
      </c>
      <c r="E215" s="56" t="s">
        <v>7599</v>
      </c>
      <c r="F215" s="56" t="s">
        <v>7601</v>
      </c>
      <c r="G215" s="56" t="s">
        <v>7522</v>
      </c>
      <c r="H215" s="54"/>
      <c r="I215" s="54" t="s">
        <v>4632</v>
      </c>
    </row>
    <row r="216" spans="1:9" x14ac:dyDescent="0.25">
      <c r="A216" s="53" t="s">
        <v>2502</v>
      </c>
      <c r="B216" s="109" t="s">
        <v>6888</v>
      </c>
      <c r="C216" s="108" t="s">
        <v>6428</v>
      </c>
      <c r="D216" s="57" t="s">
        <v>6889</v>
      </c>
      <c r="E216" s="56" t="s">
        <v>6890</v>
      </c>
      <c r="F216" s="56" t="s">
        <v>6891</v>
      </c>
      <c r="G216" s="56" t="s">
        <v>6892</v>
      </c>
      <c r="H216" s="54"/>
      <c r="I216" s="54"/>
    </row>
    <row r="217" spans="1:9" x14ac:dyDescent="0.25">
      <c r="A217" s="53" t="s">
        <v>3711</v>
      </c>
      <c r="B217" s="52" t="s">
        <v>7513</v>
      </c>
      <c r="C217" s="108" t="s">
        <v>6675</v>
      </c>
      <c r="D217" s="57" t="s">
        <v>7514</v>
      </c>
      <c r="E217" s="56" t="s">
        <v>7515</v>
      </c>
      <c r="F217" s="56" t="s">
        <v>7516</v>
      </c>
      <c r="G217" s="56" t="s">
        <v>7517</v>
      </c>
      <c r="H217" s="54"/>
      <c r="I217" s="54" t="s">
        <v>4631</v>
      </c>
    </row>
    <row r="218" spans="1:9" x14ac:dyDescent="0.25">
      <c r="A218" s="53" t="s">
        <v>2502</v>
      </c>
      <c r="B218" s="52" t="s">
        <v>7929</v>
      </c>
      <c r="C218" s="108" t="s">
        <v>6778</v>
      </c>
      <c r="D218" s="57" t="s">
        <v>7930</v>
      </c>
      <c r="E218" s="56" t="s">
        <v>7931</v>
      </c>
      <c r="F218" s="56" t="s">
        <v>7932</v>
      </c>
      <c r="G218" s="56" t="s">
        <v>7933</v>
      </c>
      <c r="H218" s="54"/>
      <c r="I218" s="54" t="s">
        <v>4729</v>
      </c>
    </row>
    <row r="219" spans="1:9" x14ac:dyDescent="0.25">
      <c r="A219" s="53" t="s">
        <v>2502</v>
      </c>
      <c r="B219" s="52" t="s">
        <v>7223</v>
      </c>
      <c r="C219" s="108" t="s">
        <v>6625</v>
      </c>
      <c r="D219" s="57" t="s">
        <v>7275</v>
      </c>
      <c r="E219" s="56" t="s">
        <v>7276</v>
      </c>
      <c r="F219" s="56" t="s">
        <v>7277</v>
      </c>
      <c r="G219" s="56" t="s">
        <v>7278</v>
      </c>
      <c r="H219" s="54"/>
      <c r="I219" s="54" t="s">
        <v>4583</v>
      </c>
    </row>
    <row r="220" spans="1:9" x14ac:dyDescent="0.25">
      <c r="A220" s="53" t="s">
        <v>2502</v>
      </c>
      <c r="B220" s="52" t="s">
        <v>4861</v>
      </c>
      <c r="C220" s="108" t="s">
        <v>6555</v>
      </c>
      <c r="D220" s="57" t="s">
        <v>4862</v>
      </c>
      <c r="E220" s="56" t="s">
        <v>4863</v>
      </c>
      <c r="F220" s="56" t="s">
        <v>4864</v>
      </c>
      <c r="G220" s="56" t="s">
        <v>4865</v>
      </c>
      <c r="H220" s="54"/>
      <c r="I220" s="54" t="s">
        <v>4526</v>
      </c>
    </row>
    <row r="221" spans="1:9" x14ac:dyDescent="0.25">
      <c r="A221" s="53" t="s">
        <v>2502</v>
      </c>
      <c r="B221" s="52" t="s">
        <v>4855</v>
      </c>
      <c r="C221" s="108" t="s">
        <v>6552</v>
      </c>
      <c r="D221" s="57" t="s">
        <v>4851</v>
      </c>
      <c r="E221" s="56" t="s">
        <v>4852</v>
      </c>
      <c r="F221" s="56" t="s">
        <v>4853</v>
      </c>
      <c r="G221" s="56" t="s">
        <v>4854</v>
      </c>
      <c r="H221" s="54"/>
      <c r="I221" s="54" t="s">
        <v>4524</v>
      </c>
    </row>
    <row r="222" spans="1:9" x14ac:dyDescent="0.25">
      <c r="A222" s="53" t="s">
        <v>2502</v>
      </c>
      <c r="B222" s="52" t="s">
        <v>7161</v>
      </c>
      <c r="C222" s="108" t="s">
        <v>7163</v>
      </c>
      <c r="D222" s="57" t="s">
        <v>7164</v>
      </c>
      <c r="E222" s="56" t="s">
        <v>7165</v>
      </c>
      <c r="F222" s="56" t="s">
        <v>7166</v>
      </c>
      <c r="G222" s="56" t="s">
        <v>7167</v>
      </c>
      <c r="H222" s="54"/>
      <c r="I222" s="54" t="s">
        <v>4563</v>
      </c>
    </row>
    <row r="223" spans="1:9" x14ac:dyDescent="0.25">
      <c r="A223" s="53" t="s">
        <v>2502</v>
      </c>
      <c r="B223" s="52" t="s">
        <v>4872</v>
      </c>
      <c r="C223" s="108" t="s">
        <v>6558</v>
      </c>
      <c r="D223" s="57" t="s">
        <v>4881</v>
      </c>
      <c r="E223" s="56" t="s">
        <v>4882</v>
      </c>
      <c r="F223" s="56" t="s">
        <v>4883</v>
      </c>
      <c r="G223" s="56" t="s">
        <v>4884</v>
      </c>
      <c r="H223" s="54"/>
      <c r="I223" s="54" t="s">
        <v>4530</v>
      </c>
    </row>
    <row r="224" spans="1:9" x14ac:dyDescent="0.25">
      <c r="A224" s="53" t="s">
        <v>2502</v>
      </c>
      <c r="B224" s="52" t="s">
        <v>4856</v>
      </c>
      <c r="C224" s="108" t="s">
        <v>6553</v>
      </c>
      <c r="D224" s="57" t="s">
        <v>4857</v>
      </c>
      <c r="E224" s="56" t="s">
        <v>4858</v>
      </c>
      <c r="F224" s="56" t="s">
        <v>4859</v>
      </c>
      <c r="G224" s="56" t="s">
        <v>4860</v>
      </c>
      <c r="H224" s="54"/>
      <c r="I224" s="54" t="s">
        <v>4525</v>
      </c>
    </row>
    <row r="225" spans="1:9" x14ac:dyDescent="0.25">
      <c r="A225" s="53" t="s">
        <v>2502</v>
      </c>
      <c r="B225" s="52" t="s">
        <v>7661</v>
      </c>
      <c r="C225" s="108" t="s">
        <v>6707</v>
      </c>
      <c r="D225" s="57" t="s">
        <v>7662</v>
      </c>
      <c r="E225" s="56" t="s">
        <v>7663</v>
      </c>
      <c r="F225" s="56" t="s">
        <v>7664</v>
      </c>
      <c r="G225" s="56" t="s">
        <v>7665</v>
      </c>
      <c r="H225" s="54"/>
      <c r="I225" s="54" t="s">
        <v>4661</v>
      </c>
    </row>
    <row r="226" spans="1:9" x14ac:dyDescent="0.25">
      <c r="A226" s="53" t="s">
        <v>2502</v>
      </c>
      <c r="B226" s="52" t="s">
        <v>7666</v>
      </c>
      <c r="C226" s="108" t="s">
        <v>6708</v>
      </c>
      <c r="D226" s="57" t="s">
        <v>7667</v>
      </c>
      <c r="E226" s="56" t="s">
        <v>7668</v>
      </c>
      <c r="F226" s="56" t="s">
        <v>7669</v>
      </c>
      <c r="G226" s="56" t="s">
        <v>7670</v>
      </c>
      <c r="H226" s="54"/>
      <c r="I226" s="54" t="s">
        <v>4662</v>
      </c>
    </row>
    <row r="227" spans="1:9" x14ac:dyDescent="0.25">
      <c r="A227" s="53" t="s">
        <v>2502</v>
      </c>
      <c r="B227" s="52" t="s">
        <v>4178</v>
      </c>
      <c r="C227" s="108" t="s">
        <v>2603</v>
      </c>
      <c r="D227" s="57" t="s">
        <v>4196</v>
      </c>
      <c r="E227" s="56" t="s">
        <v>4290</v>
      </c>
      <c r="F227" s="56" t="s">
        <v>4291</v>
      </c>
      <c r="G227" s="56" t="s">
        <v>4292</v>
      </c>
      <c r="H227" s="54"/>
      <c r="I227" s="54" t="s">
        <v>4371</v>
      </c>
    </row>
    <row r="228" spans="1:9" x14ac:dyDescent="0.25">
      <c r="A228" s="53" t="s">
        <v>2502</v>
      </c>
      <c r="B228" s="52" t="s">
        <v>4178</v>
      </c>
      <c r="C228" s="108" t="s">
        <v>6726</v>
      </c>
      <c r="D228" s="57" t="s">
        <v>4196</v>
      </c>
      <c r="E228" s="56" t="s">
        <v>4290</v>
      </c>
      <c r="F228" s="56" t="s">
        <v>4291</v>
      </c>
      <c r="G228" s="56" t="s">
        <v>4292</v>
      </c>
      <c r="H228" s="54"/>
      <c r="I228" s="54" t="s">
        <v>4679</v>
      </c>
    </row>
    <row r="229" spans="1:9" x14ac:dyDescent="0.25">
      <c r="A229" s="53" t="s">
        <v>2502</v>
      </c>
      <c r="B229" s="52" t="s">
        <v>4178</v>
      </c>
      <c r="C229" s="108" t="s">
        <v>6753</v>
      </c>
      <c r="D229" s="57" t="s">
        <v>7858</v>
      </c>
      <c r="E229" s="56" t="s">
        <v>7859</v>
      </c>
      <c r="F229" s="56" t="s">
        <v>7860</v>
      </c>
      <c r="G229" s="56" t="s">
        <v>7861</v>
      </c>
      <c r="H229" s="54"/>
      <c r="I229" s="54" t="s">
        <v>4704</v>
      </c>
    </row>
    <row r="230" spans="1:9" x14ac:dyDescent="0.25">
      <c r="A230" s="53" t="s">
        <v>2502</v>
      </c>
      <c r="B230" s="52" t="s">
        <v>4178</v>
      </c>
      <c r="C230" s="108" t="s">
        <v>6491</v>
      </c>
      <c r="D230" s="57" t="s">
        <v>6931</v>
      </c>
      <c r="E230" s="56" t="s">
        <v>6932</v>
      </c>
      <c r="F230" s="56" t="s">
        <v>6932</v>
      </c>
      <c r="G230" s="56" t="s">
        <v>6933</v>
      </c>
      <c r="H230" s="54"/>
      <c r="I230" s="54"/>
    </row>
    <row r="231" spans="1:9" x14ac:dyDescent="0.25">
      <c r="A231" s="53" t="s">
        <v>2502</v>
      </c>
      <c r="B231" s="52" t="s">
        <v>7168</v>
      </c>
      <c r="C231" s="108" t="s">
        <v>6602</v>
      </c>
      <c r="D231" s="57" t="s">
        <v>7170</v>
      </c>
      <c r="E231" s="56" t="s">
        <v>7169</v>
      </c>
      <c r="F231" s="56" t="s">
        <v>7171</v>
      </c>
      <c r="G231" s="56" t="s">
        <v>7172</v>
      </c>
      <c r="H231" s="54"/>
      <c r="I231" s="54" t="s">
        <v>4564</v>
      </c>
    </row>
    <row r="232" spans="1:9" x14ac:dyDescent="0.25">
      <c r="A232" s="53" t="s">
        <v>2502</v>
      </c>
      <c r="B232" s="52" t="s">
        <v>7772</v>
      </c>
      <c r="C232" s="108" t="s">
        <v>6733</v>
      </c>
      <c r="D232" s="57" t="s">
        <v>7773</v>
      </c>
      <c r="E232" s="56" t="s">
        <v>7774</v>
      </c>
      <c r="F232" s="56" t="s">
        <v>7775</v>
      </c>
      <c r="G232" s="56" t="s">
        <v>7776</v>
      </c>
      <c r="H232" s="54"/>
      <c r="I232" s="54" t="s">
        <v>4686</v>
      </c>
    </row>
    <row r="233" spans="1:9" x14ac:dyDescent="0.25">
      <c r="A233" s="53" t="s">
        <v>2502</v>
      </c>
      <c r="B233" s="52" t="s">
        <v>4433</v>
      </c>
      <c r="C233" s="108" t="s">
        <v>6533</v>
      </c>
      <c r="D233" s="57" t="s">
        <v>4434</v>
      </c>
      <c r="E233" s="56" t="s">
        <v>4435</v>
      </c>
      <c r="F233" s="56" t="s">
        <v>4436</v>
      </c>
      <c r="G233" s="56" t="s">
        <v>4437</v>
      </c>
      <c r="H233" s="54"/>
      <c r="I233" s="54" t="s">
        <v>4498</v>
      </c>
    </row>
    <row r="234" spans="1:9" x14ac:dyDescent="0.25">
      <c r="A234" s="53" t="s">
        <v>2502</v>
      </c>
      <c r="B234" s="52" t="s">
        <v>7835</v>
      </c>
      <c r="C234" s="108" t="s">
        <v>6746</v>
      </c>
      <c r="D234" s="57" t="s">
        <v>7837</v>
      </c>
      <c r="E234" s="56" t="s">
        <v>7838</v>
      </c>
      <c r="F234" s="56" t="s">
        <v>7839</v>
      </c>
      <c r="G234" s="56" t="s">
        <v>7840</v>
      </c>
      <c r="H234" s="54"/>
      <c r="I234" s="54" t="s">
        <v>4699</v>
      </c>
    </row>
    <row r="235" spans="1:9" x14ac:dyDescent="0.25">
      <c r="A235" s="53" t="s">
        <v>2502</v>
      </c>
      <c r="B235" s="109" t="s">
        <v>6898</v>
      </c>
      <c r="C235" s="108" t="s">
        <v>6434</v>
      </c>
      <c r="D235" s="57" t="s">
        <v>6899</v>
      </c>
      <c r="E235" s="56" t="s">
        <v>6900</v>
      </c>
      <c r="F235" s="56" t="s">
        <v>6900</v>
      </c>
      <c r="G235" s="56" t="s">
        <v>6901</v>
      </c>
      <c r="H235" s="54"/>
      <c r="I235" s="54"/>
    </row>
    <row r="236" spans="1:9" x14ac:dyDescent="0.25">
      <c r="A236" s="53" t="s">
        <v>2502</v>
      </c>
      <c r="B236" s="52" t="s">
        <v>7552</v>
      </c>
      <c r="C236" s="108" t="s">
        <v>6697</v>
      </c>
      <c r="D236" s="57" t="s">
        <v>7623</v>
      </c>
      <c r="E236" s="56" t="s">
        <v>7624</v>
      </c>
      <c r="F236" s="56" t="s">
        <v>7625</v>
      </c>
      <c r="G236" s="56" t="s">
        <v>7626</v>
      </c>
      <c r="H236" s="54"/>
      <c r="I236" s="54" t="s">
        <v>4653</v>
      </c>
    </row>
    <row r="237" spans="1:9" x14ac:dyDescent="0.25">
      <c r="A237" s="53" t="s">
        <v>2502</v>
      </c>
      <c r="B237" s="109" t="s">
        <v>7251</v>
      </c>
      <c r="C237" s="108" t="s">
        <v>6613</v>
      </c>
      <c r="D237" s="57" t="s">
        <v>7252</v>
      </c>
      <c r="E237" s="56" t="s">
        <v>7253</v>
      </c>
      <c r="F237" s="56" t="s">
        <v>7254</v>
      </c>
      <c r="G237" s="56" t="s">
        <v>7255</v>
      </c>
      <c r="H237" s="54"/>
      <c r="I237" s="54"/>
    </row>
    <row r="238" spans="1:9" x14ac:dyDescent="0.25">
      <c r="A238" s="53" t="s">
        <v>2502</v>
      </c>
      <c r="B238" s="52" t="s">
        <v>7814</v>
      </c>
      <c r="C238" s="108" t="s">
        <v>6742</v>
      </c>
      <c r="D238" s="57" t="s">
        <v>7815</v>
      </c>
      <c r="E238" s="56" t="s">
        <v>7816</v>
      </c>
      <c r="F238" s="56" t="s">
        <v>7817</v>
      </c>
      <c r="G238" s="56" t="s">
        <v>7818</v>
      </c>
      <c r="H238" s="54"/>
      <c r="I238" s="54" t="s">
        <v>4695</v>
      </c>
    </row>
    <row r="239" spans="1:9" x14ac:dyDescent="0.25">
      <c r="A239" s="53" t="s">
        <v>3713</v>
      </c>
      <c r="B239" s="52" t="s">
        <v>7487</v>
      </c>
      <c r="C239" s="108" t="s">
        <v>6671</v>
      </c>
      <c r="D239" s="57" t="s">
        <v>7492</v>
      </c>
      <c r="E239" s="56" t="s">
        <v>7495</v>
      </c>
      <c r="F239" s="56" t="s">
        <v>7493</v>
      </c>
      <c r="G239" s="56" t="s">
        <v>7494</v>
      </c>
      <c r="H239" s="54"/>
      <c r="I239" s="54" t="s">
        <v>4627</v>
      </c>
    </row>
    <row r="240" spans="1:9" x14ac:dyDescent="0.25">
      <c r="A240" s="53" t="s">
        <v>3710</v>
      </c>
      <c r="B240" s="52" t="s">
        <v>7490</v>
      </c>
      <c r="C240" s="108" t="s">
        <v>6686</v>
      </c>
      <c r="D240" s="57" t="s">
        <v>7566</v>
      </c>
      <c r="E240" s="56" t="s">
        <v>7567</v>
      </c>
      <c r="F240" s="56" t="s">
        <v>7568</v>
      </c>
      <c r="G240" s="56" t="s">
        <v>7569</v>
      </c>
      <c r="H240" s="54"/>
      <c r="I240" s="54" t="s">
        <v>4642</v>
      </c>
    </row>
    <row r="241" spans="1:9" x14ac:dyDescent="0.25">
      <c r="A241" s="53" t="s">
        <v>3710</v>
      </c>
      <c r="B241" s="52" t="s">
        <v>7054</v>
      </c>
      <c r="C241" s="108" t="s">
        <v>6581</v>
      </c>
      <c r="D241" s="57" t="s">
        <v>7055</v>
      </c>
      <c r="E241" s="56" t="s">
        <v>7056</v>
      </c>
      <c r="F241" s="56" t="s">
        <v>7057</v>
      </c>
      <c r="G241" s="56" t="s">
        <v>7058</v>
      </c>
      <c r="H241" s="54"/>
      <c r="I241" s="54" t="s">
        <v>4547</v>
      </c>
    </row>
    <row r="242" spans="1:9" x14ac:dyDescent="0.25">
      <c r="A242" s="53" t="s">
        <v>2502</v>
      </c>
      <c r="B242" s="52" t="s">
        <v>7586</v>
      </c>
      <c r="C242" s="108" t="s">
        <v>6706</v>
      </c>
      <c r="D242" s="57" t="s">
        <v>7657</v>
      </c>
      <c r="E242" s="56" t="s">
        <v>7658</v>
      </c>
      <c r="F242" s="56" t="s">
        <v>7659</v>
      </c>
      <c r="G242" s="56" t="s">
        <v>7660</v>
      </c>
      <c r="H242" s="54"/>
      <c r="I242" s="54" t="s">
        <v>4660</v>
      </c>
    </row>
    <row r="243" spans="1:9" x14ac:dyDescent="0.25">
      <c r="A243" s="53" t="s">
        <v>2502</v>
      </c>
      <c r="B243" s="52" t="s">
        <v>7867</v>
      </c>
      <c r="C243" s="108" t="s">
        <v>6750</v>
      </c>
      <c r="D243" s="57" t="s">
        <v>7868</v>
      </c>
      <c r="E243" s="56" t="s">
        <v>7869</v>
      </c>
      <c r="F243" s="56" t="s">
        <v>7870</v>
      </c>
      <c r="G243" s="56" t="s">
        <v>7871</v>
      </c>
      <c r="H243" s="54"/>
      <c r="I243" s="54" t="s">
        <v>4702</v>
      </c>
    </row>
    <row r="244" spans="1:9" x14ac:dyDescent="0.25">
      <c r="A244" s="53" t="s">
        <v>2502</v>
      </c>
      <c r="B244" s="52" t="s">
        <v>7872</v>
      </c>
      <c r="C244" s="108" t="s">
        <v>6755</v>
      </c>
      <c r="D244" s="57" t="s">
        <v>7873</v>
      </c>
      <c r="E244" s="56" t="s">
        <v>7874</v>
      </c>
      <c r="F244" s="56" t="s">
        <v>7875</v>
      </c>
      <c r="G244" s="56" t="s">
        <v>7876</v>
      </c>
      <c r="H244" s="54"/>
      <c r="I244" s="54" t="s">
        <v>4706</v>
      </c>
    </row>
    <row r="245" spans="1:9" x14ac:dyDescent="0.25">
      <c r="A245" s="53" t="s">
        <v>2502</v>
      </c>
      <c r="B245" s="109" t="s">
        <v>6922</v>
      </c>
      <c r="C245" s="108" t="s">
        <v>6489</v>
      </c>
      <c r="D245" s="57" t="s">
        <v>6928</v>
      </c>
      <c r="E245" s="56" t="s">
        <v>6929</v>
      </c>
      <c r="F245" s="56" t="s">
        <v>6929</v>
      </c>
      <c r="G245" s="56" t="s">
        <v>6930</v>
      </c>
      <c r="H245" s="54"/>
      <c r="I245" s="54"/>
    </row>
    <row r="246" spans="1:9" x14ac:dyDescent="0.25">
      <c r="A246" s="53" t="s">
        <v>3710</v>
      </c>
      <c r="B246" s="52" t="s">
        <v>7685</v>
      </c>
      <c r="C246" s="108" t="s">
        <v>6712</v>
      </c>
      <c r="D246" s="57" t="s">
        <v>7686</v>
      </c>
      <c r="E246" s="56" t="s">
        <v>7687</v>
      </c>
      <c r="F246" s="56" t="s">
        <v>7688</v>
      </c>
      <c r="G246" s="56" t="s">
        <v>7689</v>
      </c>
      <c r="H246" s="54"/>
      <c r="I246" s="54" t="s">
        <v>4667</v>
      </c>
    </row>
    <row r="247" spans="1:9" x14ac:dyDescent="0.25">
      <c r="A247" s="53" t="s">
        <v>2502</v>
      </c>
      <c r="B247" s="52" t="s">
        <v>7393</v>
      </c>
      <c r="C247" s="108" t="s">
        <v>7410</v>
      </c>
      <c r="D247" s="57" t="s">
        <v>7411</v>
      </c>
      <c r="E247" s="56" t="s">
        <v>7412</v>
      </c>
      <c r="F247" s="56" t="s">
        <v>7412</v>
      </c>
      <c r="G247" s="56" t="s">
        <v>7413</v>
      </c>
      <c r="H247" s="54"/>
      <c r="I247" s="54" t="s">
        <v>4609</v>
      </c>
    </row>
    <row r="248" spans="1:9" x14ac:dyDescent="0.25">
      <c r="A248" s="53" t="s">
        <v>2502</v>
      </c>
      <c r="B248" s="52" t="s">
        <v>7896</v>
      </c>
      <c r="C248" s="108" t="s">
        <v>6761</v>
      </c>
      <c r="D248" s="57" t="s">
        <v>7897</v>
      </c>
      <c r="E248" s="56" t="s">
        <v>7898</v>
      </c>
      <c r="F248" s="56" t="s">
        <v>7899</v>
      </c>
      <c r="G248" s="56" t="s">
        <v>7900</v>
      </c>
      <c r="H248" s="54"/>
      <c r="I248" s="54" t="s">
        <v>4712</v>
      </c>
    </row>
    <row r="249" spans="1:9" x14ac:dyDescent="0.25">
      <c r="A249" s="53" t="s">
        <v>2502</v>
      </c>
      <c r="B249" s="52" t="s">
        <v>7217</v>
      </c>
      <c r="C249" s="108" t="s">
        <v>6614</v>
      </c>
      <c r="D249" s="57" t="s">
        <v>7218</v>
      </c>
      <c r="E249" s="56" t="s">
        <v>7228</v>
      </c>
      <c r="F249" s="56" t="s">
        <v>7228</v>
      </c>
      <c r="G249" s="56" t="s">
        <v>7229</v>
      </c>
      <c r="H249" s="54"/>
      <c r="I249" s="54" t="s">
        <v>4573</v>
      </c>
    </row>
    <row r="250" spans="1:9" x14ac:dyDescent="0.25">
      <c r="A250" s="53" t="s">
        <v>2502</v>
      </c>
      <c r="B250" s="52" t="s">
        <v>7551</v>
      </c>
      <c r="C250" s="108" t="s">
        <v>6683</v>
      </c>
      <c r="D250" s="57" t="s">
        <v>7553</v>
      </c>
      <c r="E250" s="56" t="s">
        <v>7554</v>
      </c>
      <c r="F250" s="56" t="s">
        <v>7555</v>
      </c>
      <c r="G250" s="56" t="s">
        <v>7556</v>
      </c>
      <c r="H250" s="54"/>
      <c r="I250" s="54" t="s">
        <v>4639</v>
      </c>
    </row>
    <row r="251" spans="1:9" x14ac:dyDescent="0.25">
      <c r="A251" s="53" t="s">
        <v>2502</v>
      </c>
      <c r="B251" s="52" t="s">
        <v>7084</v>
      </c>
      <c r="C251" s="108" t="s">
        <v>7131</v>
      </c>
      <c r="D251" s="57" t="s">
        <v>7127</v>
      </c>
      <c r="E251" s="56" t="s">
        <v>7128</v>
      </c>
      <c r="F251" s="56" t="s">
        <v>7129</v>
      </c>
      <c r="G251" s="56" t="s">
        <v>7130</v>
      </c>
      <c r="H251" s="54"/>
      <c r="I251" s="54" t="s">
        <v>4555</v>
      </c>
    </row>
    <row r="252" spans="1:9" x14ac:dyDescent="0.25">
      <c r="A252" s="53" t="s">
        <v>3713</v>
      </c>
      <c r="B252" s="52" t="s">
        <v>3732</v>
      </c>
      <c r="C252" s="108" t="s">
        <v>6640</v>
      </c>
      <c r="D252" s="57" t="s">
        <v>3715</v>
      </c>
      <c r="E252" s="56" t="s">
        <v>3743</v>
      </c>
      <c r="F252" s="56" t="s">
        <v>3745</v>
      </c>
      <c r="G252" s="56" t="s">
        <v>3753</v>
      </c>
      <c r="H252" s="54"/>
      <c r="I252" s="54" t="s">
        <v>3769</v>
      </c>
    </row>
    <row r="253" spans="1:9" x14ac:dyDescent="0.25">
      <c r="A253" s="53" t="s">
        <v>2502</v>
      </c>
      <c r="B253" s="52" t="s">
        <v>3732</v>
      </c>
      <c r="C253" s="108" t="s">
        <v>6494</v>
      </c>
      <c r="D253" s="57" t="s">
        <v>4153</v>
      </c>
      <c r="E253" s="56" t="s">
        <v>4278</v>
      </c>
      <c r="F253" s="56" t="s">
        <v>4279</v>
      </c>
      <c r="G253" s="56" t="s">
        <v>4280</v>
      </c>
      <c r="H253" s="54"/>
      <c r="I253" s="54" t="s">
        <v>4375</v>
      </c>
    </row>
    <row r="254" spans="1:9" x14ac:dyDescent="0.25">
      <c r="A254" s="53" t="s">
        <v>2502</v>
      </c>
      <c r="B254" s="52" t="s">
        <v>3732</v>
      </c>
      <c r="C254" s="108" t="s">
        <v>6493</v>
      </c>
      <c r="D254" s="57" t="s">
        <v>4152</v>
      </c>
      <c r="E254" s="56" t="s">
        <v>4281</v>
      </c>
      <c r="F254" s="56" t="s">
        <v>4282</v>
      </c>
      <c r="G254" s="56" t="s">
        <v>4283</v>
      </c>
      <c r="H254" s="54"/>
      <c r="I254" s="54" t="s">
        <v>4374</v>
      </c>
    </row>
    <row r="255" spans="1:9" x14ac:dyDescent="0.25">
      <c r="A255" s="53" t="s">
        <v>2502</v>
      </c>
      <c r="B255" s="52" t="s">
        <v>3732</v>
      </c>
      <c r="C255" s="108" t="s">
        <v>6481</v>
      </c>
      <c r="D255" s="57" t="s">
        <v>4192</v>
      </c>
      <c r="E255" s="56" t="s">
        <v>4305</v>
      </c>
      <c r="F255" s="56" t="s">
        <v>4306</v>
      </c>
      <c r="G255" s="56" t="s">
        <v>4307</v>
      </c>
      <c r="H255" s="54"/>
      <c r="I255" s="54" t="s">
        <v>4366</v>
      </c>
    </row>
    <row r="256" spans="1:9" x14ac:dyDescent="0.25">
      <c r="A256" s="53" t="s">
        <v>2502</v>
      </c>
      <c r="B256" s="52" t="s">
        <v>3732</v>
      </c>
      <c r="C256" s="108" t="s">
        <v>6495</v>
      </c>
      <c r="D256" s="57" t="s">
        <v>4154</v>
      </c>
      <c r="E256" s="56" t="s">
        <v>4275</v>
      </c>
      <c r="F256" s="56" t="s">
        <v>4276</v>
      </c>
      <c r="G256" s="56" t="s">
        <v>4277</v>
      </c>
      <c r="H256" s="54"/>
      <c r="I256" s="54" t="s">
        <v>4376</v>
      </c>
    </row>
    <row r="257" spans="1:9" x14ac:dyDescent="0.25">
      <c r="A257" s="53" t="s">
        <v>2502</v>
      </c>
      <c r="B257" s="52" t="s">
        <v>3732</v>
      </c>
      <c r="C257" s="108" t="s">
        <v>6507</v>
      </c>
      <c r="D257" s="57" t="s">
        <v>4160</v>
      </c>
      <c r="E257" s="56" t="s">
        <v>4254</v>
      </c>
      <c r="F257" s="56" t="s">
        <v>4255</v>
      </c>
      <c r="G257" s="56" t="s">
        <v>4256</v>
      </c>
      <c r="H257" s="54"/>
      <c r="I257" s="54" t="s">
        <v>4383</v>
      </c>
    </row>
    <row r="258" spans="1:9" x14ac:dyDescent="0.25">
      <c r="A258" s="53" t="s">
        <v>2502</v>
      </c>
      <c r="B258" s="52" t="s">
        <v>3732</v>
      </c>
      <c r="C258" s="108" t="s">
        <v>6510</v>
      </c>
      <c r="D258" s="57" t="s">
        <v>4163</v>
      </c>
      <c r="E258" s="56" t="s">
        <v>4245</v>
      </c>
      <c r="F258" s="56" t="s">
        <v>4246</v>
      </c>
      <c r="G258" s="56" t="s">
        <v>4247</v>
      </c>
      <c r="H258" s="54"/>
      <c r="I258" s="54" t="s">
        <v>4386</v>
      </c>
    </row>
    <row r="259" spans="1:9" x14ac:dyDescent="0.25">
      <c r="A259" s="53" t="s">
        <v>2502</v>
      </c>
      <c r="B259" s="52" t="s">
        <v>3732</v>
      </c>
      <c r="C259" s="108" t="s">
        <v>6529</v>
      </c>
      <c r="D259" s="57" t="s">
        <v>4412</v>
      </c>
      <c r="E259" s="56" t="s">
        <v>4413</v>
      </c>
      <c r="F259" s="56" t="s">
        <v>4414</v>
      </c>
      <c r="G259" s="56" t="s">
        <v>4415</v>
      </c>
      <c r="H259" s="54"/>
      <c r="I259" s="54" t="s">
        <v>4494</v>
      </c>
    </row>
    <row r="260" spans="1:9" x14ac:dyDescent="0.25">
      <c r="A260" s="53" t="s">
        <v>2502</v>
      </c>
      <c r="B260" s="52" t="s">
        <v>3732</v>
      </c>
      <c r="C260" s="108" t="s">
        <v>2569</v>
      </c>
      <c r="D260" s="57" t="s">
        <v>4067</v>
      </c>
      <c r="E260" s="56" t="s">
        <v>4068</v>
      </c>
      <c r="F260" s="56" t="s">
        <v>4069</v>
      </c>
      <c r="G260" s="56" t="s">
        <v>4070</v>
      </c>
      <c r="H260" s="54"/>
      <c r="I260" s="54" t="s">
        <v>4343</v>
      </c>
    </row>
    <row r="261" spans="1:9" x14ac:dyDescent="0.25">
      <c r="A261" s="53" t="s">
        <v>2502</v>
      </c>
      <c r="B261" s="52" t="s">
        <v>3732</v>
      </c>
      <c r="C261" s="108" t="s">
        <v>6463</v>
      </c>
      <c r="D261" s="57" t="s">
        <v>4085</v>
      </c>
      <c r="E261" s="56" t="s">
        <v>4087</v>
      </c>
      <c r="F261" s="56" t="s">
        <v>4089</v>
      </c>
      <c r="G261" s="56" t="s">
        <v>4091</v>
      </c>
      <c r="H261" s="54"/>
      <c r="I261" s="54" t="s">
        <v>4347</v>
      </c>
    </row>
    <row r="262" spans="1:9" x14ac:dyDescent="0.25">
      <c r="A262" s="53" t="s">
        <v>2502</v>
      </c>
      <c r="B262" s="52" t="s">
        <v>3732</v>
      </c>
      <c r="C262" s="108" t="s">
        <v>6822</v>
      </c>
      <c r="D262" s="57" t="s">
        <v>4192</v>
      </c>
      <c r="E262" s="56" t="s">
        <v>4305</v>
      </c>
      <c r="F262" s="56" t="s">
        <v>4306</v>
      </c>
      <c r="G262" s="56" t="s">
        <v>4307</v>
      </c>
      <c r="H262" s="54"/>
      <c r="I262" s="54" t="s">
        <v>4764</v>
      </c>
    </row>
    <row r="263" spans="1:9" x14ac:dyDescent="0.25">
      <c r="A263" s="53" t="s">
        <v>2502</v>
      </c>
      <c r="B263" s="52" t="s">
        <v>3732</v>
      </c>
      <c r="C263" s="108" t="s">
        <v>6824</v>
      </c>
      <c r="D263" s="57" t="s">
        <v>4192</v>
      </c>
      <c r="E263" s="56" t="s">
        <v>4305</v>
      </c>
      <c r="F263" s="56" t="s">
        <v>4306</v>
      </c>
      <c r="G263" s="56" t="s">
        <v>4307</v>
      </c>
      <c r="H263" s="54"/>
      <c r="I263" s="54" t="s">
        <v>4766</v>
      </c>
    </row>
    <row r="264" spans="1:9" x14ac:dyDescent="0.25">
      <c r="A264" s="53" t="s">
        <v>2502</v>
      </c>
      <c r="B264" s="52" t="s">
        <v>3732</v>
      </c>
      <c r="C264" s="108" t="s">
        <v>6850</v>
      </c>
      <c r="D264" s="57" t="s">
        <v>4192</v>
      </c>
      <c r="E264" s="56" t="s">
        <v>4305</v>
      </c>
      <c r="F264" s="56" t="s">
        <v>4306</v>
      </c>
      <c r="G264" s="56" t="s">
        <v>4307</v>
      </c>
      <c r="H264" s="54"/>
      <c r="I264" s="54" t="s">
        <v>4781</v>
      </c>
    </row>
    <row r="265" spans="1:9" x14ac:dyDescent="0.25">
      <c r="A265" s="53" t="s">
        <v>2502</v>
      </c>
      <c r="B265" s="52" t="s">
        <v>7924</v>
      </c>
      <c r="C265" s="108" t="s">
        <v>6777</v>
      </c>
      <c r="D265" s="57" t="s">
        <v>7925</v>
      </c>
      <c r="E265" s="56" t="s">
        <v>7926</v>
      </c>
      <c r="F265" s="56" t="s">
        <v>7927</v>
      </c>
      <c r="G265" s="56" t="s">
        <v>7928</v>
      </c>
      <c r="H265" s="54"/>
      <c r="I265" s="54" t="s">
        <v>4728</v>
      </c>
    </row>
    <row r="266" spans="1:9" x14ac:dyDescent="0.25">
      <c r="A266" s="53" t="s">
        <v>2502</v>
      </c>
      <c r="B266" s="109" t="s">
        <v>6923</v>
      </c>
      <c r="C266" s="108" t="s">
        <v>6499</v>
      </c>
      <c r="D266" s="57" t="s">
        <v>6939</v>
      </c>
      <c r="E266" s="56" t="s">
        <v>6940</v>
      </c>
      <c r="F266" s="56" t="s">
        <v>6941</v>
      </c>
      <c r="G266" s="56" t="s">
        <v>6942</v>
      </c>
      <c r="H266" s="54"/>
      <c r="I266" s="54"/>
    </row>
    <row r="267" spans="1:9" x14ac:dyDescent="0.25">
      <c r="A267" s="53" t="s">
        <v>2502</v>
      </c>
      <c r="B267" s="109" t="s">
        <v>6925</v>
      </c>
      <c r="C267" s="108" t="s">
        <v>6504</v>
      </c>
      <c r="D267" s="57" t="s">
        <v>6947</v>
      </c>
      <c r="E267" s="56" t="s">
        <v>6948</v>
      </c>
      <c r="F267" s="56" t="s">
        <v>6949</v>
      </c>
      <c r="G267" s="56" t="s">
        <v>6950</v>
      </c>
      <c r="H267" s="54"/>
      <c r="I267" s="54"/>
    </row>
    <row r="268" spans="1:9" x14ac:dyDescent="0.25">
      <c r="A268" s="53" t="s">
        <v>2502</v>
      </c>
      <c r="B268" s="52" t="s">
        <v>7970</v>
      </c>
      <c r="C268" s="108" t="s">
        <v>6787</v>
      </c>
      <c r="D268" s="57" t="s">
        <v>7971</v>
      </c>
      <c r="E268" s="56" t="s">
        <v>7972</v>
      </c>
      <c r="F268" s="56" t="s">
        <v>7973</v>
      </c>
      <c r="G268" s="56" t="s">
        <v>7974</v>
      </c>
      <c r="H268" s="54"/>
      <c r="I268" s="54" t="s">
        <v>4737</v>
      </c>
    </row>
    <row r="269" spans="1:9" x14ac:dyDescent="0.25">
      <c r="A269" s="53" t="s">
        <v>2502</v>
      </c>
      <c r="B269" s="52" t="s">
        <v>8040</v>
      </c>
      <c r="C269" s="108" t="s">
        <v>6689</v>
      </c>
      <c r="D269" s="57" t="s">
        <v>7587</v>
      </c>
      <c r="E269" s="56" t="s">
        <v>7588</v>
      </c>
      <c r="F269" s="56" t="s">
        <v>7589</v>
      </c>
      <c r="G269" s="56" t="s">
        <v>7590</v>
      </c>
      <c r="H269" s="54"/>
      <c r="I269" s="54" t="s">
        <v>4645</v>
      </c>
    </row>
    <row r="270" spans="1:9" x14ac:dyDescent="0.25">
      <c r="A270" s="53" t="s">
        <v>2502</v>
      </c>
      <c r="B270" s="52" t="s">
        <v>8040</v>
      </c>
      <c r="C270" s="108" t="s">
        <v>6672</v>
      </c>
      <c r="D270" s="57" t="s">
        <v>7504</v>
      </c>
      <c r="E270" s="56" t="s">
        <v>7505</v>
      </c>
      <c r="F270" s="56" t="s">
        <v>7506</v>
      </c>
      <c r="G270" s="56" t="s">
        <v>7507</v>
      </c>
      <c r="H270" s="54"/>
      <c r="I270" s="54" t="s">
        <v>4628</v>
      </c>
    </row>
    <row r="271" spans="1:9" x14ac:dyDescent="0.25">
      <c r="A271" s="53" t="s">
        <v>2502</v>
      </c>
      <c r="B271" s="52" t="s">
        <v>8040</v>
      </c>
      <c r="C271" s="108" t="s">
        <v>6826</v>
      </c>
      <c r="D271" s="57" t="s">
        <v>7587</v>
      </c>
      <c r="E271" s="56" t="s">
        <v>7588</v>
      </c>
      <c r="F271" s="56" t="s">
        <v>7589</v>
      </c>
      <c r="G271" s="56" t="s">
        <v>7590</v>
      </c>
      <c r="H271" s="54"/>
      <c r="I271" s="54" t="s">
        <v>4768</v>
      </c>
    </row>
    <row r="272" spans="1:9" x14ac:dyDescent="0.25">
      <c r="A272" s="53" t="s">
        <v>2502</v>
      </c>
      <c r="B272" s="52" t="s">
        <v>8040</v>
      </c>
      <c r="C272" s="108" t="s">
        <v>6842</v>
      </c>
      <c r="D272" s="57" t="s">
        <v>7587</v>
      </c>
      <c r="E272" s="56" t="s">
        <v>7588</v>
      </c>
      <c r="F272" s="56" t="s">
        <v>7589</v>
      </c>
      <c r="G272" s="56" t="s">
        <v>7590</v>
      </c>
      <c r="H272" s="54"/>
      <c r="I272" s="54" t="s">
        <v>4776</v>
      </c>
    </row>
    <row r="273" spans="1:9" x14ac:dyDescent="0.25">
      <c r="A273" s="53" t="s">
        <v>2502</v>
      </c>
      <c r="B273" s="52" t="s">
        <v>8040</v>
      </c>
      <c r="C273" s="108" t="s">
        <v>6853</v>
      </c>
      <c r="D273" s="57" t="s">
        <v>7587</v>
      </c>
      <c r="E273" s="56" t="s">
        <v>7588</v>
      </c>
      <c r="F273" s="56" t="s">
        <v>7589</v>
      </c>
      <c r="G273" s="56" t="s">
        <v>7590</v>
      </c>
      <c r="H273" s="54"/>
      <c r="I273" s="54" t="s">
        <v>4784</v>
      </c>
    </row>
    <row r="274" spans="1:9" x14ac:dyDescent="0.25">
      <c r="A274" s="53" t="s">
        <v>2502</v>
      </c>
      <c r="B274" s="52" t="s">
        <v>8040</v>
      </c>
      <c r="C274" s="108" t="s">
        <v>6817</v>
      </c>
      <c r="D274" s="57" t="s">
        <v>7863</v>
      </c>
      <c r="E274" s="56" t="s">
        <v>7864</v>
      </c>
      <c r="F274" s="56" t="s">
        <v>7865</v>
      </c>
      <c r="G274" s="56" t="s">
        <v>7866</v>
      </c>
      <c r="H274" s="54"/>
      <c r="I274" s="54" t="s">
        <v>4760</v>
      </c>
    </row>
    <row r="275" spans="1:9" x14ac:dyDescent="0.25">
      <c r="A275" s="53" t="s">
        <v>2502</v>
      </c>
      <c r="B275" s="52" t="s">
        <v>8040</v>
      </c>
      <c r="C275" s="108" t="s">
        <v>6820</v>
      </c>
      <c r="D275" s="57" t="s">
        <v>7863</v>
      </c>
      <c r="E275" s="56" t="s">
        <v>7864</v>
      </c>
      <c r="F275" s="56" t="s">
        <v>7865</v>
      </c>
      <c r="G275" s="56" t="s">
        <v>7866</v>
      </c>
      <c r="H275" s="54"/>
      <c r="I275" s="54" t="s">
        <v>4763</v>
      </c>
    </row>
    <row r="276" spans="1:9" x14ac:dyDescent="0.25">
      <c r="A276" s="53" t="s">
        <v>2502</v>
      </c>
      <c r="B276" s="52" t="s">
        <v>8040</v>
      </c>
      <c r="C276" s="108" t="s">
        <v>6851</v>
      </c>
      <c r="D276" s="57" t="s">
        <v>7863</v>
      </c>
      <c r="E276" s="56" t="s">
        <v>7864</v>
      </c>
      <c r="F276" s="56" t="s">
        <v>7865</v>
      </c>
      <c r="G276" s="56" t="s">
        <v>7866</v>
      </c>
      <c r="H276" s="54"/>
      <c r="I276" s="54" t="s">
        <v>4782</v>
      </c>
    </row>
    <row r="277" spans="1:9" x14ac:dyDescent="0.25">
      <c r="A277" s="53" t="s">
        <v>2502</v>
      </c>
      <c r="B277" s="52" t="s">
        <v>7795</v>
      </c>
      <c r="C277" s="108" t="s">
        <v>6738</v>
      </c>
      <c r="D277" s="57" t="s">
        <v>7796</v>
      </c>
      <c r="E277" s="56" t="s">
        <v>7797</v>
      </c>
      <c r="F277" s="56" t="s">
        <v>7798</v>
      </c>
      <c r="G277" s="56" t="s">
        <v>7799</v>
      </c>
      <c r="H277" s="54"/>
      <c r="I277" s="54" t="s">
        <v>4691</v>
      </c>
    </row>
    <row r="278" spans="1:9" x14ac:dyDescent="0.25">
      <c r="A278" s="53" t="s">
        <v>2502</v>
      </c>
      <c r="B278" s="109" t="s">
        <v>6878</v>
      </c>
      <c r="C278" s="108" t="s">
        <v>6423</v>
      </c>
      <c r="D278" s="57" t="s">
        <v>6879</v>
      </c>
      <c r="E278" s="56" t="s">
        <v>6880</v>
      </c>
      <c r="F278" s="56" t="s">
        <v>6881</v>
      </c>
      <c r="G278" s="56" t="s">
        <v>6882</v>
      </c>
      <c r="H278" s="54"/>
      <c r="I278" s="54"/>
    </row>
    <row r="279" spans="1:9" x14ac:dyDescent="0.25">
      <c r="A279" s="53" t="s">
        <v>2502</v>
      </c>
      <c r="B279" s="109" t="s">
        <v>6926</v>
      </c>
      <c r="C279" s="108" t="s">
        <v>6513</v>
      </c>
      <c r="D279" s="57" t="s">
        <v>6961</v>
      </c>
      <c r="E279" s="56" t="s">
        <v>6962</v>
      </c>
      <c r="F279" s="56" t="s">
        <v>6963</v>
      </c>
      <c r="G279" s="56" t="s">
        <v>6964</v>
      </c>
      <c r="H279" s="54"/>
      <c r="I279" s="54"/>
    </row>
    <row r="280" spans="1:9" x14ac:dyDescent="0.25">
      <c r="A280" s="53" t="s">
        <v>6256</v>
      </c>
      <c r="B280" s="109" t="s">
        <v>7219</v>
      </c>
      <c r="C280" s="108" t="s">
        <v>6615</v>
      </c>
      <c r="D280" s="57" t="s">
        <v>7226</v>
      </c>
      <c r="E280" s="56" t="s">
        <v>7227</v>
      </c>
      <c r="F280" s="56" t="s">
        <v>7230</v>
      </c>
      <c r="G280" s="56" t="s">
        <v>7231</v>
      </c>
      <c r="H280" s="54"/>
      <c r="I280" s="54"/>
    </row>
    <row r="281" spans="1:9" x14ac:dyDescent="0.25">
      <c r="A281" s="63" t="s">
        <v>2502</v>
      </c>
      <c r="B281" s="131" t="s">
        <v>4487</v>
      </c>
      <c r="C281" s="129" t="s">
        <v>2677</v>
      </c>
      <c r="D281" s="66" t="s">
        <v>4788</v>
      </c>
      <c r="E281" s="65" t="s">
        <v>4488</v>
      </c>
      <c r="F281" s="65" t="s">
        <v>4489</v>
      </c>
      <c r="G281" s="65" t="s">
        <v>4490</v>
      </c>
      <c r="H281" s="67"/>
      <c r="I281" s="67" t="s">
        <v>4510</v>
      </c>
    </row>
    <row r="282" spans="1:9" x14ac:dyDescent="0.25">
      <c r="A282" s="53" t="s">
        <v>2502</v>
      </c>
      <c r="B282" s="109" t="s">
        <v>6924</v>
      </c>
      <c r="C282" s="108" t="s">
        <v>6501</v>
      </c>
      <c r="D282" s="57" t="s">
        <v>6943</v>
      </c>
      <c r="E282" s="56" t="s">
        <v>6944</v>
      </c>
      <c r="F282" s="56" t="s">
        <v>6945</v>
      </c>
      <c r="G282" s="56" t="s">
        <v>6946</v>
      </c>
      <c r="H282" s="54"/>
      <c r="I282" s="54"/>
    </row>
    <row r="283" spans="1:9" x14ac:dyDescent="0.25">
      <c r="A283" s="53" t="s">
        <v>2502</v>
      </c>
      <c r="B283" s="109" t="s">
        <v>6927</v>
      </c>
      <c r="C283" s="108" t="s">
        <v>6517</v>
      </c>
      <c r="D283" s="57" t="s">
        <v>6965</v>
      </c>
      <c r="E283" s="56" t="s">
        <v>6966</v>
      </c>
      <c r="F283" s="56" t="s">
        <v>6967</v>
      </c>
      <c r="G283" s="56" t="s">
        <v>6968</v>
      </c>
      <c r="H283" s="54"/>
      <c r="I283" s="54"/>
    </row>
    <row r="284" spans="1:9" x14ac:dyDescent="0.25">
      <c r="A284" s="53" t="s">
        <v>2502</v>
      </c>
      <c r="B284" s="52" t="s">
        <v>7246</v>
      </c>
      <c r="C284" s="108" t="s">
        <v>6629</v>
      </c>
      <c r="D284" s="57" t="s">
        <v>7296</v>
      </c>
      <c r="E284" s="56" t="s">
        <v>7297</v>
      </c>
      <c r="F284" s="56" t="s">
        <v>7298</v>
      </c>
      <c r="G284" s="56" t="s">
        <v>7299</v>
      </c>
      <c r="H284" s="54"/>
      <c r="I284" s="54" t="s">
        <v>4587</v>
      </c>
    </row>
    <row r="285" spans="1:9" x14ac:dyDescent="0.25">
      <c r="A285" s="53" t="s">
        <v>2502</v>
      </c>
      <c r="B285" s="52" t="s">
        <v>7245</v>
      </c>
      <c r="C285" s="108" t="s">
        <v>6626</v>
      </c>
      <c r="D285" s="57" t="s">
        <v>7280</v>
      </c>
      <c r="E285" s="56" t="s">
        <v>7279</v>
      </c>
      <c r="F285" s="56" t="s">
        <v>7281</v>
      </c>
      <c r="G285" s="56" t="s">
        <v>7282</v>
      </c>
      <c r="H285" s="54"/>
      <c r="I285" s="54" t="s">
        <v>4584</v>
      </c>
    </row>
    <row r="286" spans="1:9" x14ac:dyDescent="0.25">
      <c r="A286" s="53" t="s">
        <v>2502</v>
      </c>
      <c r="B286" s="109" t="s">
        <v>7049</v>
      </c>
      <c r="C286" s="108" t="s">
        <v>6580</v>
      </c>
      <c r="D286" s="57" t="s">
        <v>7050</v>
      </c>
      <c r="E286" s="56" t="s">
        <v>7051</v>
      </c>
      <c r="F286" s="56" t="s">
        <v>7052</v>
      </c>
      <c r="G286" s="56" t="s">
        <v>7053</v>
      </c>
      <c r="H286" s="54"/>
      <c r="I286" s="54"/>
    </row>
    <row r="287" spans="1:9" x14ac:dyDescent="0.25">
      <c r="A287" s="53" t="s">
        <v>2502</v>
      </c>
      <c r="B287" s="52" t="s">
        <v>7911</v>
      </c>
      <c r="C287" s="108" t="s">
        <v>6788</v>
      </c>
      <c r="D287" s="57" t="s">
        <v>7975</v>
      </c>
      <c r="E287" s="56" t="s">
        <v>7976</v>
      </c>
      <c r="F287" s="56" t="s">
        <v>7977</v>
      </c>
      <c r="G287" s="56" t="s">
        <v>7978</v>
      </c>
      <c r="H287" s="54"/>
      <c r="I287" s="54" t="s">
        <v>4738</v>
      </c>
    </row>
    <row r="288" spans="1:9" x14ac:dyDescent="0.25">
      <c r="A288" s="53" t="s">
        <v>2502</v>
      </c>
      <c r="B288" s="52" t="s">
        <v>7730</v>
      </c>
      <c r="C288" s="108" t="s">
        <v>6721</v>
      </c>
      <c r="D288" s="57" t="s">
        <v>7731</v>
      </c>
      <c r="E288" s="56" t="s">
        <v>7732</v>
      </c>
      <c r="F288" s="56" t="s">
        <v>7733</v>
      </c>
      <c r="G288" s="56" t="s">
        <v>7734</v>
      </c>
      <c r="H288" s="54"/>
      <c r="I288" s="54" t="s">
        <v>4674</v>
      </c>
    </row>
    <row r="289" spans="1:9" x14ac:dyDescent="0.25">
      <c r="A289" s="53" t="s">
        <v>2502</v>
      </c>
      <c r="B289" s="52" t="s">
        <v>7147</v>
      </c>
      <c r="C289" s="108" t="s">
        <v>6597</v>
      </c>
      <c r="D289" s="57" t="s">
        <v>7148</v>
      </c>
      <c r="E289" s="56" t="s">
        <v>7149</v>
      </c>
      <c r="F289" s="56" t="s">
        <v>7149</v>
      </c>
      <c r="G289" s="56" t="s">
        <v>7150</v>
      </c>
      <c r="H289" s="54"/>
      <c r="I289" s="54" t="s">
        <v>4559</v>
      </c>
    </row>
    <row r="290" spans="1:9" x14ac:dyDescent="0.25">
      <c r="A290" s="53" t="s">
        <v>2502</v>
      </c>
      <c r="B290" s="52" t="s">
        <v>7819</v>
      </c>
      <c r="C290" s="108" t="s">
        <v>6743</v>
      </c>
      <c r="D290" s="57" t="s">
        <v>7820</v>
      </c>
      <c r="E290" s="56" t="s">
        <v>7821</v>
      </c>
      <c r="F290" s="56" t="s">
        <v>7822</v>
      </c>
      <c r="G290" s="56" t="s">
        <v>7823</v>
      </c>
      <c r="H290" s="54"/>
      <c r="I290" s="54" t="s">
        <v>4696</v>
      </c>
    </row>
    <row r="291" spans="1:9" x14ac:dyDescent="0.25">
      <c r="A291" s="53" t="s">
        <v>2502</v>
      </c>
      <c r="B291" s="52" t="s">
        <v>7394</v>
      </c>
      <c r="C291" s="108" t="s">
        <v>6651</v>
      </c>
      <c r="D291" s="57" t="s">
        <v>7395</v>
      </c>
      <c r="E291" s="56" t="s">
        <v>7396</v>
      </c>
      <c r="F291" s="56" t="s">
        <v>7397</v>
      </c>
      <c r="G291" s="56" t="s">
        <v>7398</v>
      </c>
      <c r="H291" s="54"/>
      <c r="I291" s="54" t="s">
        <v>4606</v>
      </c>
    </row>
    <row r="292" spans="1:9" x14ac:dyDescent="0.25">
      <c r="A292" s="53" t="s">
        <v>2502</v>
      </c>
      <c r="B292" s="52" t="s">
        <v>7735</v>
      </c>
      <c r="C292" s="108" t="s">
        <v>6722</v>
      </c>
      <c r="D292" s="57" t="s">
        <v>7737</v>
      </c>
      <c r="E292" s="56" t="s">
        <v>7738</v>
      </c>
      <c r="F292" s="56" t="s">
        <v>7739</v>
      </c>
      <c r="G292" s="56" t="s">
        <v>7740</v>
      </c>
      <c r="H292" s="54"/>
      <c r="I292" s="54" t="s">
        <v>4675</v>
      </c>
    </row>
    <row r="293" spans="1:9" x14ac:dyDescent="0.25">
      <c r="A293" s="53" t="s">
        <v>2502</v>
      </c>
      <c r="B293" s="52" t="s">
        <v>6376</v>
      </c>
      <c r="C293" s="108" t="s">
        <v>6568</v>
      </c>
      <c r="D293" s="57" t="s">
        <v>6377</v>
      </c>
      <c r="E293" s="56" t="s">
        <v>6378</v>
      </c>
      <c r="F293" s="56" t="s">
        <v>6379</v>
      </c>
      <c r="G293" s="56" t="s">
        <v>6380</v>
      </c>
      <c r="H293" s="54"/>
      <c r="I293" s="54" t="s">
        <v>4539</v>
      </c>
    </row>
    <row r="294" spans="1:9" x14ac:dyDescent="0.25">
      <c r="A294" s="53" t="s">
        <v>2502</v>
      </c>
      <c r="B294" s="52" t="s">
        <v>7392</v>
      </c>
      <c r="C294" s="108" t="s">
        <v>6653</v>
      </c>
      <c r="D294" s="57" t="s">
        <v>7406</v>
      </c>
      <c r="E294" s="56" t="s">
        <v>7407</v>
      </c>
      <c r="F294" s="56" t="s">
        <v>7408</v>
      </c>
      <c r="G294" s="56" t="s">
        <v>7409</v>
      </c>
      <c r="H294" s="54"/>
      <c r="I294" s="54" t="s">
        <v>4608</v>
      </c>
    </row>
    <row r="295" spans="1:9" x14ac:dyDescent="0.25">
      <c r="A295" s="53" t="s">
        <v>2502</v>
      </c>
      <c r="B295" s="52" t="s">
        <v>7994</v>
      </c>
      <c r="C295" s="108" t="s">
        <v>6793</v>
      </c>
      <c r="D295" s="57" t="s">
        <v>7995</v>
      </c>
      <c r="E295" s="56" t="s">
        <v>7996</v>
      </c>
      <c r="F295" s="56" t="s">
        <v>7997</v>
      </c>
      <c r="G295" s="56" t="s">
        <v>7998</v>
      </c>
      <c r="H295" s="54"/>
      <c r="I295" s="54" t="s">
        <v>4742</v>
      </c>
    </row>
    <row r="296" spans="1:9" x14ac:dyDescent="0.25">
      <c r="A296" s="53" t="s">
        <v>2502</v>
      </c>
      <c r="B296" s="52" t="s">
        <v>4182</v>
      </c>
      <c r="C296" s="108" t="s">
        <v>6480</v>
      </c>
      <c r="D296" s="57" t="s">
        <v>4191</v>
      </c>
      <c r="E296" s="56" t="s">
        <v>4308</v>
      </c>
      <c r="F296" s="56" t="s">
        <v>4309</v>
      </c>
      <c r="G296" s="56" t="s">
        <v>4310</v>
      </c>
      <c r="H296" s="54"/>
      <c r="I296" s="54" t="s">
        <v>4365</v>
      </c>
    </row>
    <row r="297" spans="1:9" x14ac:dyDescent="0.25">
      <c r="A297" s="53" t="s">
        <v>2502</v>
      </c>
      <c r="B297" s="109" t="s">
        <v>6910</v>
      </c>
      <c r="C297" s="108" t="s">
        <v>6478</v>
      </c>
      <c r="D297" s="57" t="s">
        <v>6911</v>
      </c>
      <c r="E297" s="56" t="s">
        <v>6912</v>
      </c>
      <c r="F297" s="56" t="s">
        <v>6912</v>
      </c>
      <c r="G297" s="56" t="s">
        <v>6913</v>
      </c>
      <c r="H297" s="54"/>
      <c r="I297" s="54"/>
    </row>
    <row r="298" spans="1:9" x14ac:dyDescent="0.25">
      <c r="A298" s="53" t="s">
        <v>2502</v>
      </c>
      <c r="B298" s="52" t="s">
        <v>7405</v>
      </c>
      <c r="C298" s="108" t="s">
        <v>6657</v>
      </c>
      <c r="D298" s="57" t="s">
        <v>7427</v>
      </c>
      <c r="E298" s="56" t="s">
        <v>7428</v>
      </c>
      <c r="F298" s="56" t="s">
        <v>7429</v>
      </c>
      <c r="G298" s="56" t="s">
        <v>7430</v>
      </c>
      <c r="H298" s="54"/>
      <c r="I298" s="54" t="s">
        <v>4613</v>
      </c>
    </row>
    <row r="299" spans="1:9" x14ac:dyDescent="0.25">
      <c r="A299" s="53" t="s">
        <v>2502</v>
      </c>
      <c r="B299" s="52" t="s">
        <v>7221</v>
      </c>
      <c r="C299" s="108" t="s">
        <v>6617</v>
      </c>
      <c r="D299" s="57" t="s">
        <v>7236</v>
      </c>
      <c r="E299" s="56" t="s">
        <v>7237</v>
      </c>
      <c r="F299" s="56" t="s">
        <v>7238</v>
      </c>
      <c r="G299" s="56" t="s">
        <v>7239</v>
      </c>
      <c r="H299" s="54"/>
      <c r="I299" s="54" t="s">
        <v>4575</v>
      </c>
    </row>
    <row r="300" spans="1:9" x14ac:dyDescent="0.25">
      <c r="A300" s="53" t="s">
        <v>2502</v>
      </c>
      <c r="B300" s="52" t="s">
        <v>7489</v>
      </c>
      <c r="C300" s="108" t="s">
        <v>6684</v>
      </c>
      <c r="D300" s="57" t="s">
        <v>7557</v>
      </c>
      <c r="E300" s="56" t="s">
        <v>7558</v>
      </c>
      <c r="F300" s="56" t="s">
        <v>7559</v>
      </c>
      <c r="G300" s="56" t="s">
        <v>7560</v>
      </c>
      <c r="H300" s="54"/>
      <c r="I300" s="54" t="s">
        <v>4640</v>
      </c>
    </row>
    <row r="301" spans="1:9" x14ac:dyDescent="0.25">
      <c r="A301" s="53" t="s">
        <v>2502</v>
      </c>
      <c r="B301" s="52" t="s">
        <v>7326</v>
      </c>
      <c r="C301" s="108" t="s">
        <v>6650</v>
      </c>
      <c r="D301" s="57" t="s">
        <v>7388</v>
      </c>
      <c r="E301" s="56" t="s">
        <v>7389</v>
      </c>
      <c r="F301" s="56" t="s">
        <v>7390</v>
      </c>
      <c r="G301" s="56" t="s">
        <v>7391</v>
      </c>
      <c r="H301" s="54"/>
      <c r="I301" s="54" t="s">
        <v>4605</v>
      </c>
    </row>
    <row r="302" spans="1:9" x14ac:dyDescent="0.25">
      <c r="A302" s="53" t="s">
        <v>2502</v>
      </c>
      <c r="B302" s="52" t="s">
        <v>7009</v>
      </c>
      <c r="C302" s="108" t="s">
        <v>6570</v>
      </c>
      <c r="D302" s="57" t="s">
        <v>7010</v>
      </c>
      <c r="E302" s="56" t="s">
        <v>7011</v>
      </c>
      <c r="F302" s="56" t="s">
        <v>7012</v>
      </c>
      <c r="G302" s="56" t="s">
        <v>7013</v>
      </c>
      <c r="H302" s="54"/>
      <c r="I302" s="54" t="s">
        <v>4541</v>
      </c>
    </row>
    <row r="303" spans="1:9" x14ac:dyDescent="0.25">
      <c r="A303" s="53" t="s">
        <v>2502</v>
      </c>
      <c r="B303" s="52" t="s">
        <v>7901</v>
      </c>
      <c r="C303" s="108" t="s">
        <v>6767</v>
      </c>
      <c r="D303" s="57" t="s">
        <v>7920</v>
      </c>
      <c r="E303" s="56" t="s">
        <v>7921</v>
      </c>
      <c r="F303" s="56" t="s">
        <v>7922</v>
      </c>
      <c r="G303" s="56" t="s">
        <v>7923</v>
      </c>
      <c r="H303" s="54"/>
      <c r="I303" s="54" t="s">
        <v>4718</v>
      </c>
    </row>
    <row r="304" spans="1:9" x14ac:dyDescent="0.25">
      <c r="A304" s="53" t="s">
        <v>2502</v>
      </c>
      <c r="B304" s="52" t="s">
        <v>7520</v>
      </c>
      <c r="C304" s="108" t="s">
        <v>6693</v>
      </c>
      <c r="D304" s="57" t="s">
        <v>7608</v>
      </c>
      <c r="E304" s="56" t="s">
        <v>7609</v>
      </c>
      <c r="F304" s="56" t="s">
        <v>7610</v>
      </c>
      <c r="G304" s="56" t="s">
        <v>7611</v>
      </c>
      <c r="H304" s="54"/>
      <c r="I304" s="54" t="s">
        <v>4649</v>
      </c>
    </row>
    <row r="305" spans="1:9" x14ac:dyDescent="0.25">
      <c r="A305" s="53" t="s">
        <v>2502</v>
      </c>
      <c r="B305" s="52" t="s">
        <v>7256</v>
      </c>
      <c r="C305" s="108" t="s">
        <v>6621</v>
      </c>
      <c r="D305" s="57" t="s">
        <v>7257</v>
      </c>
      <c r="E305" s="56" t="s">
        <v>7258</v>
      </c>
      <c r="F305" s="56" t="s">
        <v>7259</v>
      </c>
      <c r="G305" s="56" t="s">
        <v>7260</v>
      </c>
      <c r="H305" s="54"/>
      <c r="I305" s="54" t="s">
        <v>4579</v>
      </c>
    </row>
    <row r="306" spans="1:9" x14ac:dyDescent="0.25">
      <c r="A306" s="53" t="s">
        <v>2502</v>
      </c>
      <c r="B306" s="52" t="s">
        <v>7519</v>
      </c>
      <c r="C306" s="108" t="s">
        <v>6691</v>
      </c>
      <c r="D306" s="57" t="s">
        <v>7595</v>
      </c>
      <c r="E306" s="56" t="s">
        <v>7596</v>
      </c>
      <c r="F306" s="56" t="s">
        <v>7597</v>
      </c>
      <c r="G306" s="56" t="s">
        <v>7598</v>
      </c>
      <c r="H306" s="54"/>
      <c r="I306" s="54" t="s">
        <v>4647</v>
      </c>
    </row>
    <row r="307" spans="1:9" x14ac:dyDescent="0.25">
      <c r="A307" s="53" t="s">
        <v>2502</v>
      </c>
      <c r="B307" s="52" t="s">
        <v>7292</v>
      </c>
      <c r="C307" s="108" t="s">
        <v>6628</v>
      </c>
      <c r="D307" s="57" t="s">
        <v>7293</v>
      </c>
      <c r="E307" s="56" t="s">
        <v>7294</v>
      </c>
      <c r="F307" s="56" t="s">
        <v>7294</v>
      </c>
      <c r="G307" s="56" t="s">
        <v>7295</v>
      </c>
      <c r="H307" s="54"/>
      <c r="I307" s="54" t="s">
        <v>4586</v>
      </c>
    </row>
    <row r="308" spans="1:9" x14ac:dyDescent="0.25">
      <c r="A308" s="53" t="s">
        <v>2502</v>
      </c>
      <c r="B308" s="52" t="s">
        <v>4179</v>
      </c>
      <c r="C308" s="108" t="s">
        <v>6484</v>
      </c>
      <c r="D308" s="132" t="s">
        <v>4195</v>
      </c>
      <c r="E308" s="56" t="s">
        <v>4296</v>
      </c>
      <c r="F308" s="56" t="s">
        <v>4297</v>
      </c>
      <c r="G308" s="56" t="s">
        <v>4298</v>
      </c>
      <c r="H308" s="54"/>
      <c r="I308" s="54" t="s">
        <v>4369</v>
      </c>
    </row>
    <row r="309" spans="1:9" x14ac:dyDescent="0.25">
      <c r="A309" s="53" t="s">
        <v>2502</v>
      </c>
      <c r="B309" s="52" t="s">
        <v>7585</v>
      </c>
      <c r="C309" s="108" t="s">
        <v>6702</v>
      </c>
      <c r="D309" s="57" t="s">
        <v>7638</v>
      </c>
      <c r="E309" s="56" t="s">
        <v>7639</v>
      </c>
      <c r="F309" s="56" t="s">
        <v>7640</v>
      </c>
      <c r="G309" s="56"/>
      <c r="H309" s="54"/>
      <c r="I309" s="54" t="s">
        <v>4656</v>
      </c>
    </row>
    <row r="310" spans="1:9" x14ac:dyDescent="0.25">
      <c r="A310" s="53" t="s">
        <v>2502</v>
      </c>
      <c r="B310" s="52" t="s">
        <v>7491</v>
      </c>
      <c r="C310" s="108" t="s">
        <v>6687</v>
      </c>
      <c r="D310" s="57" t="s">
        <v>7570</v>
      </c>
      <c r="E310" s="56" t="s">
        <v>7571</v>
      </c>
      <c r="F310" s="56" t="s">
        <v>7572</v>
      </c>
      <c r="G310" s="56" t="s">
        <v>7573</v>
      </c>
      <c r="H310" s="54"/>
      <c r="I310" s="54" t="s">
        <v>4643</v>
      </c>
    </row>
    <row r="311" spans="1:9" x14ac:dyDescent="0.25">
      <c r="A311" s="58" t="s">
        <v>2502</v>
      </c>
      <c r="B311" s="59" t="s">
        <v>3729</v>
      </c>
      <c r="C311" s="108" t="s">
        <v>6546</v>
      </c>
      <c r="D311" s="61" t="s">
        <v>3822</v>
      </c>
      <c r="E311" s="60" t="s">
        <v>3853</v>
      </c>
      <c r="F311" s="60" t="s">
        <v>3929</v>
      </c>
      <c r="G311" s="60" t="s">
        <v>3930</v>
      </c>
      <c r="H311" s="54"/>
      <c r="I311" s="54" t="s">
        <v>3997</v>
      </c>
    </row>
    <row r="312" spans="1:9" x14ac:dyDescent="0.25">
      <c r="A312" s="53" t="s">
        <v>2502</v>
      </c>
      <c r="B312" s="109" t="s">
        <v>6918</v>
      </c>
      <c r="C312" s="108" t="s">
        <v>6486</v>
      </c>
      <c r="D312" s="57" t="s">
        <v>6919</v>
      </c>
      <c r="E312" s="56" t="s">
        <v>6920</v>
      </c>
      <c r="F312" s="56" t="s">
        <v>6921</v>
      </c>
      <c r="G312" s="56" t="s">
        <v>6921</v>
      </c>
      <c r="H312" s="54"/>
      <c r="I312" s="54"/>
    </row>
    <row r="313" spans="1:9" x14ac:dyDescent="0.25">
      <c r="A313" s="53" t="s">
        <v>2502</v>
      </c>
      <c r="B313" s="109" t="s">
        <v>6918</v>
      </c>
      <c r="C313" s="108" t="s">
        <v>6812</v>
      </c>
      <c r="D313" s="57" t="s">
        <v>6919</v>
      </c>
      <c r="E313" s="56" t="s">
        <v>6920</v>
      </c>
      <c r="F313" s="56" t="s">
        <v>6921</v>
      </c>
      <c r="G313" s="56" t="s">
        <v>6921</v>
      </c>
      <c r="H313" s="54"/>
      <c r="I313" s="54"/>
    </row>
    <row r="314" spans="1:9" x14ac:dyDescent="0.25">
      <c r="A314" s="53" t="s">
        <v>2502</v>
      </c>
      <c r="B314" s="52" t="s">
        <v>4180</v>
      </c>
      <c r="C314" s="108" t="s">
        <v>6483</v>
      </c>
      <c r="D314" s="57" t="s">
        <v>4194</v>
      </c>
      <c r="E314" s="56" t="s">
        <v>4299</v>
      </c>
      <c r="F314" s="56" t="s">
        <v>4300</v>
      </c>
      <c r="G314" s="56" t="s">
        <v>4301</v>
      </c>
      <c r="H314" s="54"/>
      <c r="I314" s="54" t="s">
        <v>4368</v>
      </c>
    </row>
    <row r="315" spans="1:9" x14ac:dyDescent="0.25">
      <c r="A315" s="53" t="s">
        <v>2502</v>
      </c>
      <c r="B315" s="52" t="s">
        <v>4174</v>
      </c>
      <c r="C315" s="108" t="s">
        <v>6520</v>
      </c>
      <c r="D315" s="57" t="s">
        <v>4169</v>
      </c>
      <c r="E315" s="56" t="s">
        <v>4227</v>
      </c>
      <c r="F315" s="56" t="s">
        <v>4228</v>
      </c>
      <c r="G315" s="56" t="s">
        <v>4229</v>
      </c>
      <c r="H315" s="54"/>
      <c r="I315" s="54" t="s">
        <v>4392</v>
      </c>
    </row>
    <row r="316" spans="1:9" x14ac:dyDescent="0.25">
      <c r="A316" s="53" t="s">
        <v>2502</v>
      </c>
      <c r="B316" s="52" t="s">
        <v>4183</v>
      </c>
      <c r="C316" s="108" t="s">
        <v>6479</v>
      </c>
      <c r="D316" s="57" t="s">
        <v>4190</v>
      </c>
      <c r="E316" s="56" t="s">
        <v>4311</v>
      </c>
      <c r="F316" s="56" t="s">
        <v>4312</v>
      </c>
      <c r="G316" s="56" t="s">
        <v>4313</v>
      </c>
      <c r="H316" s="54"/>
      <c r="I316" s="54" t="s">
        <v>4364</v>
      </c>
    </row>
    <row r="317" spans="1:9" x14ac:dyDescent="0.25">
      <c r="A317" s="53" t="s">
        <v>2502</v>
      </c>
      <c r="B317" s="52" t="s">
        <v>4417</v>
      </c>
      <c r="C317" s="108" t="s">
        <v>6537</v>
      </c>
      <c r="D317" s="57" t="s">
        <v>4455</v>
      </c>
      <c r="E317" s="56" t="s">
        <v>4457</v>
      </c>
      <c r="F317" s="56" t="s">
        <v>4456</v>
      </c>
      <c r="G317" s="56" t="s">
        <v>4458</v>
      </c>
      <c r="H317" s="54"/>
      <c r="I317" s="54" t="s">
        <v>4503</v>
      </c>
    </row>
    <row r="318" spans="1:9" x14ac:dyDescent="0.25">
      <c r="A318" s="53" t="s">
        <v>2502</v>
      </c>
      <c r="B318" s="52" t="s">
        <v>7881</v>
      </c>
      <c r="C318" s="108" t="s">
        <v>6758</v>
      </c>
      <c r="D318" s="57" t="s">
        <v>7882</v>
      </c>
      <c r="E318" s="56" t="s">
        <v>7883</v>
      </c>
      <c r="F318" s="56" t="s">
        <v>7884</v>
      </c>
      <c r="G318" s="56" t="s">
        <v>7885</v>
      </c>
      <c r="H318" s="54"/>
      <c r="I318" s="54" t="s">
        <v>4709</v>
      </c>
    </row>
    <row r="319" spans="1:9" x14ac:dyDescent="0.25">
      <c r="A319" s="53" t="s">
        <v>3717</v>
      </c>
      <c r="B319" s="52" t="s">
        <v>7695</v>
      </c>
      <c r="C319" s="108" t="s">
        <v>6714</v>
      </c>
      <c r="D319" s="57" t="s">
        <v>7696</v>
      </c>
      <c r="E319" s="56" t="s">
        <v>7697</v>
      </c>
      <c r="F319" s="56" t="s">
        <v>7698</v>
      </c>
      <c r="G319" s="56" t="s">
        <v>7699</v>
      </c>
      <c r="H319" s="54"/>
      <c r="I319" s="54" t="s">
        <v>4669</v>
      </c>
    </row>
    <row r="320" spans="1:9" x14ac:dyDescent="0.25">
      <c r="A320" s="53" t="s">
        <v>3714</v>
      </c>
      <c r="B320" s="52" t="s">
        <v>3730</v>
      </c>
      <c r="C320" s="108" t="s">
        <v>6470</v>
      </c>
      <c r="D320" s="57" t="s">
        <v>4123</v>
      </c>
      <c r="E320" s="56" t="s">
        <v>4124</v>
      </c>
      <c r="F320" s="56" t="s">
        <v>4125</v>
      </c>
      <c r="G320" s="56" t="s">
        <v>4126</v>
      </c>
      <c r="H320" s="54"/>
      <c r="I320" s="54" t="s">
        <v>4356</v>
      </c>
    </row>
    <row r="321" spans="1:9" x14ac:dyDescent="0.25">
      <c r="A321" s="53" t="s">
        <v>3714</v>
      </c>
      <c r="B321" s="52" t="s">
        <v>3730</v>
      </c>
      <c r="C321" s="108" t="s">
        <v>6471</v>
      </c>
      <c r="D321" s="57" t="s">
        <v>4127</v>
      </c>
      <c r="E321" s="56" t="s">
        <v>4128</v>
      </c>
      <c r="F321" s="56" t="s">
        <v>4129</v>
      </c>
      <c r="G321" s="56" t="s">
        <v>4130</v>
      </c>
      <c r="H321" s="54"/>
      <c r="I321" s="54" t="s">
        <v>4357</v>
      </c>
    </row>
    <row r="322" spans="1:9" x14ac:dyDescent="0.25">
      <c r="A322" s="53" t="s">
        <v>3714</v>
      </c>
      <c r="B322" s="52" t="s">
        <v>3730</v>
      </c>
      <c r="C322" s="108" t="s">
        <v>6473</v>
      </c>
      <c r="D322" s="57" t="s">
        <v>4136</v>
      </c>
      <c r="E322" s="56" t="s">
        <v>4137</v>
      </c>
      <c r="F322" s="56" t="s">
        <v>4138</v>
      </c>
      <c r="G322" s="56" t="s">
        <v>4139</v>
      </c>
      <c r="H322" s="54"/>
      <c r="I322" s="54" t="s">
        <v>4359</v>
      </c>
    </row>
    <row r="323" spans="1:9" x14ac:dyDescent="0.25">
      <c r="A323" s="53" t="s">
        <v>2502</v>
      </c>
      <c r="B323" s="52" t="s">
        <v>3730</v>
      </c>
      <c r="C323" s="108" t="s">
        <v>6488</v>
      </c>
      <c r="D323" s="57" t="s">
        <v>4151</v>
      </c>
      <c r="E323" s="56" t="s">
        <v>4284</v>
      </c>
      <c r="F323" s="56" t="s">
        <v>4285</v>
      </c>
      <c r="G323" s="56" t="s">
        <v>4286</v>
      </c>
      <c r="H323" s="54"/>
      <c r="I323" s="54" t="s">
        <v>4373</v>
      </c>
    </row>
    <row r="324" spans="1:9" x14ac:dyDescent="0.25">
      <c r="A324" s="53" t="s">
        <v>3714</v>
      </c>
      <c r="B324" s="52" t="s">
        <v>3730</v>
      </c>
      <c r="C324" s="108" t="s">
        <v>2590</v>
      </c>
      <c r="D324" s="57" t="s">
        <v>4140</v>
      </c>
      <c r="E324" s="56" t="s">
        <v>4141</v>
      </c>
      <c r="F324" s="56" t="s">
        <v>4142</v>
      </c>
      <c r="G324" s="56" t="s">
        <v>4143</v>
      </c>
      <c r="H324" s="54"/>
      <c r="I324" s="54" t="s">
        <v>4360</v>
      </c>
    </row>
    <row r="325" spans="1:9" x14ac:dyDescent="0.25">
      <c r="A325" s="58" t="s">
        <v>3714</v>
      </c>
      <c r="B325" s="59" t="s">
        <v>3730</v>
      </c>
      <c r="C325" s="108" t="s">
        <v>6598</v>
      </c>
      <c r="D325" s="61" t="s">
        <v>3823</v>
      </c>
      <c r="E325" s="60" t="s">
        <v>3854</v>
      </c>
      <c r="F325" s="60" t="s">
        <v>3927</v>
      </c>
      <c r="G325" s="60" t="s">
        <v>3928</v>
      </c>
      <c r="H325" s="54"/>
      <c r="I325" s="54" t="s">
        <v>3998</v>
      </c>
    </row>
    <row r="326" spans="1:9" x14ac:dyDescent="0.25">
      <c r="A326" s="53" t="s">
        <v>3714</v>
      </c>
      <c r="B326" s="52" t="s">
        <v>3730</v>
      </c>
      <c r="C326" s="108" t="s">
        <v>6464</v>
      </c>
      <c r="D326" s="57" t="s">
        <v>4086</v>
      </c>
      <c r="E326" s="56" t="s">
        <v>4088</v>
      </c>
      <c r="F326" s="56" t="s">
        <v>4090</v>
      </c>
      <c r="G326" s="56" t="s">
        <v>4092</v>
      </c>
      <c r="H326" s="54"/>
      <c r="I326" s="54" t="s">
        <v>4348</v>
      </c>
    </row>
    <row r="327" spans="1:9" x14ac:dyDescent="0.25">
      <c r="A327" s="53" t="s">
        <v>3714</v>
      </c>
      <c r="B327" s="52" t="s">
        <v>3730</v>
      </c>
      <c r="C327" s="108" t="s">
        <v>6465</v>
      </c>
      <c r="D327" s="57" t="s">
        <v>4093</v>
      </c>
      <c r="E327" s="56" t="s">
        <v>4094</v>
      </c>
      <c r="F327" s="56" t="s">
        <v>4095</v>
      </c>
      <c r="G327" s="56" t="s">
        <v>4096</v>
      </c>
      <c r="H327" s="54"/>
      <c r="I327" s="54" t="s">
        <v>4349</v>
      </c>
    </row>
    <row r="328" spans="1:9" x14ac:dyDescent="0.25">
      <c r="A328" s="58" t="s">
        <v>3714</v>
      </c>
      <c r="B328" s="59" t="s">
        <v>3730</v>
      </c>
      <c r="C328" s="108" t="s">
        <v>6607</v>
      </c>
      <c r="D328" s="61" t="s">
        <v>3826</v>
      </c>
      <c r="E328" s="60" t="s">
        <v>3855</v>
      </c>
      <c r="F328" s="60" t="s">
        <v>3925</v>
      </c>
      <c r="G328" s="60" t="s">
        <v>3752</v>
      </c>
      <c r="H328" s="54"/>
      <c r="I328" s="54" t="s">
        <v>4000</v>
      </c>
    </row>
    <row r="329" spans="1:9" x14ac:dyDescent="0.25">
      <c r="A329" s="53" t="s">
        <v>2502</v>
      </c>
      <c r="B329" s="52" t="s">
        <v>4438</v>
      </c>
      <c r="C329" s="108" t="s">
        <v>6534</v>
      </c>
      <c r="D329" s="57" t="s">
        <v>4439</v>
      </c>
      <c r="E329" s="56" t="s">
        <v>4440</v>
      </c>
      <c r="F329" s="56" t="s">
        <v>4441</v>
      </c>
      <c r="G329" s="56" t="s">
        <v>4442</v>
      </c>
      <c r="H329" s="54"/>
      <c r="I329" s="54" t="s">
        <v>4499</v>
      </c>
    </row>
    <row r="330" spans="1:9" x14ac:dyDescent="0.25">
      <c r="A330" s="53" t="s">
        <v>2502</v>
      </c>
      <c r="B330" s="52" t="s">
        <v>7435</v>
      </c>
      <c r="C330" s="108" t="s">
        <v>6659</v>
      </c>
      <c r="D330" s="57" t="s">
        <v>7436</v>
      </c>
      <c r="E330" s="56" t="s">
        <v>7437</v>
      </c>
      <c r="F330" s="56" t="s">
        <v>7438</v>
      </c>
      <c r="G330" s="56" t="s">
        <v>7439</v>
      </c>
      <c r="H330" s="54"/>
      <c r="I330" s="54" t="s">
        <v>4615</v>
      </c>
    </row>
    <row r="331" spans="1:9" x14ac:dyDescent="0.25">
      <c r="A331" s="53" t="s">
        <v>2502</v>
      </c>
      <c r="B331" s="52" t="s">
        <v>7906</v>
      </c>
      <c r="C331" s="108" t="s">
        <v>6763</v>
      </c>
      <c r="D331" s="57" t="s">
        <v>7907</v>
      </c>
      <c r="E331" s="56" t="s">
        <v>7908</v>
      </c>
      <c r="F331" s="56" t="s">
        <v>7909</v>
      </c>
      <c r="G331" s="56" t="s">
        <v>7910</v>
      </c>
      <c r="H331" s="54"/>
      <c r="I331" s="54" t="s">
        <v>4714</v>
      </c>
    </row>
    <row r="332" spans="1:9" x14ac:dyDescent="0.25">
      <c r="A332" s="53" t="s">
        <v>2502</v>
      </c>
      <c r="B332" s="109" t="s">
        <v>7300</v>
      </c>
      <c r="C332" s="108" t="s">
        <v>7305</v>
      </c>
      <c r="D332" s="57" t="s">
        <v>7301</v>
      </c>
      <c r="E332" s="56" t="s">
        <v>7302</v>
      </c>
      <c r="F332" s="56" t="s">
        <v>7303</v>
      </c>
      <c r="G332" s="56" t="s">
        <v>7304</v>
      </c>
      <c r="H332" s="54"/>
      <c r="I332" s="54"/>
    </row>
    <row r="333" spans="1:9" x14ac:dyDescent="0.25">
      <c r="A333" s="53" t="s">
        <v>2502</v>
      </c>
      <c r="B333" s="109" t="s">
        <v>7300</v>
      </c>
      <c r="C333" s="108" t="s">
        <v>6737</v>
      </c>
      <c r="D333" s="57" t="s">
        <v>7301</v>
      </c>
      <c r="E333" s="56" t="s">
        <v>7302</v>
      </c>
      <c r="F333" s="56" t="s">
        <v>7303</v>
      </c>
      <c r="G333" s="56" t="s">
        <v>7304</v>
      </c>
      <c r="H333" s="54"/>
      <c r="I333" s="54" t="s">
        <v>4690</v>
      </c>
    </row>
    <row r="334" spans="1:9" x14ac:dyDescent="0.25">
      <c r="A334" s="53" t="s">
        <v>2502</v>
      </c>
      <c r="B334" s="109" t="s">
        <v>7300</v>
      </c>
      <c r="C334" s="108" t="s">
        <v>6808</v>
      </c>
      <c r="D334" s="57" t="s">
        <v>7301</v>
      </c>
      <c r="E334" s="56" t="s">
        <v>7302</v>
      </c>
      <c r="F334" s="56" t="s">
        <v>7303</v>
      </c>
      <c r="G334" s="56" t="s">
        <v>7304</v>
      </c>
      <c r="H334" s="54"/>
      <c r="I334" s="54" t="s">
        <v>4754</v>
      </c>
    </row>
    <row r="335" spans="1:9" x14ac:dyDescent="0.25">
      <c r="A335" s="53" t="s">
        <v>2502</v>
      </c>
      <c r="B335" s="109" t="s">
        <v>7300</v>
      </c>
      <c r="C335" s="108" t="s">
        <v>6775</v>
      </c>
      <c r="D335" s="57" t="s">
        <v>7301</v>
      </c>
      <c r="E335" s="56" t="s">
        <v>7302</v>
      </c>
      <c r="F335" s="56" t="s">
        <v>7303</v>
      </c>
      <c r="G335" s="56" t="s">
        <v>7304</v>
      </c>
      <c r="H335" s="54"/>
      <c r="I335" s="54" t="s">
        <v>4726</v>
      </c>
    </row>
    <row r="336" spans="1:9" x14ac:dyDescent="0.25">
      <c r="A336" s="53" t="s">
        <v>2502</v>
      </c>
      <c r="B336" s="52" t="s">
        <v>7034</v>
      </c>
      <c r="C336" s="108" t="s">
        <v>6577</v>
      </c>
      <c r="D336" s="57" t="s">
        <v>7035</v>
      </c>
      <c r="E336" s="56" t="s">
        <v>7036</v>
      </c>
      <c r="F336" s="56" t="s">
        <v>7037</v>
      </c>
      <c r="G336" s="56" t="s">
        <v>7038</v>
      </c>
      <c r="H336" s="54"/>
      <c r="I336" s="54" t="s">
        <v>4545</v>
      </c>
    </row>
    <row r="337" spans="1:9" x14ac:dyDescent="0.25">
      <c r="A337" s="53" t="s">
        <v>2502</v>
      </c>
      <c r="B337" s="52" t="s">
        <v>4075</v>
      </c>
      <c r="C337" s="108" t="s">
        <v>6461</v>
      </c>
      <c r="D337" s="57" t="s">
        <v>4076</v>
      </c>
      <c r="E337" s="56" t="s">
        <v>4077</v>
      </c>
      <c r="F337" s="56" t="s">
        <v>4078</v>
      </c>
      <c r="G337" s="56" t="s">
        <v>4079</v>
      </c>
      <c r="H337" s="54"/>
      <c r="I337" s="54" t="s">
        <v>4345</v>
      </c>
    </row>
    <row r="338" spans="1:9" x14ac:dyDescent="0.25">
      <c r="A338" s="53" t="s">
        <v>2502</v>
      </c>
      <c r="B338" s="52" t="s">
        <v>4080</v>
      </c>
      <c r="C338" s="108" t="s">
        <v>6462</v>
      </c>
      <c r="D338" s="57" t="s">
        <v>4081</v>
      </c>
      <c r="E338" s="56" t="s">
        <v>4082</v>
      </c>
      <c r="F338" s="56" t="s">
        <v>4083</v>
      </c>
      <c r="G338" s="56" t="s">
        <v>4084</v>
      </c>
      <c r="H338" s="54"/>
      <c r="I338" s="54" t="s">
        <v>4346</v>
      </c>
    </row>
    <row r="339" spans="1:9" x14ac:dyDescent="0.25">
      <c r="A339" s="53" t="s">
        <v>2502</v>
      </c>
      <c r="B339" s="52" t="s">
        <v>3727</v>
      </c>
      <c r="C339" s="108" t="s">
        <v>6458</v>
      </c>
      <c r="D339" s="57" t="s">
        <v>4056</v>
      </c>
      <c r="E339" s="56" t="s">
        <v>4060</v>
      </c>
      <c r="F339" s="56" t="s">
        <v>4061</v>
      </c>
      <c r="G339" s="56" t="s">
        <v>4062</v>
      </c>
      <c r="H339" s="54"/>
      <c r="I339" s="54" t="s">
        <v>4341</v>
      </c>
    </row>
    <row r="340" spans="1:9" x14ac:dyDescent="0.25">
      <c r="A340" s="58" t="s">
        <v>2502</v>
      </c>
      <c r="B340" s="59" t="s">
        <v>3727</v>
      </c>
      <c r="C340" s="108" t="s">
        <v>6443</v>
      </c>
      <c r="D340" s="61" t="s">
        <v>3819</v>
      </c>
      <c r="E340" s="60" t="s">
        <v>3850</v>
      </c>
      <c r="F340" s="60" t="s">
        <v>3935</v>
      </c>
      <c r="G340" s="60" t="s">
        <v>3936</v>
      </c>
      <c r="H340" s="54"/>
      <c r="I340" s="54" t="s">
        <v>3994</v>
      </c>
    </row>
    <row r="341" spans="1:9" x14ac:dyDescent="0.25">
      <c r="A341" s="53" t="s">
        <v>2502</v>
      </c>
      <c r="B341" s="52" t="s">
        <v>3727</v>
      </c>
      <c r="C341" s="108" t="s">
        <v>6467</v>
      </c>
      <c r="D341" s="57" t="s">
        <v>4101</v>
      </c>
      <c r="E341" s="56" t="s">
        <v>4102</v>
      </c>
      <c r="F341" s="56" t="s">
        <v>4103</v>
      </c>
      <c r="G341" s="56" t="s">
        <v>4104</v>
      </c>
      <c r="H341" s="54"/>
      <c r="I341" s="54" t="s">
        <v>4351</v>
      </c>
    </row>
    <row r="342" spans="1:9" x14ac:dyDescent="0.25">
      <c r="A342" s="53" t="s">
        <v>2502</v>
      </c>
      <c r="B342" s="52" t="s">
        <v>3727</v>
      </c>
      <c r="C342" s="108" t="s">
        <v>4109</v>
      </c>
      <c r="D342" s="57" t="s">
        <v>4110</v>
      </c>
      <c r="E342" s="56" t="s">
        <v>4111</v>
      </c>
      <c r="F342" s="56" t="s">
        <v>4112</v>
      </c>
      <c r="G342" s="56" t="s">
        <v>4113</v>
      </c>
      <c r="H342" s="54"/>
      <c r="I342" s="54" t="s">
        <v>4353</v>
      </c>
    </row>
    <row r="343" spans="1:9" x14ac:dyDescent="0.25">
      <c r="A343" s="53" t="s">
        <v>2502</v>
      </c>
      <c r="B343" s="52" t="s">
        <v>3727</v>
      </c>
      <c r="C343" s="108" t="s">
        <v>6447</v>
      </c>
      <c r="D343" s="57" t="s">
        <v>4213</v>
      </c>
      <c r="E343" s="56" t="s">
        <v>4024</v>
      </c>
      <c r="F343" s="56" t="s">
        <v>4025</v>
      </c>
      <c r="G343" s="56" t="s">
        <v>4026</v>
      </c>
      <c r="H343" s="54"/>
      <c r="I343" s="54" t="s">
        <v>4332</v>
      </c>
    </row>
    <row r="344" spans="1:9" x14ac:dyDescent="0.25">
      <c r="A344" s="53" t="s">
        <v>2502</v>
      </c>
      <c r="B344" s="52" t="s">
        <v>3727</v>
      </c>
      <c r="C344" s="108" t="s">
        <v>6445</v>
      </c>
      <c r="D344" s="57" t="s">
        <v>3827</v>
      </c>
      <c r="E344" s="56" t="s">
        <v>3857</v>
      </c>
      <c r="F344" s="56" t="s">
        <v>3881</v>
      </c>
      <c r="G344" s="56" t="s">
        <v>3882</v>
      </c>
      <c r="H344" s="54"/>
      <c r="I344" s="54" t="s">
        <v>4022</v>
      </c>
    </row>
    <row r="345" spans="1:9" x14ac:dyDescent="0.25">
      <c r="A345" s="53" t="s">
        <v>2502</v>
      </c>
      <c r="B345" s="52" t="s">
        <v>3727</v>
      </c>
      <c r="C345" s="108" t="s">
        <v>6452</v>
      </c>
      <c r="D345" s="57" t="s">
        <v>4038</v>
      </c>
      <c r="E345" s="56" t="s">
        <v>4039</v>
      </c>
      <c r="F345" s="56" t="s">
        <v>4040</v>
      </c>
      <c r="G345" s="56" t="s">
        <v>4041</v>
      </c>
      <c r="H345" s="54"/>
      <c r="I345" s="54" t="s">
        <v>4336</v>
      </c>
    </row>
    <row r="346" spans="1:9" x14ac:dyDescent="0.25">
      <c r="A346" s="53" t="s">
        <v>2502</v>
      </c>
      <c r="B346" s="52" t="s">
        <v>3727</v>
      </c>
      <c r="C346" s="108" t="s">
        <v>6449</v>
      </c>
      <c r="D346" s="57" t="s">
        <v>4214</v>
      </c>
      <c r="E346" s="56" t="s">
        <v>4027</v>
      </c>
      <c r="F346" s="56" t="s">
        <v>4028</v>
      </c>
      <c r="G346" s="56" t="s">
        <v>4029</v>
      </c>
      <c r="H346" s="54"/>
      <c r="I346" s="54" t="s">
        <v>4333</v>
      </c>
    </row>
    <row r="347" spans="1:9" x14ac:dyDescent="0.25">
      <c r="A347" s="58" t="s">
        <v>2502</v>
      </c>
      <c r="B347" s="59" t="s">
        <v>3728</v>
      </c>
      <c r="C347" s="128" t="s">
        <v>2734</v>
      </c>
      <c r="D347" s="61" t="s">
        <v>3808</v>
      </c>
      <c r="E347" s="60" t="s">
        <v>3840</v>
      </c>
      <c r="F347" s="60" t="s">
        <v>3955</v>
      </c>
      <c r="G347" s="60" t="s">
        <v>3956</v>
      </c>
      <c r="H347" s="54"/>
      <c r="I347" s="54" t="s">
        <v>3984</v>
      </c>
    </row>
    <row r="348" spans="1:9" x14ac:dyDescent="0.25">
      <c r="A348" s="53" t="s">
        <v>2502</v>
      </c>
      <c r="B348" s="52" t="s">
        <v>6116</v>
      </c>
      <c r="C348" s="108" t="s">
        <v>6583</v>
      </c>
      <c r="D348" s="57" t="s">
        <v>7064</v>
      </c>
      <c r="E348" s="56" t="s">
        <v>7065</v>
      </c>
      <c r="F348" s="56" t="s">
        <v>7066</v>
      </c>
      <c r="G348" s="56" t="s">
        <v>7067</v>
      </c>
      <c r="H348" s="54"/>
      <c r="I348" s="54" t="s">
        <v>4549</v>
      </c>
    </row>
    <row r="349" spans="1:9" x14ac:dyDescent="0.25">
      <c r="A349" s="53" t="s">
        <v>3711</v>
      </c>
      <c r="B349" s="52" t="s">
        <v>4173</v>
      </c>
      <c r="C349" s="108" t="s">
        <v>6521</v>
      </c>
      <c r="D349" s="57" t="s">
        <v>4170</v>
      </c>
      <c r="E349" s="56" t="s">
        <v>4226</v>
      </c>
      <c r="F349" s="56" t="s">
        <v>4225</v>
      </c>
      <c r="G349" s="56" t="s">
        <v>4224</v>
      </c>
      <c r="H349" s="54"/>
      <c r="I349" s="54" t="s">
        <v>4393</v>
      </c>
    </row>
    <row r="350" spans="1:9" x14ac:dyDescent="0.25">
      <c r="A350" s="53" t="s">
        <v>3714</v>
      </c>
      <c r="B350" s="109" t="s">
        <v>7101</v>
      </c>
      <c r="C350" s="108" t="s">
        <v>6590</v>
      </c>
      <c r="D350" s="57" t="s">
        <v>7102</v>
      </c>
      <c r="E350" s="56" t="s">
        <v>7103</v>
      </c>
      <c r="F350" s="56" t="s">
        <v>7104</v>
      </c>
      <c r="G350" s="56" t="s">
        <v>7105</v>
      </c>
      <c r="H350" s="54"/>
      <c r="I350" s="54"/>
    </row>
    <row r="351" spans="1:9" x14ac:dyDescent="0.25">
      <c r="A351" s="53" t="s">
        <v>2502</v>
      </c>
      <c r="B351" s="52" t="s">
        <v>4423</v>
      </c>
      <c r="C351" s="108" t="s">
        <v>6531</v>
      </c>
      <c r="D351" s="57" t="s">
        <v>4424</v>
      </c>
      <c r="E351" s="56" t="s">
        <v>4425</v>
      </c>
      <c r="F351" s="56" t="s">
        <v>4426</v>
      </c>
      <c r="G351" s="56" t="s">
        <v>4427</v>
      </c>
      <c r="H351" s="54"/>
      <c r="I351" s="54" t="s">
        <v>4496</v>
      </c>
    </row>
    <row r="352" spans="1:9" x14ac:dyDescent="0.25">
      <c r="A352" s="53" t="s">
        <v>4911</v>
      </c>
      <c r="B352" s="109" t="s">
        <v>7096</v>
      </c>
      <c r="C352" s="108" t="s">
        <v>6589</v>
      </c>
      <c r="D352" s="57" t="s">
        <v>7097</v>
      </c>
      <c r="E352" s="56" t="s">
        <v>7098</v>
      </c>
      <c r="F352" s="56" t="s">
        <v>7099</v>
      </c>
      <c r="G352" s="56" t="s">
        <v>7100</v>
      </c>
      <c r="H352" s="54"/>
      <c r="I352" s="54"/>
    </row>
    <row r="353" spans="1:9" x14ac:dyDescent="0.25">
      <c r="A353" s="53" t="s">
        <v>2442</v>
      </c>
      <c r="B353" s="52" t="s">
        <v>7756</v>
      </c>
      <c r="C353" s="108" t="s">
        <v>6729</v>
      </c>
      <c r="D353" s="57" t="s">
        <v>7757</v>
      </c>
      <c r="E353" s="56" t="s">
        <v>7758</v>
      </c>
      <c r="F353" s="56" t="s">
        <v>7759</v>
      </c>
      <c r="G353" s="56" t="s">
        <v>7760</v>
      </c>
      <c r="H353" s="54"/>
      <c r="I353" s="54" t="s">
        <v>4682</v>
      </c>
    </row>
    <row r="354" spans="1:9" x14ac:dyDescent="0.25">
      <c r="A354" s="53" t="s">
        <v>2502</v>
      </c>
      <c r="B354" s="109" t="s">
        <v>7005</v>
      </c>
      <c r="C354" s="108" t="s">
        <v>6559</v>
      </c>
      <c r="D354" s="57" t="s">
        <v>7006</v>
      </c>
      <c r="E354" s="56" t="s">
        <v>7007</v>
      </c>
      <c r="F354" s="56" t="s">
        <v>7008</v>
      </c>
      <c r="G354" s="56" t="s">
        <v>7008</v>
      </c>
      <c r="H354" s="54"/>
      <c r="I354" s="54"/>
    </row>
    <row r="355" spans="1:9" x14ac:dyDescent="0.25">
      <c r="A355" s="53" t="s">
        <v>2502</v>
      </c>
      <c r="B355" s="52" t="s">
        <v>7178</v>
      </c>
      <c r="C355" s="108" t="s">
        <v>6604</v>
      </c>
      <c r="D355" s="57" t="s">
        <v>7179</v>
      </c>
      <c r="E355" s="56" t="s">
        <v>7180</v>
      </c>
      <c r="F355" s="56" t="s">
        <v>7181</v>
      </c>
      <c r="G355" s="56" t="s">
        <v>7182</v>
      </c>
      <c r="H355" s="54"/>
      <c r="I355" s="54" t="s">
        <v>4566</v>
      </c>
    </row>
    <row r="356" spans="1:9" x14ac:dyDescent="0.25">
      <c r="A356" s="53" t="s">
        <v>3710</v>
      </c>
      <c r="B356" s="52" t="s">
        <v>7690</v>
      </c>
      <c r="C356" s="108" t="s">
        <v>6709</v>
      </c>
      <c r="D356" s="57" t="s">
        <v>7691</v>
      </c>
      <c r="E356" s="56" t="s">
        <v>7692</v>
      </c>
      <c r="F356" s="56" t="s">
        <v>7693</v>
      </c>
      <c r="G356" s="56" t="s">
        <v>7694</v>
      </c>
      <c r="H356" s="54"/>
      <c r="I356" s="54" t="s">
        <v>4663</v>
      </c>
    </row>
    <row r="357" spans="1:9" x14ac:dyDescent="0.25">
      <c r="A357" s="53" t="s">
        <v>2502</v>
      </c>
      <c r="B357" s="52" t="s">
        <v>3704</v>
      </c>
      <c r="C357" s="108" t="s">
        <v>6438</v>
      </c>
      <c r="D357" s="57" t="s">
        <v>3796</v>
      </c>
      <c r="E357" s="56" t="s">
        <v>3863</v>
      </c>
      <c r="F357" s="56" t="s">
        <v>3891</v>
      </c>
      <c r="G357" s="56" t="s">
        <v>3892</v>
      </c>
      <c r="H357" s="54"/>
      <c r="I357" s="54" t="s">
        <v>4017</v>
      </c>
    </row>
    <row r="358" spans="1:9" x14ac:dyDescent="0.25">
      <c r="A358" s="53" t="s">
        <v>2442</v>
      </c>
      <c r="B358" s="52" t="s">
        <v>3704</v>
      </c>
      <c r="C358" s="108" t="s">
        <v>6432</v>
      </c>
      <c r="D358" s="57" t="s">
        <v>3789</v>
      </c>
      <c r="E358" s="56" t="s">
        <v>3869</v>
      </c>
      <c r="F358" s="56" t="s">
        <v>3903</v>
      </c>
      <c r="G358" s="56" t="s">
        <v>3904</v>
      </c>
      <c r="H358" s="54"/>
      <c r="I358" s="54" t="s">
        <v>4011</v>
      </c>
    </row>
    <row r="359" spans="1:9" x14ac:dyDescent="0.25">
      <c r="A359" s="53" t="s">
        <v>2442</v>
      </c>
      <c r="B359" s="52" t="s">
        <v>3704</v>
      </c>
      <c r="C359" s="108" t="s">
        <v>6422</v>
      </c>
      <c r="D359" s="57" t="s">
        <v>3779</v>
      </c>
      <c r="E359" s="56" t="s">
        <v>3878</v>
      </c>
      <c r="F359" s="56" t="s">
        <v>3921</v>
      </c>
      <c r="G359" s="56" t="s">
        <v>3922</v>
      </c>
      <c r="H359" s="54"/>
      <c r="I359" s="54" t="s">
        <v>4002</v>
      </c>
    </row>
    <row r="360" spans="1:9" x14ac:dyDescent="0.25">
      <c r="A360" s="53" t="s">
        <v>2442</v>
      </c>
      <c r="B360" s="52" t="s">
        <v>3704</v>
      </c>
      <c r="C360" s="108" t="s">
        <v>6545</v>
      </c>
      <c r="D360" s="57" t="s">
        <v>4827</v>
      </c>
      <c r="E360" s="56" t="s">
        <v>4828</v>
      </c>
      <c r="F360" s="56" t="s">
        <v>4829</v>
      </c>
      <c r="G360" s="56" t="s">
        <v>4830</v>
      </c>
      <c r="H360" s="54"/>
      <c r="I360" s="54" t="s">
        <v>4519</v>
      </c>
    </row>
    <row r="361" spans="1:9" x14ac:dyDescent="0.25">
      <c r="A361" s="53" t="s">
        <v>2442</v>
      </c>
      <c r="B361" s="52" t="s">
        <v>3704</v>
      </c>
      <c r="C361" s="108" t="s">
        <v>2678</v>
      </c>
      <c r="D361" s="57" t="s">
        <v>4789</v>
      </c>
      <c r="E361" s="56" t="s">
        <v>4790</v>
      </c>
      <c r="F361" s="56" t="s">
        <v>4791</v>
      </c>
      <c r="G361" s="56" t="s">
        <v>4792</v>
      </c>
      <c r="H361" s="54"/>
      <c r="I361" s="54" t="s">
        <v>4511</v>
      </c>
    </row>
    <row r="362" spans="1:9" x14ac:dyDescent="0.25">
      <c r="A362" s="58" t="s">
        <v>2442</v>
      </c>
      <c r="B362" s="59" t="s">
        <v>3704</v>
      </c>
      <c r="C362" s="108" t="s">
        <v>6813</v>
      </c>
      <c r="D362" s="61" t="s">
        <v>3802</v>
      </c>
      <c r="E362" s="60" t="s">
        <v>3833</v>
      </c>
      <c r="F362" s="60" t="s">
        <v>3968</v>
      </c>
      <c r="G362" s="60" t="s">
        <v>3969</v>
      </c>
      <c r="H362" s="54"/>
      <c r="I362" s="54" t="s">
        <v>3978</v>
      </c>
    </row>
    <row r="363" spans="1:9" x14ac:dyDescent="0.25">
      <c r="A363" s="53" t="s">
        <v>2442</v>
      </c>
      <c r="B363" s="52" t="s">
        <v>3704</v>
      </c>
      <c r="C363" s="108" t="s">
        <v>6427</v>
      </c>
      <c r="D363" s="57" t="s">
        <v>3786</v>
      </c>
      <c r="E363" s="56" t="s">
        <v>3872</v>
      </c>
      <c r="F363" s="56" t="s">
        <v>3909</v>
      </c>
      <c r="G363" s="56" t="s">
        <v>3910</v>
      </c>
      <c r="H363" s="54"/>
      <c r="I363" s="54" t="s">
        <v>4008</v>
      </c>
    </row>
    <row r="364" spans="1:9" x14ac:dyDescent="0.25">
      <c r="A364" s="53" t="s">
        <v>2442</v>
      </c>
      <c r="B364" s="52" t="s">
        <v>3704</v>
      </c>
      <c r="C364" s="108" t="s">
        <v>6421</v>
      </c>
      <c r="D364" s="57" t="s">
        <v>3776</v>
      </c>
      <c r="E364" s="56" t="s">
        <v>3856</v>
      </c>
      <c r="F364" s="56" t="s">
        <v>3923</v>
      </c>
      <c r="G364" s="56" t="s">
        <v>3924</v>
      </c>
      <c r="H364" s="54"/>
      <c r="I364" s="54" t="s">
        <v>4001</v>
      </c>
    </row>
    <row r="365" spans="1:9" x14ac:dyDescent="0.25">
      <c r="A365" s="53" t="s">
        <v>2442</v>
      </c>
      <c r="B365" s="52" t="s">
        <v>3704</v>
      </c>
      <c r="C365" s="108" t="s">
        <v>6544</v>
      </c>
      <c r="D365" s="57" t="s">
        <v>4823</v>
      </c>
      <c r="E365" s="56" t="s">
        <v>4824</v>
      </c>
      <c r="F365" s="56" t="s">
        <v>4825</v>
      </c>
      <c r="G365" s="56" t="s">
        <v>4826</v>
      </c>
      <c r="H365" s="54"/>
      <c r="I365" s="54" t="s">
        <v>4518</v>
      </c>
    </row>
    <row r="366" spans="1:9" x14ac:dyDescent="0.25">
      <c r="A366" s="53" t="s">
        <v>2442</v>
      </c>
      <c r="B366" s="52" t="s">
        <v>3704</v>
      </c>
      <c r="C366" s="108" t="s">
        <v>6425</v>
      </c>
      <c r="D366" s="57" t="s">
        <v>3782</v>
      </c>
      <c r="E366" s="56" t="s">
        <v>3875</v>
      </c>
      <c r="F366" s="56" t="s">
        <v>3915</v>
      </c>
      <c r="G366" s="56" t="s">
        <v>3916</v>
      </c>
      <c r="H366" s="54"/>
      <c r="I366" s="54" t="s">
        <v>4005</v>
      </c>
    </row>
    <row r="367" spans="1:9" x14ac:dyDescent="0.25">
      <c r="A367" s="58" t="s">
        <v>2502</v>
      </c>
      <c r="B367" s="59" t="s">
        <v>3704</v>
      </c>
      <c r="C367" s="108" t="s">
        <v>6821</v>
      </c>
      <c r="D367" s="61" t="s">
        <v>3803</v>
      </c>
      <c r="E367" s="60" t="s">
        <v>3834</v>
      </c>
      <c r="F367" s="60" t="s">
        <v>3966</v>
      </c>
      <c r="G367" s="60" t="s">
        <v>3967</v>
      </c>
      <c r="H367" s="54"/>
      <c r="I367" s="54" t="s">
        <v>3979</v>
      </c>
    </row>
    <row r="368" spans="1:9" x14ac:dyDescent="0.25">
      <c r="A368" s="53" t="s">
        <v>2442</v>
      </c>
      <c r="B368" s="52" t="s">
        <v>3704</v>
      </c>
      <c r="C368" s="108" t="s">
        <v>2526</v>
      </c>
      <c r="D368" s="57" t="s">
        <v>3784</v>
      </c>
      <c r="E368" s="56" t="s">
        <v>3874</v>
      </c>
      <c r="F368" s="56" t="s">
        <v>3913</v>
      </c>
      <c r="G368" s="56" t="s">
        <v>3914</v>
      </c>
      <c r="H368" s="54"/>
      <c r="I368" s="54" t="s">
        <v>4006</v>
      </c>
    </row>
    <row r="369" spans="1:9" x14ac:dyDescent="0.25">
      <c r="A369" s="53" t="s">
        <v>2442</v>
      </c>
      <c r="B369" s="52" t="s">
        <v>3704</v>
      </c>
      <c r="C369" s="108" t="s">
        <v>6430</v>
      </c>
      <c r="D369" s="57" t="s">
        <v>3788</v>
      </c>
      <c r="E369" s="56" t="s">
        <v>3870</v>
      </c>
      <c r="F369" s="56" t="s">
        <v>3905</v>
      </c>
      <c r="G369" s="56" t="s">
        <v>3906</v>
      </c>
      <c r="H369" s="54"/>
      <c r="I369" s="54" t="s">
        <v>4010</v>
      </c>
    </row>
    <row r="370" spans="1:9" x14ac:dyDescent="0.25">
      <c r="A370" s="53" t="s">
        <v>2442</v>
      </c>
      <c r="B370" s="52" t="s">
        <v>3704</v>
      </c>
      <c r="C370" s="108" t="s">
        <v>2537</v>
      </c>
      <c r="D370" s="57" t="s">
        <v>3794</v>
      </c>
      <c r="E370" s="56" t="s">
        <v>3867</v>
      </c>
      <c r="F370" s="56" t="s">
        <v>3899</v>
      </c>
      <c r="G370" s="56" t="s">
        <v>3900</v>
      </c>
      <c r="H370" s="54"/>
      <c r="I370" s="54" t="s">
        <v>4013</v>
      </c>
    </row>
    <row r="371" spans="1:9" x14ac:dyDescent="0.25">
      <c r="A371" s="53" t="s">
        <v>2442</v>
      </c>
      <c r="B371" s="52" t="s">
        <v>3704</v>
      </c>
      <c r="C371" s="108" t="s">
        <v>2670</v>
      </c>
      <c r="D371" s="57" t="s">
        <v>4468</v>
      </c>
      <c r="E371" s="56" t="s">
        <v>4469</v>
      </c>
      <c r="F371" s="56" t="s">
        <v>4470</v>
      </c>
      <c r="G371" s="56" t="s">
        <v>4471</v>
      </c>
      <c r="H371" s="54"/>
      <c r="I371" s="54" t="s">
        <v>4506</v>
      </c>
    </row>
    <row r="372" spans="1:9" x14ac:dyDescent="0.25">
      <c r="A372" s="53" t="s">
        <v>2442</v>
      </c>
      <c r="B372" s="52" t="s">
        <v>3704</v>
      </c>
      <c r="C372" s="108" t="s">
        <v>2602</v>
      </c>
      <c r="D372" s="57" t="s">
        <v>4150</v>
      </c>
      <c r="E372" s="56" t="s">
        <v>4293</v>
      </c>
      <c r="F372" s="56" t="s">
        <v>4294</v>
      </c>
      <c r="G372" s="56" t="s">
        <v>4295</v>
      </c>
      <c r="H372" s="54"/>
      <c r="I372" s="54" t="s">
        <v>4370</v>
      </c>
    </row>
    <row r="373" spans="1:9" x14ac:dyDescent="0.25">
      <c r="A373" s="53" t="s">
        <v>2442</v>
      </c>
      <c r="B373" s="52" t="s">
        <v>3704</v>
      </c>
      <c r="C373" s="108" t="s">
        <v>6437</v>
      </c>
      <c r="D373" s="57" t="s">
        <v>3795</v>
      </c>
      <c r="E373" s="56" t="s">
        <v>3864</v>
      </c>
      <c r="F373" s="56" t="s">
        <v>3893</v>
      </c>
      <c r="G373" s="56" t="s">
        <v>3894</v>
      </c>
      <c r="H373" s="54"/>
      <c r="I373" s="54" t="s">
        <v>4016</v>
      </c>
    </row>
    <row r="374" spans="1:9" x14ac:dyDescent="0.25">
      <c r="A374" s="53" t="s">
        <v>2442</v>
      </c>
      <c r="B374" s="52" t="s">
        <v>3704</v>
      </c>
      <c r="C374" s="108" t="s">
        <v>6433</v>
      </c>
      <c r="D374" s="57" t="s">
        <v>3790</v>
      </c>
      <c r="E374" s="56" t="s">
        <v>3868</v>
      </c>
      <c r="F374" s="56" t="s">
        <v>3901</v>
      </c>
      <c r="G374" s="56" t="s">
        <v>3902</v>
      </c>
      <c r="H374" s="54"/>
      <c r="I374" s="54" t="s">
        <v>4012</v>
      </c>
    </row>
    <row r="375" spans="1:9" x14ac:dyDescent="0.25">
      <c r="A375" s="53" t="s">
        <v>2442</v>
      </c>
      <c r="B375" s="52" t="s">
        <v>3704</v>
      </c>
      <c r="C375" s="108" t="s">
        <v>2523</v>
      </c>
      <c r="D375" s="57" t="s">
        <v>3780</v>
      </c>
      <c r="E375" s="56" t="s">
        <v>3877</v>
      </c>
      <c r="F375" s="56" t="s">
        <v>3919</v>
      </c>
      <c r="G375" s="56" t="s">
        <v>3920</v>
      </c>
      <c r="H375" s="54"/>
      <c r="I375" s="54" t="s">
        <v>4003</v>
      </c>
    </row>
    <row r="376" spans="1:9" x14ac:dyDescent="0.25">
      <c r="A376" s="63" t="s">
        <v>2442</v>
      </c>
      <c r="B376" s="64" t="s">
        <v>3704</v>
      </c>
      <c r="C376" s="108" t="s">
        <v>6446</v>
      </c>
      <c r="D376" s="66" t="s">
        <v>3828</v>
      </c>
      <c r="E376" s="65" t="s">
        <v>3858</v>
      </c>
      <c r="F376" s="65" t="s">
        <v>3879</v>
      </c>
      <c r="G376" s="65" t="s">
        <v>3880</v>
      </c>
      <c r="H376" s="54"/>
      <c r="I376" s="67" t="s">
        <v>4023</v>
      </c>
    </row>
    <row r="377" spans="1:9" x14ac:dyDescent="0.25">
      <c r="A377" s="53" t="s">
        <v>2442</v>
      </c>
      <c r="B377" s="52" t="s">
        <v>3704</v>
      </c>
      <c r="C377" s="108" t="s">
        <v>6508</v>
      </c>
      <c r="D377" s="57" t="s">
        <v>4161</v>
      </c>
      <c r="E377" s="56" t="s">
        <v>4251</v>
      </c>
      <c r="F377" s="56" t="s">
        <v>4252</v>
      </c>
      <c r="G377" s="56" t="s">
        <v>4253</v>
      </c>
      <c r="H377" s="54"/>
      <c r="I377" s="54" t="s">
        <v>4384</v>
      </c>
    </row>
    <row r="378" spans="1:9" x14ac:dyDescent="0.25">
      <c r="A378" s="53" t="s">
        <v>2442</v>
      </c>
      <c r="B378" s="52" t="s">
        <v>3704</v>
      </c>
      <c r="C378" s="108" t="s">
        <v>6469</v>
      </c>
      <c r="D378" s="57" t="s">
        <v>4119</v>
      </c>
      <c r="E378" s="56" t="s">
        <v>4120</v>
      </c>
      <c r="F378" s="56" t="s">
        <v>4121</v>
      </c>
      <c r="G378" s="56" t="s">
        <v>4122</v>
      </c>
      <c r="H378" s="54"/>
      <c r="I378" s="54" t="s">
        <v>4355</v>
      </c>
    </row>
    <row r="379" spans="1:9" x14ac:dyDescent="0.25">
      <c r="A379" s="53" t="s">
        <v>2442</v>
      </c>
      <c r="B379" s="52" t="s">
        <v>3704</v>
      </c>
      <c r="C379" s="108" t="s">
        <v>6514</v>
      </c>
      <c r="D379" s="57" t="s">
        <v>4165</v>
      </c>
      <c r="E379" s="56" t="s">
        <v>4239</v>
      </c>
      <c r="F379" s="56" t="s">
        <v>4240</v>
      </c>
      <c r="G379" s="56" t="s">
        <v>4241</v>
      </c>
      <c r="H379" s="54"/>
      <c r="I379" s="54" t="s">
        <v>4388</v>
      </c>
    </row>
    <row r="380" spans="1:9" x14ac:dyDescent="0.25">
      <c r="A380" s="53" t="s">
        <v>2442</v>
      </c>
      <c r="B380" s="52" t="s">
        <v>3704</v>
      </c>
      <c r="C380" s="108" t="s">
        <v>6509</v>
      </c>
      <c r="D380" s="57" t="s">
        <v>4162</v>
      </c>
      <c r="E380" s="56" t="s">
        <v>4248</v>
      </c>
      <c r="F380" s="56" t="s">
        <v>4249</v>
      </c>
      <c r="G380" s="56" t="s">
        <v>4250</v>
      </c>
      <c r="H380" s="54"/>
      <c r="I380" s="54" t="s">
        <v>4385</v>
      </c>
    </row>
    <row r="381" spans="1:9" x14ac:dyDescent="0.25">
      <c r="A381" s="53" t="s">
        <v>2442</v>
      </c>
      <c r="B381" s="52" t="s">
        <v>3704</v>
      </c>
      <c r="C381" s="108" t="s">
        <v>6424</v>
      </c>
      <c r="D381" s="57" t="s">
        <v>3781</v>
      </c>
      <c r="E381" s="56" t="s">
        <v>3876</v>
      </c>
      <c r="F381" s="56" t="s">
        <v>3917</v>
      </c>
      <c r="G381" s="56" t="s">
        <v>3918</v>
      </c>
      <c r="H381" s="54"/>
      <c r="I381" s="54" t="s">
        <v>4004</v>
      </c>
    </row>
    <row r="382" spans="1:9" x14ac:dyDescent="0.25">
      <c r="A382" s="53" t="s">
        <v>2502</v>
      </c>
      <c r="B382" s="52" t="s">
        <v>3704</v>
      </c>
      <c r="C382" s="108" t="s">
        <v>6518</v>
      </c>
      <c r="D382" s="57" t="s">
        <v>4168</v>
      </c>
      <c r="E382" s="56" t="s">
        <v>4230</v>
      </c>
      <c r="F382" s="56" t="s">
        <v>4231</v>
      </c>
      <c r="G382" s="56" t="s">
        <v>4232</v>
      </c>
      <c r="H382" s="54"/>
      <c r="I382" s="54" t="s">
        <v>4391</v>
      </c>
    </row>
    <row r="383" spans="1:9" x14ac:dyDescent="0.25">
      <c r="A383" s="53" t="s">
        <v>2502</v>
      </c>
      <c r="B383" s="52" t="s">
        <v>3704</v>
      </c>
      <c r="C383" s="108" t="s">
        <v>6440</v>
      </c>
      <c r="D383" s="57" t="s">
        <v>3798</v>
      </c>
      <c r="E383" s="56" t="s">
        <v>3861</v>
      </c>
      <c r="F383" s="56" t="s">
        <v>3887</v>
      </c>
      <c r="G383" s="56" t="s">
        <v>3888</v>
      </c>
      <c r="H383" s="54"/>
      <c r="I383" s="54" t="s">
        <v>4019</v>
      </c>
    </row>
    <row r="384" spans="1:9" x14ac:dyDescent="0.25">
      <c r="A384" s="53" t="s">
        <v>2502</v>
      </c>
      <c r="B384" s="52" t="s">
        <v>3704</v>
      </c>
      <c r="C384" s="108" t="s">
        <v>6439</v>
      </c>
      <c r="D384" s="57" t="s">
        <v>3797</v>
      </c>
      <c r="E384" s="56" t="s">
        <v>3862</v>
      </c>
      <c r="F384" s="56" t="s">
        <v>3889</v>
      </c>
      <c r="G384" s="56" t="s">
        <v>3890</v>
      </c>
      <c r="H384" s="54"/>
      <c r="I384" s="54" t="s">
        <v>4018</v>
      </c>
    </row>
    <row r="385" spans="1:9" x14ac:dyDescent="0.25">
      <c r="A385" s="53" t="s">
        <v>2502</v>
      </c>
      <c r="B385" s="52" t="s">
        <v>3704</v>
      </c>
      <c r="C385" s="108" t="s">
        <v>6442</v>
      </c>
      <c r="D385" s="57" t="s">
        <v>3800</v>
      </c>
      <c r="E385" s="56" t="s">
        <v>3859</v>
      </c>
      <c r="F385" s="56" t="s">
        <v>3883</v>
      </c>
      <c r="G385" s="56" t="s">
        <v>3884</v>
      </c>
      <c r="H385" s="54"/>
      <c r="I385" s="54" t="s">
        <v>4021</v>
      </c>
    </row>
    <row r="386" spans="1:9" x14ac:dyDescent="0.25">
      <c r="A386" s="53" t="s">
        <v>2442</v>
      </c>
      <c r="B386" s="52" t="s">
        <v>3704</v>
      </c>
      <c r="C386" s="108" t="s">
        <v>6784</v>
      </c>
      <c r="D386" s="57" t="s">
        <v>3721</v>
      </c>
      <c r="E386" s="56" t="s">
        <v>3738</v>
      </c>
      <c r="F386" s="56" t="s">
        <v>3750</v>
      </c>
      <c r="G386" s="56" t="s">
        <v>3758</v>
      </c>
      <c r="H386" s="54"/>
      <c r="I386" s="54" t="s">
        <v>3774</v>
      </c>
    </row>
    <row r="387" spans="1:9" x14ac:dyDescent="0.25">
      <c r="A387" s="53" t="s">
        <v>2502</v>
      </c>
      <c r="B387" s="52" t="s">
        <v>3704</v>
      </c>
      <c r="C387" s="108" t="s">
        <v>6450</v>
      </c>
      <c r="D387" s="57" t="s">
        <v>4030</v>
      </c>
      <c r="E387" s="56" t="s">
        <v>4033</v>
      </c>
      <c r="F387" s="56" t="s">
        <v>4032</v>
      </c>
      <c r="G387" s="56" t="s">
        <v>4031</v>
      </c>
      <c r="H387" s="54"/>
      <c r="I387" s="54" t="s">
        <v>4334</v>
      </c>
    </row>
    <row r="388" spans="1:9" x14ac:dyDescent="0.25">
      <c r="A388" s="53" t="s">
        <v>2502</v>
      </c>
      <c r="B388" s="52" t="s">
        <v>3704</v>
      </c>
      <c r="C388" s="108" t="s">
        <v>6441</v>
      </c>
      <c r="D388" s="57" t="s">
        <v>3799</v>
      </c>
      <c r="E388" s="56" t="s">
        <v>3860</v>
      </c>
      <c r="F388" s="56" t="s">
        <v>3885</v>
      </c>
      <c r="G388" s="56" t="s">
        <v>3886</v>
      </c>
      <c r="H388" s="54"/>
      <c r="I388" s="54" t="s">
        <v>4020</v>
      </c>
    </row>
    <row r="389" spans="1:9" x14ac:dyDescent="0.25">
      <c r="A389" s="53" t="s">
        <v>2442</v>
      </c>
      <c r="B389" s="52" t="s">
        <v>3704</v>
      </c>
      <c r="C389" s="108" t="s">
        <v>6749</v>
      </c>
      <c r="D389" s="57" t="s">
        <v>3719</v>
      </c>
      <c r="E389" s="56" t="s">
        <v>3740</v>
      </c>
      <c r="F389" s="56" t="s">
        <v>3748</v>
      </c>
      <c r="G389" s="56" t="s">
        <v>3756</v>
      </c>
      <c r="H389" s="54"/>
      <c r="I389" s="54" t="s">
        <v>3772</v>
      </c>
    </row>
    <row r="390" spans="1:9" x14ac:dyDescent="0.25">
      <c r="A390" s="53" t="s">
        <v>2442</v>
      </c>
      <c r="B390" s="52" t="s">
        <v>3704</v>
      </c>
      <c r="C390" s="108" t="s">
        <v>6456</v>
      </c>
      <c r="D390" s="57" t="s">
        <v>4051</v>
      </c>
      <c r="E390" s="56" t="s">
        <v>4057</v>
      </c>
      <c r="F390" s="56" t="s">
        <v>4058</v>
      </c>
      <c r="G390" s="56" t="s">
        <v>4059</v>
      </c>
      <c r="H390" s="54"/>
      <c r="I390" s="54" t="s">
        <v>4339</v>
      </c>
    </row>
    <row r="391" spans="1:9" x14ac:dyDescent="0.25">
      <c r="A391" s="53" t="s">
        <v>2442</v>
      </c>
      <c r="B391" s="52" t="s">
        <v>3704</v>
      </c>
      <c r="C391" s="108" t="s">
        <v>3783</v>
      </c>
      <c r="D391" s="57" t="s">
        <v>3785</v>
      </c>
      <c r="E391" s="56" t="s">
        <v>3873</v>
      </c>
      <c r="F391" s="56" t="s">
        <v>3911</v>
      </c>
      <c r="G391" s="56" t="s">
        <v>3912</v>
      </c>
      <c r="H391" s="54"/>
      <c r="I391" s="54" t="s">
        <v>4007</v>
      </c>
    </row>
    <row r="392" spans="1:9" x14ac:dyDescent="0.25">
      <c r="A392" s="53" t="s">
        <v>2442</v>
      </c>
      <c r="B392" s="52" t="s">
        <v>3704</v>
      </c>
      <c r="C392" s="108" t="s">
        <v>6457</v>
      </c>
      <c r="D392" s="57" t="s">
        <v>4052</v>
      </c>
      <c r="E392" s="56" t="s">
        <v>4053</v>
      </c>
      <c r="F392" s="56" t="s">
        <v>4054</v>
      </c>
      <c r="G392" s="56" t="s">
        <v>4055</v>
      </c>
      <c r="H392" s="54"/>
      <c r="I392" s="54" t="s">
        <v>4340</v>
      </c>
    </row>
    <row r="393" spans="1:9" x14ac:dyDescent="0.25">
      <c r="A393" s="53" t="s">
        <v>2442</v>
      </c>
      <c r="B393" s="52" t="s">
        <v>3704</v>
      </c>
      <c r="C393" s="108" t="s">
        <v>6466</v>
      </c>
      <c r="D393" s="57" t="s">
        <v>4097</v>
      </c>
      <c r="E393" s="56" t="s">
        <v>4098</v>
      </c>
      <c r="F393" s="56" t="s">
        <v>4099</v>
      </c>
      <c r="G393" s="56" t="s">
        <v>4100</v>
      </c>
      <c r="H393" s="54"/>
      <c r="I393" s="54" t="s">
        <v>4350</v>
      </c>
    </row>
    <row r="394" spans="1:9" x14ac:dyDescent="0.25">
      <c r="A394" s="53" t="s">
        <v>2442</v>
      </c>
      <c r="B394" s="52" t="s">
        <v>3704</v>
      </c>
      <c r="C394" s="108" t="s">
        <v>6535</v>
      </c>
      <c r="D394" s="57" t="s">
        <v>4443</v>
      </c>
      <c r="E394" s="56" t="s">
        <v>4444</v>
      </c>
      <c r="F394" s="56" t="s">
        <v>4445</v>
      </c>
      <c r="G394" s="56" t="s">
        <v>4446</v>
      </c>
      <c r="H394" s="54"/>
      <c r="I394" s="54" t="s">
        <v>4500</v>
      </c>
    </row>
    <row r="395" spans="1:9" x14ac:dyDescent="0.25">
      <c r="A395" s="53" t="s">
        <v>4802</v>
      </c>
      <c r="B395" s="52" t="s">
        <v>4808</v>
      </c>
      <c r="C395" s="108" t="s">
        <v>6541</v>
      </c>
      <c r="D395" s="57" t="s">
        <v>4809</v>
      </c>
      <c r="E395" s="56" t="s">
        <v>4810</v>
      </c>
      <c r="F395" s="56" t="s">
        <v>4811</v>
      </c>
      <c r="G395" s="56" t="s">
        <v>4812</v>
      </c>
      <c r="H395" s="54"/>
      <c r="I395" s="54" t="s">
        <v>4515</v>
      </c>
    </row>
    <row r="396" spans="1:9" x14ac:dyDescent="0.25">
      <c r="A396" s="53" t="s">
        <v>4911</v>
      </c>
      <c r="B396" s="52" t="s">
        <v>4912</v>
      </c>
      <c r="C396" s="108" t="s">
        <v>6647</v>
      </c>
      <c r="D396" s="57" t="s">
        <v>4913</v>
      </c>
      <c r="E396" s="56" t="s">
        <v>4914</v>
      </c>
      <c r="F396" s="56" t="s">
        <v>4915</v>
      </c>
      <c r="G396" s="56" t="s">
        <v>4916</v>
      </c>
      <c r="H396" s="54"/>
      <c r="I396" s="54" t="s">
        <v>4603</v>
      </c>
    </row>
    <row r="397" spans="1:9" x14ac:dyDescent="0.25">
      <c r="A397" s="53" t="s">
        <v>2502</v>
      </c>
      <c r="B397" s="109" t="s">
        <v>7029</v>
      </c>
      <c r="C397" s="108" t="s">
        <v>6576</v>
      </c>
      <c r="D397" s="57" t="s">
        <v>7030</v>
      </c>
      <c r="E397" s="56" t="s">
        <v>7031</v>
      </c>
      <c r="F397" s="56" t="s">
        <v>7032</v>
      </c>
      <c r="G397" s="56" t="s">
        <v>7033</v>
      </c>
      <c r="H397" s="54"/>
      <c r="I397" s="54"/>
    </row>
    <row r="398" spans="1:9" x14ac:dyDescent="0.25">
      <c r="A398" s="53" t="s">
        <v>2517</v>
      </c>
      <c r="B398" s="52" t="s">
        <v>7746</v>
      </c>
      <c r="C398" s="108" t="s">
        <v>6724</v>
      </c>
      <c r="D398" s="57" t="s">
        <v>7747</v>
      </c>
      <c r="E398" s="56" t="s">
        <v>7748</v>
      </c>
      <c r="F398" s="56" t="s">
        <v>7749</v>
      </c>
      <c r="G398" s="56" t="s">
        <v>7750</v>
      </c>
      <c r="H398" s="54"/>
      <c r="I398" s="54" t="s">
        <v>4677</v>
      </c>
    </row>
    <row r="399" spans="1:9" x14ac:dyDescent="0.25">
      <c r="A399" s="53" t="s">
        <v>4802</v>
      </c>
      <c r="B399" s="52" t="s">
        <v>4797</v>
      </c>
      <c r="C399" s="108" t="s">
        <v>2681</v>
      </c>
      <c r="D399" s="57" t="s">
        <v>4798</v>
      </c>
      <c r="E399" s="56" t="s">
        <v>4799</v>
      </c>
      <c r="F399" s="56" t="s">
        <v>4800</v>
      </c>
      <c r="G399" s="56" t="s">
        <v>4801</v>
      </c>
      <c r="H399" s="54"/>
      <c r="I399" s="54" t="s">
        <v>4513</v>
      </c>
    </row>
    <row r="400" spans="1:9" x14ac:dyDescent="0.25">
      <c r="A400" s="53" t="s">
        <v>2502</v>
      </c>
      <c r="B400" s="52" t="s">
        <v>7112</v>
      </c>
      <c r="C400" s="108" t="s">
        <v>6591</v>
      </c>
      <c r="D400" s="57" t="s">
        <v>7113</v>
      </c>
      <c r="E400" s="56" t="s">
        <v>7114</v>
      </c>
      <c r="F400" s="56" t="s">
        <v>7115</v>
      </c>
      <c r="G400" s="56" t="s">
        <v>7116</v>
      </c>
      <c r="H400" s="54"/>
      <c r="I400" s="54" t="s">
        <v>4552</v>
      </c>
    </row>
    <row r="401" spans="1:9" x14ac:dyDescent="0.25">
      <c r="A401" s="53" t="s">
        <v>3717</v>
      </c>
      <c r="B401" s="52" t="s">
        <v>7531</v>
      </c>
      <c r="C401" s="108" t="s">
        <v>6679</v>
      </c>
      <c r="D401" s="57" t="s">
        <v>7532</v>
      </c>
      <c r="E401" s="56" t="s">
        <v>7533</v>
      </c>
      <c r="F401" s="56" t="s">
        <v>7534</v>
      </c>
      <c r="G401" s="56" t="s">
        <v>7535</v>
      </c>
      <c r="H401" s="54"/>
      <c r="I401" s="54" t="s">
        <v>4635</v>
      </c>
    </row>
    <row r="402" spans="1:9" x14ac:dyDescent="0.25">
      <c r="A402" s="53" t="s">
        <v>2502</v>
      </c>
      <c r="B402" s="52" t="s">
        <v>7676</v>
      </c>
      <c r="C402" s="108" t="s">
        <v>6710</v>
      </c>
      <c r="D402" s="57" t="s">
        <v>7677</v>
      </c>
      <c r="E402" s="56" t="s">
        <v>7678</v>
      </c>
      <c r="F402" s="56" t="s">
        <v>7679</v>
      </c>
      <c r="G402" s="56" t="s">
        <v>7680</v>
      </c>
      <c r="H402" s="54"/>
      <c r="I402" s="54" t="s">
        <v>4664</v>
      </c>
    </row>
    <row r="403" spans="1:9" x14ac:dyDescent="0.25">
      <c r="A403" s="53" t="s">
        <v>2502</v>
      </c>
      <c r="B403" s="52" t="s">
        <v>7039</v>
      </c>
      <c r="C403" s="108" t="s">
        <v>6578</v>
      </c>
      <c r="D403" s="57" t="s">
        <v>7040</v>
      </c>
      <c r="E403" s="56" t="s">
        <v>7041</v>
      </c>
      <c r="F403" s="56" t="s">
        <v>7042</v>
      </c>
      <c r="G403" s="56" t="s">
        <v>7043</v>
      </c>
      <c r="H403" s="54"/>
      <c r="I403" s="54" t="s">
        <v>4546</v>
      </c>
    </row>
    <row r="404" spans="1:9" x14ac:dyDescent="0.25">
      <c r="A404" s="53" t="s">
        <v>7628</v>
      </c>
      <c r="B404" s="52" t="s">
        <v>7627</v>
      </c>
      <c r="C404" s="108" t="s">
        <v>6696</v>
      </c>
      <c r="D404" s="57" t="s">
        <v>7629</v>
      </c>
      <c r="E404" s="56" t="s">
        <v>7630</v>
      </c>
      <c r="F404" s="56" t="s">
        <v>7631</v>
      </c>
      <c r="G404" s="56" t="s">
        <v>7631</v>
      </c>
      <c r="H404" s="54"/>
      <c r="I404" s="54" t="s">
        <v>4652</v>
      </c>
    </row>
    <row r="405" spans="1:9" x14ac:dyDescent="0.25">
      <c r="A405" s="53" t="s">
        <v>3714</v>
      </c>
      <c r="B405" s="109" t="s">
        <v>7000</v>
      </c>
      <c r="C405" s="108" t="s">
        <v>6554</v>
      </c>
      <c r="D405" s="57" t="s">
        <v>7001</v>
      </c>
      <c r="E405" s="56" t="s">
        <v>7002</v>
      </c>
      <c r="F405" s="56" t="s">
        <v>7003</v>
      </c>
      <c r="G405" s="56" t="s">
        <v>7004</v>
      </c>
      <c r="H405" s="54"/>
      <c r="I405" s="54"/>
    </row>
    <row r="406" spans="1:9" x14ac:dyDescent="0.25">
      <c r="A406" s="53" t="s">
        <v>7312</v>
      </c>
      <c r="B406" s="52" t="s">
        <v>7313</v>
      </c>
      <c r="C406" s="108" t="s">
        <v>6631</v>
      </c>
      <c r="D406" s="57" t="s">
        <v>7311</v>
      </c>
      <c r="E406" s="56" t="s">
        <v>7314</v>
      </c>
      <c r="F406" s="56" t="s">
        <v>7315</v>
      </c>
      <c r="G406" s="56" t="s">
        <v>7316</v>
      </c>
      <c r="H406" s="54"/>
      <c r="I406" s="54" t="s">
        <v>4589</v>
      </c>
    </row>
    <row r="407" spans="1:9" x14ac:dyDescent="0.25">
      <c r="A407" s="53" t="s">
        <v>6382</v>
      </c>
      <c r="B407" s="52" t="s">
        <v>6381</v>
      </c>
      <c r="C407" s="108" t="s">
        <v>6569</v>
      </c>
      <c r="D407" s="57" t="s">
        <v>6383</v>
      </c>
      <c r="E407" s="56" t="s">
        <v>6384</v>
      </c>
      <c r="F407" s="56" t="s">
        <v>6385</v>
      </c>
      <c r="G407" s="56" t="s">
        <v>6386</v>
      </c>
      <c r="H407" s="54"/>
      <c r="I407" s="54" t="s">
        <v>4540</v>
      </c>
    </row>
    <row r="408" spans="1:9" x14ac:dyDescent="0.25">
      <c r="A408" s="53" t="s">
        <v>2502</v>
      </c>
      <c r="B408" s="109" t="s">
        <v>6976</v>
      </c>
      <c r="C408" s="108" t="s">
        <v>6525</v>
      </c>
      <c r="D408" s="57" t="s">
        <v>6980</v>
      </c>
      <c r="E408" s="56" t="s">
        <v>6981</v>
      </c>
      <c r="F408" s="56" t="s">
        <v>6982</v>
      </c>
      <c r="G408" s="56" t="s">
        <v>6983</v>
      </c>
      <c r="H408" s="54"/>
      <c r="I408" s="54"/>
    </row>
    <row r="409" spans="1:9" x14ac:dyDescent="0.25">
      <c r="A409" s="53" t="s">
        <v>2442</v>
      </c>
      <c r="B409" s="52" t="s">
        <v>6371</v>
      </c>
      <c r="C409" s="108" t="s">
        <v>6567</v>
      </c>
      <c r="D409" s="57" t="s">
        <v>6372</v>
      </c>
      <c r="E409" s="56" t="s">
        <v>6373</v>
      </c>
      <c r="F409" s="56" t="s">
        <v>6374</v>
      </c>
      <c r="G409" s="56" t="s">
        <v>6375</v>
      </c>
      <c r="H409" s="54"/>
      <c r="I409" s="54" t="s">
        <v>4538</v>
      </c>
    </row>
    <row r="410" spans="1:9" x14ac:dyDescent="0.25">
      <c r="A410" s="53" t="s">
        <v>8035</v>
      </c>
      <c r="B410" s="52" t="s">
        <v>8034</v>
      </c>
      <c r="C410" s="108" t="s">
        <v>6811</v>
      </c>
      <c r="D410" s="57" t="s">
        <v>8036</v>
      </c>
      <c r="E410" s="56" t="s">
        <v>8037</v>
      </c>
      <c r="F410" s="56" t="s">
        <v>8038</v>
      </c>
      <c r="G410" s="56" t="s">
        <v>8039</v>
      </c>
      <c r="H410" s="54"/>
      <c r="I410" s="54" t="s">
        <v>4757</v>
      </c>
    </row>
    <row r="411" spans="1:9" x14ac:dyDescent="0.25">
      <c r="A411" s="53" t="s">
        <v>4890</v>
      </c>
      <c r="B411" s="52" t="s">
        <v>7350</v>
      </c>
      <c r="C411" s="108" t="s">
        <v>6639</v>
      </c>
      <c r="D411" s="57" t="s">
        <v>7351</v>
      </c>
      <c r="E411" s="56" t="s">
        <v>7352</v>
      </c>
      <c r="F411" s="56" t="s">
        <v>7353</v>
      </c>
      <c r="G411" s="56" t="s">
        <v>7354</v>
      </c>
      <c r="H411" s="54"/>
      <c r="I411" s="54" t="s">
        <v>4597</v>
      </c>
    </row>
    <row r="412" spans="1:9" x14ac:dyDescent="0.25">
      <c r="A412" s="53" t="s">
        <v>3713</v>
      </c>
      <c r="B412" s="52" t="s">
        <v>7184</v>
      </c>
      <c r="C412" s="108" t="s">
        <v>6605</v>
      </c>
      <c r="D412" s="57" t="s">
        <v>7185</v>
      </c>
      <c r="E412" s="56" t="s">
        <v>7188</v>
      </c>
      <c r="F412" s="56" t="s">
        <v>7186</v>
      </c>
      <c r="G412" s="56" t="s">
        <v>7187</v>
      </c>
      <c r="H412" s="54"/>
      <c r="I412" s="54" t="s">
        <v>4567</v>
      </c>
    </row>
    <row r="413" spans="1:9" x14ac:dyDescent="0.25">
      <c r="A413" s="53" t="s">
        <v>7451</v>
      </c>
      <c r="B413" s="52" t="s">
        <v>7450</v>
      </c>
      <c r="C413" s="108" t="s">
        <v>6662</v>
      </c>
      <c r="D413" s="57" t="s">
        <v>7452</v>
      </c>
      <c r="E413" s="56" t="s">
        <v>7453</v>
      </c>
      <c r="F413" s="56" t="s">
        <v>7454</v>
      </c>
      <c r="G413" s="56" t="s">
        <v>7455</v>
      </c>
      <c r="H413" s="54"/>
      <c r="I413" s="54" t="s">
        <v>4618</v>
      </c>
    </row>
    <row r="414" spans="1:9" x14ac:dyDescent="0.25">
      <c r="A414" s="53" t="s">
        <v>2502</v>
      </c>
      <c r="B414" s="52" t="s">
        <v>7949</v>
      </c>
      <c r="C414" s="108" t="s">
        <v>6782</v>
      </c>
      <c r="D414" s="57" t="s">
        <v>7950</v>
      </c>
      <c r="E414" s="56" t="s">
        <v>7951</v>
      </c>
      <c r="F414" s="56" t="s">
        <v>7952</v>
      </c>
      <c r="G414" s="56" t="s">
        <v>7953</v>
      </c>
      <c r="H414" s="54"/>
      <c r="I414" s="54" t="s">
        <v>4733</v>
      </c>
    </row>
    <row r="415" spans="1:9" x14ac:dyDescent="0.25">
      <c r="A415" s="53" t="s">
        <v>2517</v>
      </c>
      <c r="B415" s="52" t="s">
        <v>4477</v>
      </c>
      <c r="C415" s="108" t="s">
        <v>2674</v>
      </c>
      <c r="D415" s="57" t="s">
        <v>4478</v>
      </c>
      <c r="E415" s="56" t="s">
        <v>4479</v>
      </c>
      <c r="F415" s="56" t="s">
        <v>4480</v>
      </c>
      <c r="G415" s="56" t="s">
        <v>4481</v>
      </c>
      <c r="H415" s="54"/>
      <c r="I415" s="54" t="s">
        <v>4508</v>
      </c>
    </row>
    <row r="416" spans="1:9" x14ac:dyDescent="0.25">
      <c r="A416" s="53" t="s">
        <v>2502</v>
      </c>
      <c r="B416" s="52" t="s">
        <v>6361</v>
      </c>
      <c r="C416" s="108" t="s">
        <v>6564</v>
      </c>
      <c r="D416" s="57" t="s">
        <v>6357</v>
      </c>
      <c r="E416" s="56" t="s">
        <v>6358</v>
      </c>
      <c r="F416" s="56" t="s">
        <v>6359</v>
      </c>
      <c r="G416" s="56" t="s">
        <v>6360</v>
      </c>
      <c r="H416" s="54"/>
      <c r="I416" s="54" t="s">
        <v>4535</v>
      </c>
    </row>
    <row r="417" spans="1:9" x14ac:dyDescent="0.25">
      <c r="A417" s="53" t="s">
        <v>2502</v>
      </c>
      <c r="B417" s="52" t="s">
        <v>3731</v>
      </c>
      <c r="C417" s="108" t="s">
        <v>6460</v>
      </c>
      <c r="D417" s="57" t="s">
        <v>4071</v>
      </c>
      <c r="E417" s="56" t="s">
        <v>4072</v>
      </c>
      <c r="F417" s="56" t="s">
        <v>4073</v>
      </c>
      <c r="G417" s="56" t="s">
        <v>4074</v>
      </c>
      <c r="H417" s="54"/>
      <c r="I417" s="54" t="s">
        <v>4344</v>
      </c>
    </row>
    <row r="418" spans="1:9" x14ac:dyDescent="0.25">
      <c r="A418" s="53" t="s">
        <v>7642</v>
      </c>
      <c r="B418" s="52" t="s">
        <v>7641</v>
      </c>
      <c r="C418" s="108" t="s">
        <v>6698</v>
      </c>
      <c r="D418" s="57" t="s">
        <v>7643</v>
      </c>
      <c r="E418" s="56" t="s">
        <v>7644</v>
      </c>
      <c r="F418" s="56" t="s">
        <v>7645</v>
      </c>
      <c r="G418" s="56" t="s">
        <v>7646</v>
      </c>
      <c r="H418" s="54"/>
      <c r="I418" s="54" t="s">
        <v>4654</v>
      </c>
    </row>
    <row r="419" spans="1:9" x14ac:dyDescent="0.25">
      <c r="A419" s="53" t="s">
        <v>7371</v>
      </c>
      <c r="B419" s="52" t="s">
        <v>7370</v>
      </c>
      <c r="C419" s="108" t="s">
        <v>6645</v>
      </c>
      <c r="D419" s="57" t="s">
        <v>7372</v>
      </c>
      <c r="E419" s="56" t="s">
        <v>7373</v>
      </c>
      <c r="F419" s="56" t="s">
        <v>7374</v>
      </c>
      <c r="G419" s="56" t="s">
        <v>7375</v>
      </c>
      <c r="H419" s="54"/>
      <c r="I419" s="54" t="s">
        <v>4601</v>
      </c>
    </row>
    <row r="420" spans="1:9" x14ac:dyDescent="0.25">
      <c r="A420" s="53" t="s">
        <v>2443</v>
      </c>
      <c r="B420" s="109" t="s">
        <v>6873</v>
      </c>
      <c r="C420" s="108" t="s">
        <v>6420</v>
      </c>
      <c r="D420" s="57" t="s">
        <v>6874</v>
      </c>
      <c r="E420" s="56" t="s">
        <v>6875</v>
      </c>
      <c r="F420" s="56" t="s">
        <v>6876</v>
      </c>
      <c r="G420" s="56" t="s">
        <v>6877</v>
      </c>
      <c r="H420" s="54"/>
      <c r="I420" s="54"/>
    </row>
    <row r="421" spans="1:9" x14ac:dyDescent="0.25">
      <c r="A421" s="53" t="s">
        <v>3658</v>
      </c>
      <c r="B421" s="52" t="s">
        <v>7790</v>
      </c>
      <c r="C421" s="108" t="s">
        <v>6732</v>
      </c>
      <c r="D421" s="57" t="s">
        <v>7791</v>
      </c>
      <c r="E421" s="56" t="s">
        <v>7792</v>
      </c>
      <c r="F421" s="56" t="s">
        <v>7793</v>
      </c>
      <c r="G421" s="56" t="s">
        <v>7794</v>
      </c>
      <c r="H421" s="54"/>
      <c r="I421" s="54" t="s">
        <v>4685</v>
      </c>
    </row>
    <row r="422" spans="1:9" x14ac:dyDescent="0.25">
      <c r="A422" s="53" t="s">
        <v>4890</v>
      </c>
      <c r="B422" s="52" t="s">
        <v>4896</v>
      </c>
      <c r="C422" s="108" t="s">
        <v>3304</v>
      </c>
      <c r="D422" s="57" t="s">
        <v>4897</v>
      </c>
      <c r="E422" s="56" t="s">
        <v>4898</v>
      </c>
      <c r="F422" s="56" t="s">
        <v>4899</v>
      </c>
      <c r="G422" s="56" t="s">
        <v>4900</v>
      </c>
      <c r="H422" s="54"/>
      <c r="I422" s="54" t="s">
        <v>4761</v>
      </c>
    </row>
    <row r="423" spans="1:9" x14ac:dyDescent="0.25">
      <c r="A423" s="53" t="s">
        <v>6221</v>
      </c>
      <c r="B423" s="52" t="s">
        <v>7989</v>
      </c>
      <c r="C423" s="108" t="s">
        <v>2621</v>
      </c>
      <c r="D423" s="57" t="s">
        <v>4198</v>
      </c>
      <c r="E423" s="56" t="s">
        <v>4263</v>
      </c>
      <c r="F423" s="56" t="s">
        <v>4264</v>
      </c>
      <c r="G423" s="56" t="s">
        <v>4265</v>
      </c>
      <c r="H423" s="54"/>
      <c r="I423" s="54" t="s">
        <v>4380</v>
      </c>
    </row>
    <row r="424" spans="1:9" x14ac:dyDescent="0.25">
      <c r="A424" s="53" t="s">
        <v>6221</v>
      </c>
      <c r="B424" s="52" t="s">
        <v>7989</v>
      </c>
      <c r="C424" s="108" t="s">
        <v>6519</v>
      </c>
      <c r="D424" s="61" t="s">
        <v>3821</v>
      </c>
      <c r="E424" s="60" t="s">
        <v>3852</v>
      </c>
      <c r="F424" s="60" t="s">
        <v>3931</v>
      </c>
      <c r="G424" s="60" t="s">
        <v>3932</v>
      </c>
      <c r="H424" s="54"/>
      <c r="I424" s="54" t="s">
        <v>3996</v>
      </c>
    </row>
    <row r="425" spans="1:9" x14ac:dyDescent="0.25">
      <c r="A425" s="53" t="s">
        <v>6221</v>
      </c>
      <c r="B425" s="52" t="s">
        <v>7989</v>
      </c>
      <c r="C425" s="108" t="s">
        <v>6792</v>
      </c>
      <c r="D425" s="57" t="s">
        <v>7990</v>
      </c>
      <c r="E425" s="56" t="s">
        <v>7991</v>
      </c>
      <c r="F425" s="56" t="s">
        <v>7992</v>
      </c>
      <c r="G425" s="56" t="s">
        <v>7993</v>
      </c>
      <c r="H425" s="54"/>
      <c r="I425" s="54" t="s">
        <v>4741</v>
      </c>
    </row>
    <row r="426" spans="1:9" x14ac:dyDescent="0.25">
      <c r="A426" s="53" t="s">
        <v>6221</v>
      </c>
      <c r="B426" s="52" t="s">
        <v>7989</v>
      </c>
      <c r="C426" s="108" t="s">
        <v>6814</v>
      </c>
      <c r="D426" s="57" t="s">
        <v>6879</v>
      </c>
      <c r="E426" s="56" t="s">
        <v>6880</v>
      </c>
      <c r="F426" s="56" t="s">
        <v>6881</v>
      </c>
      <c r="G426" s="56" t="s">
        <v>6882</v>
      </c>
      <c r="H426" s="54"/>
      <c r="I426" s="54" t="s">
        <v>4758</v>
      </c>
    </row>
    <row r="427" spans="1:9" x14ac:dyDescent="0.25">
      <c r="A427" s="53" t="s">
        <v>3713</v>
      </c>
      <c r="B427" s="52" t="s">
        <v>7440</v>
      </c>
      <c r="C427" s="108" t="s">
        <v>6660</v>
      </c>
      <c r="D427" s="57" t="s">
        <v>7441</v>
      </c>
      <c r="E427" s="56" t="s">
        <v>7442</v>
      </c>
      <c r="F427" s="56" t="s">
        <v>7443</v>
      </c>
      <c r="G427" s="56" t="s">
        <v>7444</v>
      </c>
      <c r="H427" s="54"/>
      <c r="I427" s="54" t="s">
        <v>4616</v>
      </c>
    </row>
    <row r="428" spans="1:9" x14ac:dyDescent="0.25">
      <c r="A428" s="53" t="s">
        <v>7288</v>
      </c>
      <c r="B428" s="52" t="s">
        <v>7345</v>
      </c>
      <c r="C428" s="108" t="s">
        <v>6638</v>
      </c>
      <c r="D428" s="57" t="s">
        <v>7346</v>
      </c>
      <c r="E428" s="56" t="s">
        <v>7347</v>
      </c>
      <c r="F428" s="56" t="s">
        <v>7348</v>
      </c>
      <c r="G428" s="56" t="s">
        <v>7349</v>
      </c>
      <c r="H428" s="54"/>
      <c r="I428" s="54" t="s">
        <v>4596</v>
      </c>
    </row>
    <row r="429" spans="1:9" x14ac:dyDescent="0.25">
      <c r="A429" s="58" t="s">
        <v>3712</v>
      </c>
      <c r="B429" s="59" t="s">
        <v>3733</v>
      </c>
      <c r="C429" s="108" t="s">
        <v>6836</v>
      </c>
      <c r="D429" s="61" t="s">
        <v>3816</v>
      </c>
      <c r="E429" s="60" t="s">
        <v>3848</v>
      </c>
      <c r="F429" s="60" t="s">
        <v>3939</v>
      </c>
      <c r="G429" s="60" t="s">
        <v>3940</v>
      </c>
      <c r="H429" s="54"/>
      <c r="I429" s="54" t="s">
        <v>3992</v>
      </c>
    </row>
    <row r="430" spans="1:9" x14ac:dyDescent="0.25">
      <c r="A430" s="58" t="s">
        <v>2442</v>
      </c>
      <c r="B430" s="59" t="s">
        <v>3726</v>
      </c>
      <c r="C430" s="108" t="s">
        <v>6815</v>
      </c>
      <c r="D430" s="61" t="s">
        <v>3812</v>
      </c>
      <c r="E430" s="60" t="s">
        <v>3844</v>
      </c>
      <c r="F430" s="60" t="s">
        <v>3947</v>
      </c>
      <c r="G430" s="60" t="s">
        <v>3948</v>
      </c>
      <c r="H430" s="54"/>
      <c r="I430" s="54" t="s">
        <v>3988</v>
      </c>
    </row>
    <row r="431" spans="1:9" x14ac:dyDescent="0.25">
      <c r="A431" s="58" t="s">
        <v>3817</v>
      </c>
      <c r="B431" s="59" t="s">
        <v>3726</v>
      </c>
      <c r="C431" s="108" t="s">
        <v>6855</v>
      </c>
      <c r="D431" s="61" t="s">
        <v>3818</v>
      </c>
      <c r="E431" s="60" t="s">
        <v>3849</v>
      </c>
      <c r="F431" s="60" t="s">
        <v>3937</v>
      </c>
      <c r="G431" s="60" t="s">
        <v>3938</v>
      </c>
      <c r="H431" s="54"/>
      <c r="I431" s="54" t="s">
        <v>3993</v>
      </c>
    </row>
    <row r="432" spans="1:9" x14ac:dyDescent="0.25">
      <c r="A432" s="53" t="s">
        <v>2502</v>
      </c>
      <c r="B432" s="52" t="s">
        <v>3733</v>
      </c>
      <c r="C432" s="108" t="s">
        <v>6536</v>
      </c>
      <c r="D432" s="57" t="s">
        <v>4447</v>
      </c>
      <c r="E432" s="56" t="s">
        <v>4448</v>
      </c>
      <c r="F432" s="56" t="s">
        <v>4449</v>
      </c>
      <c r="G432" s="56" t="s">
        <v>4450</v>
      </c>
      <c r="H432" s="54"/>
      <c r="I432" s="54" t="s">
        <v>4501</v>
      </c>
    </row>
    <row r="433" spans="1:9" x14ac:dyDescent="0.25">
      <c r="A433" s="53" t="s">
        <v>7361</v>
      </c>
      <c r="B433" s="52" t="s">
        <v>7360</v>
      </c>
      <c r="C433" s="108" t="s">
        <v>6642</v>
      </c>
      <c r="D433" s="57" t="s">
        <v>7362</v>
      </c>
      <c r="E433" s="56" t="s">
        <v>7363</v>
      </c>
      <c r="F433" s="56" t="s">
        <v>7363</v>
      </c>
      <c r="G433" s="56" t="s">
        <v>7364</v>
      </c>
      <c r="H433" s="54"/>
      <c r="I433" s="54" t="s">
        <v>4599</v>
      </c>
    </row>
    <row r="434" spans="1:9" x14ac:dyDescent="0.25">
      <c r="A434" s="53" t="s">
        <v>2442</v>
      </c>
      <c r="B434" s="52" t="s">
        <v>4885</v>
      </c>
      <c r="C434" s="108" t="s">
        <v>6560</v>
      </c>
      <c r="D434" s="57" t="s">
        <v>4886</v>
      </c>
      <c r="E434" s="56" t="s">
        <v>4887</v>
      </c>
      <c r="F434" s="56" t="s">
        <v>4888</v>
      </c>
      <c r="G434" s="56" t="s">
        <v>4889</v>
      </c>
      <c r="H434" s="54"/>
      <c r="I434" s="54" t="s">
        <v>4531</v>
      </c>
    </row>
    <row r="435" spans="1:9" x14ac:dyDescent="0.25">
      <c r="A435" s="53" t="s">
        <v>2442</v>
      </c>
      <c r="B435" s="52" t="s">
        <v>4885</v>
      </c>
      <c r="C435" s="108" t="s">
        <v>6566</v>
      </c>
      <c r="D435" s="57" t="s">
        <v>6366</v>
      </c>
      <c r="E435" s="56" t="s">
        <v>6367</v>
      </c>
      <c r="F435" s="56" t="s">
        <v>6368</v>
      </c>
      <c r="G435" s="56" t="s">
        <v>6369</v>
      </c>
      <c r="H435" s="54"/>
      <c r="I435" s="54" t="s">
        <v>4537</v>
      </c>
    </row>
    <row r="436" spans="1:9" x14ac:dyDescent="0.25">
      <c r="A436" s="53" t="s">
        <v>7288</v>
      </c>
      <c r="B436" s="52" t="s">
        <v>7287</v>
      </c>
      <c r="C436" s="108" t="s">
        <v>6627</v>
      </c>
      <c r="D436" s="57" t="s">
        <v>7289</v>
      </c>
      <c r="E436" s="56" t="s">
        <v>7290</v>
      </c>
      <c r="F436" s="56" t="s">
        <v>7291</v>
      </c>
      <c r="G436" s="56" t="s">
        <v>7291</v>
      </c>
      <c r="H436" s="54"/>
      <c r="I436" s="54" t="s">
        <v>4585</v>
      </c>
    </row>
    <row r="437" spans="1:9" x14ac:dyDescent="0.25">
      <c r="A437" s="58" t="s">
        <v>3710</v>
      </c>
      <c r="B437" s="59" t="s">
        <v>3734</v>
      </c>
      <c r="C437" s="128" t="s">
        <v>3314</v>
      </c>
      <c r="D437" s="61" t="s">
        <v>3813</v>
      </c>
      <c r="E437" s="60" t="s">
        <v>3845</v>
      </c>
      <c r="F437" s="60" t="s">
        <v>3945</v>
      </c>
      <c r="G437" s="60" t="s">
        <v>3946</v>
      </c>
      <c r="H437" s="54"/>
      <c r="I437" s="54" t="s">
        <v>3989</v>
      </c>
    </row>
    <row r="438" spans="1:9" x14ac:dyDescent="0.25">
      <c r="A438" s="53" t="s">
        <v>2442</v>
      </c>
      <c r="B438" s="52" t="s">
        <v>6362</v>
      </c>
      <c r="C438" s="108" t="s">
        <v>6565</v>
      </c>
      <c r="D438" s="57" t="s">
        <v>6363</v>
      </c>
      <c r="E438" s="56" t="s">
        <v>6364</v>
      </c>
      <c r="F438" s="56" t="s">
        <v>6365</v>
      </c>
      <c r="G438" s="56" t="s">
        <v>6370</v>
      </c>
      <c r="H438" s="54"/>
      <c r="I438" s="54" t="s">
        <v>4536</v>
      </c>
    </row>
    <row r="439" spans="1:9" x14ac:dyDescent="0.25">
      <c r="A439" s="53" t="s">
        <v>7225</v>
      </c>
      <c r="B439" s="52" t="s">
        <v>7476</v>
      </c>
      <c r="C439" s="108" t="s">
        <v>6667</v>
      </c>
      <c r="D439" s="57" t="s">
        <v>7477</v>
      </c>
      <c r="E439" s="56" t="s">
        <v>7478</v>
      </c>
      <c r="F439" s="56" t="s">
        <v>7479</v>
      </c>
      <c r="G439" s="56" t="s">
        <v>7480</v>
      </c>
      <c r="H439" s="54"/>
      <c r="I439" s="54" t="s">
        <v>4623</v>
      </c>
    </row>
    <row r="440" spans="1:9" x14ac:dyDescent="0.25">
      <c r="A440" s="53" t="s">
        <v>2502</v>
      </c>
      <c r="B440" s="52" t="s">
        <v>7014</v>
      </c>
      <c r="C440" s="108" t="s">
        <v>6572</v>
      </c>
      <c r="D440" s="57" t="s">
        <v>7015</v>
      </c>
      <c r="E440" s="56" t="s">
        <v>7016</v>
      </c>
      <c r="F440" s="56" t="s">
        <v>7017</v>
      </c>
      <c r="G440" s="68" t="s">
        <v>7018</v>
      </c>
      <c r="H440" s="54"/>
      <c r="I440" s="54" t="s">
        <v>4542</v>
      </c>
    </row>
    <row r="441" spans="1:9" x14ac:dyDescent="0.25">
      <c r="A441" s="53" t="s">
        <v>4890</v>
      </c>
      <c r="B441" s="109" t="s">
        <v>6154</v>
      </c>
      <c r="C441" s="108" t="s">
        <v>6418</v>
      </c>
      <c r="D441" s="57" t="s">
        <v>6859</v>
      </c>
      <c r="E441" s="56" t="s">
        <v>6860</v>
      </c>
      <c r="F441" s="56" t="s">
        <v>6861</v>
      </c>
      <c r="G441" s="68" t="s">
        <v>6862</v>
      </c>
      <c r="H441" s="54"/>
      <c r="I441" s="54"/>
    </row>
    <row r="442" spans="1:9" x14ac:dyDescent="0.25">
      <c r="A442" s="53" t="s">
        <v>3711</v>
      </c>
      <c r="B442" s="52" t="s">
        <v>7189</v>
      </c>
      <c r="C442" s="108" t="s">
        <v>6600</v>
      </c>
      <c r="D442" s="57" t="s">
        <v>7190</v>
      </c>
      <c r="E442" s="56" t="s">
        <v>7191</v>
      </c>
      <c r="F442" s="56" t="s">
        <v>7191</v>
      </c>
      <c r="G442" s="68" t="s">
        <v>7192</v>
      </c>
      <c r="H442" s="54"/>
      <c r="I442" s="54" t="s">
        <v>4562</v>
      </c>
    </row>
    <row r="443" spans="1:9" x14ac:dyDescent="0.25">
      <c r="A443" s="53" t="s">
        <v>2502</v>
      </c>
      <c r="B443" s="52" t="s">
        <v>7481</v>
      </c>
      <c r="C443" s="108" t="s">
        <v>6668</v>
      </c>
      <c r="D443" s="57" t="s">
        <v>7482</v>
      </c>
      <c r="E443" s="56" t="s">
        <v>7502</v>
      </c>
      <c r="F443" s="56" t="s">
        <v>7503</v>
      </c>
      <c r="G443" s="56" t="s">
        <v>7508</v>
      </c>
      <c r="H443" s="54"/>
      <c r="I443" s="54" t="s">
        <v>4624</v>
      </c>
    </row>
    <row r="444" spans="1:9" x14ac:dyDescent="0.25">
      <c r="A444" s="53" t="s">
        <v>7371</v>
      </c>
      <c r="B444" s="52" t="s">
        <v>7445</v>
      </c>
      <c r="C444" s="108" t="s">
        <v>6661</v>
      </c>
      <c r="D444" s="57" t="s">
        <v>7446</v>
      </c>
      <c r="E444" s="56" t="s">
        <v>7447</v>
      </c>
      <c r="F444" s="56" t="s">
        <v>7448</v>
      </c>
      <c r="G444" s="56" t="s">
        <v>7449</v>
      </c>
      <c r="H444" s="54"/>
      <c r="I444" s="54" t="s">
        <v>4617</v>
      </c>
    </row>
    <row r="445" spans="1:9" x14ac:dyDescent="0.25">
      <c r="A445" s="53" t="s">
        <v>2442</v>
      </c>
      <c r="B445" s="52" t="s">
        <v>7485</v>
      </c>
      <c r="C445" s="108" t="s">
        <v>6670</v>
      </c>
      <c r="D445" s="57" t="s">
        <v>7486</v>
      </c>
      <c r="E445" s="56" t="s">
        <v>7496</v>
      </c>
      <c r="F445" s="56" t="s">
        <v>7497</v>
      </c>
      <c r="G445" s="68" t="s">
        <v>7498</v>
      </c>
      <c r="H445" s="54"/>
      <c r="I445" s="54" t="s">
        <v>4626</v>
      </c>
    </row>
    <row r="446" spans="1:9" x14ac:dyDescent="0.25">
      <c r="A446" s="53" t="s">
        <v>2502</v>
      </c>
      <c r="B446" s="109" t="s">
        <v>6906</v>
      </c>
      <c r="C446" s="108" t="s">
        <v>6448</v>
      </c>
      <c r="D446" s="57" t="s">
        <v>6907</v>
      </c>
      <c r="E446" s="56" t="s">
        <v>6908</v>
      </c>
      <c r="F446" s="56" t="s">
        <v>6908</v>
      </c>
      <c r="G446" s="68" t="s">
        <v>6909</v>
      </c>
      <c r="H446" s="54"/>
      <c r="I446" s="54"/>
    </row>
    <row r="447" spans="1:9" x14ac:dyDescent="0.25">
      <c r="A447" s="53" t="s">
        <v>3713</v>
      </c>
      <c r="B447" s="52" t="s">
        <v>7306</v>
      </c>
      <c r="C447" s="108" t="s">
        <v>6630</v>
      </c>
      <c r="D447" s="57" t="s">
        <v>7307</v>
      </c>
      <c r="E447" s="56" t="s">
        <v>7308</v>
      </c>
      <c r="F447" s="56" t="s">
        <v>7309</v>
      </c>
      <c r="G447" s="56" t="s">
        <v>7310</v>
      </c>
      <c r="H447" s="54"/>
      <c r="I447" s="54" t="s">
        <v>4588</v>
      </c>
    </row>
    <row r="448" spans="1:9" x14ac:dyDescent="0.25">
      <c r="A448" s="53" t="s">
        <v>6183</v>
      </c>
      <c r="B448" s="52" t="s">
        <v>7208</v>
      </c>
      <c r="C448" s="108" t="s">
        <v>6611</v>
      </c>
      <c r="D448" s="57" t="s">
        <v>7209</v>
      </c>
      <c r="E448" s="56" t="s">
        <v>7210</v>
      </c>
      <c r="F448" s="56" t="s">
        <v>7211</v>
      </c>
      <c r="G448" s="56" t="s">
        <v>7212</v>
      </c>
      <c r="H448" s="54"/>
      <c r="I448" s="54" t="s">
        <v>4571</v>
      </c>
    </row>
    <row r="449" spans="1:9" x14ac:dyDescent="0.25">
      <c r="A449" s="53" t="s">
        <v>2442</v>
      </c>
      <c r="B449" s="52" t="s">
        <v>7466</v>
      </c>
      <c r="C449" s="108" t="s">
        <v>6665</v>
      </c>
      <c r="D449" s="57" t="s">
        <v>7467</v>
      </c>
      <c r="E449" s="56" t="s">
        <v>7468</v>
      </c>
      <c r="F449" s="56" t="s">
        <v>7469</v>
      </c>
      <c r="G449" s="56" t="s">
        <v>7470</v>
      </c>
      <c r="H449" s="54"/>
      <c r="I449" s="54" t="s">
        <v>4621</v>
      </c>
    </row>
    <row r="450" spans="1:9" x14ac:dyDescent="0.25">
      <c r="A450" s="53" t="s">
        <v>2442</v>
      </c>
      <c r="B450" s="52" t="s">
        <v>7068</v>
      </c>
      <c r="C450" s="108" t="s">
        <v>6584</v>
      </c>
      <c r="D450" s="57" t="s">
        <v>7069</v>
      </c>
      <c r="E450" s="56" t="s">
        <v>7070</v>
      </c>
      <c r="F450" s="56" t="s">
        <v>7071</v>
      </c>
      <c r="G450" s="56" t="s">
        <v>7072</v>
      </c>
      <c r="H450" s="54"/>
      <c r="I450" s="54" t="s">
        <v>4550</v>
      </c>
    </row>
    <row r="451" spans="1:9" x14ac:dyDescent="0.25">
      <c r="A451" s="53" t="s">
        <v>2502</v>
      </c>
      <c r="B451" s="52" t="s">
        <v>7809</v>
      </c>
      <c r="C451" s="108" t="s">
        <v>6741</v>
      </c>
      <c r="D451" s="57" t="s">
        <v>7810</v>
      </c>
      <c r="E451" s="56" t="s">
        <v>7811</v>
      </c>
      <c r="F451" s="56" t="s">
        <v>7812</v>
      </c>
      <c r="G451" s="56" t="s">
        <v>7813</v>
      </c>
      <c r="H451" s="54"/>
      <c r="I451" s="54" t="s">
        <v>4694</v>
      </c>
    </row>
    <row r="452" spans="1:9" x14ac:dyDescent="0.25">
      <c r="A452" s="53" t="s">
        <v>2442</v>
      </c>
      <c r="B452" s="52" t="s">
        <v>7317</v>
      </c>
      <c r="C452" s="108" t="s">
        <v>6632</v>
      </c>
      <c r="D452" s="57" t="s">
        <v>7318</v>
      </c>
      <c r="E452" s="56" t="s">
        <v>7319</v>
      </c>
      <c r="F452" s="56" t="s">
        <v>7320</v>
      </c>
      <c r="G452" s="56" t="s">
        <v>7321</v>
      </c>
      <c r="H452" s="54"/>
      <c r="I452" s="54" t="s">
        <v>4590</v>
      </c>
    </row>
    <row r="453" spans="1:9" x14ac:dyDescent="0.25">
      <c r="A453" s="53" t="s">
        <v>2442</v>
      </c>
      <c r="B453" s="109" t="s">
        <v>6951</v>
      </c>
      <c r="C453" s="108" t="s">
        <v>6498</v>
      </c>
      <c r="D453" s="57" t="s">
        <v>6952</v>
      </c>
      <c r="E453" s="56" t="s">
        <v>6953</v>
      </c>
      <c r="F453" s="56" t="s">
        <v>6954</v>
      </c>
      <c r="G453" s="56" t="s">
        <v>6955</v>
      </c>
      <c r="H453" s="54"/>
      <c r="I453" s="54"/>
    </row>
    <row r="454" spans="1:9" x14ac:dyDescent="0.25">
      <c r="A454" s="53" t="s">
        <v>7183</v>
      </c>
      <c r="B454" s="52" t="s">
        <v>7173</v>
      </c>
      <c r="C454" s="108" t="s">
        <v>6603</v>
      </c>
      <c r="D454" s="57" t="s">
        <v>7174</v>
      </c>
      <c r="E454" s="56" t="s">
        <v>7175</v>
      </c>
      <c r="F454" s="56" t="s">
        <v>7176</v>
      </c>
      <c r="G454" s="68" t="s">
        <v>7177</v>
      </c>
      <c r="H454" s="54"/>
      <c r="I454" s="54" t="s">
        <v>4565</v>
      </c>
    </row>
    <row r="455" spans="1:9" x14ac:dyDescent="0.25">
      <c r="A455" s="53" t="s">
        <v>3713</v>
      </c>
      <c r="B455" s="52" t="s">
        <v>7684</v>
      </c>
      <c r="C455" s="108" t="s">
        <v>8124</v>
      </c>
      <c r="D455" s="57" t="s">
        <v>8125</v>
      </c>
      <c r="E455" s="56" t="s">
        <v>8126</v>
      </c>
      <c r="F455" s="56" t="s">
        <v>8127</v>
      </c>
      <c r="G455" s="56" t="s">
        <v>8128</v>
      </c>
      <c r="H455" s="54"/>
      <c r="I455" s="54" t="s">
        <v>4666</v>
      </c>
    </row>
    <row r="456" spans="1:9" x14ac:dyDescent="0.25">
      <c r="A456" s="53" t="s">
        <v>2442</v>
      </c>
      <c r="B456" s="52" t="s">
        <v>7546</v>
      </c>
      <c r="C456" s="108" t="s">
        <v>6682</v>
      </c>
      <c r="D456" s="57" t="s">
        <v>7547</v>
      </c>
      <c r="E456" s="56" t="s">
        <v>7548</v>
      </c>
      <c r="F456" s="56" t="s">
        <v>7549</v>
      </c>
      <c r="G456" s="56" t="s">
        <v>7550</v>
      </c>
      <c r="H456" s="54"/>
      <c r="I456" s="54" t="s">
        <v>4638</v>
      </c>
    </row>
    <row r="457" spans="1:9" x14ac:dyDescent="0.25">
      <c r="A457" s="53" t="s">
        <v>7400</v>
      </c>
      <c r="B457" s="52" t="s">
        <v>7399</v>
      </c>
      <c r="C457" s="108" t="s">
        <v>6652</v>
      </c>
      <c r="D457" s="57" t="s">
        <v>7401</v>
      </c>
      <c r="E457" s="56" t="s">
        <v>7402</v>
      </c>
      <c r="F457" s="56" t="s">
        <v>7403</v>
      </c>
      <c r="G457" s="68" t="s">
        <v>7404</v>
      </c>
      <c r="H457" s="54"/>
      <c r="I457" s="54" t="s">
        <v>4607</v>
      </c>
    </row>
    <row r="458" spans="1:9" x14ac:dyDescent="0.25">
      <c r="A458" s="53" t="s">
        <v>7457</v>
      </c>
      <c r="B458" s="52" t="s">
        <v>7456</v>
      </c>
      <c r="C458" s="108" t="s">
        <v>6663</v>
      </c>
      <c r="D458" s="57" t="s">
        <v>7458</v>
      </c>
      <c r="E458" s="56" t="s">
        <v>7458</v>
      </c>
      <c r="F458" s="56" t="s">
        <v>7459</v>
      </c>
      <c r="G458" s="56" t="s">
        <v>7460</v>
      </c>
      <c r="H458" s="54"/>
      <c r="I458" s="54" t="s">
        <v>4619</v>
      </c>
    </row>
    <row r="459" spans="1:9" x14ac:dyDescent="0.25">
      <c r="A459" s="53" t="s">
        <v>2442</v>
      </c>
      <c r="B459" s="52" t="s">
        <v>7322</v>
      </c>
      <c r="C459" s="108" t="s">
        <v>6633</v>
      </c>
      <c r="D459" s="57" t="s">
        <v>7323</v>
      </c>
      <c r="E459" s="56" t="s">
        <v>7324</v>
      </c>
      <c r="F459" s="56" t="s">
        <v>7324</v>
      </c>
      <c r="G459" s="56" t="s">
        <v>7325</v>
      </c>
      <c r="H459" s="54"/>
      <c r="I459" s="54" t="s">
        <v>4591</v>
      </c>
    </row>
    <row r="460" spans="1:9" x14ac:dyDescent="0.25">
      <c r="A460" s="53" t="s">
        <v>2442</v>
      </c>
      <c r="B460" s="52" t="s">
        <v>7117</v>
      </c>
      <c r="C460" s="108" t="s">
        <v>6592</v>
      </c>
      <c r="D460" s="57" t="s">
        <v>7118</v>
      </c>
      <c r="E460" s="56" t="s">
        <v>7119</v>
      </c>
      <c r="F460" s="56" t="s">
        <v>7120</v>
      </c>
      <c r="G460" s="56" t="s">
        <v>7121</v>
      </c>
      <c r="H460" s="54"/>
      <c r="I460" s="54" t="s">
        <v>4553</v>
      </c>
    </row>
    <row r="461" spans="1:9" x14ac:dyDescent="0.25">
      <c r="A461" s="53" t="s">
        <v>2442</v>
      </c>
      <c r="B461" s="52" t="s">
        <v>4463</v>
      </c>
      <c r="C461" s="108" t="s">
        <v>2668</v>
      </c>
      <c r="D461" s="57" t="s">
        <v>4464</v>
      </c>
      <c r="E461" s="56" t="s">
        <v>4465</v>
      </c>
      <c r="F461" s="56" t="s">
        <v>4466</v>
      </c>
      <c r="G461" s="56" t="s">
        <v>4467</v>
      </c>
      <c r="H461" s="54"/>
      <c r="I461" s="54" t="s">
        <v>4505</v>
      </c>
    </row>
    <row r="462" spans="1:9" x14ac:dyDescent="0.25">
      <c r="A462" s="53" t="s">
        <v>2442</v>
      </c>
      <c r="B462" s="52" t="s">
        <v>7331</v>
      </c>
      <c r="C462" s="108" t="s">
        <v>6635</v>
      </c>
      <c r="D462" s="57" t="s">
        <v>7332</v>
      </c>
      <c r="E462" s="56" t="s">
        <v>7333</v>
      </c>
      <c r="F462" s="56" t="s">
        <v>7334</v>
      </c>
      <c r="G462" s="56" t="s">
        <v>7335</v>
      </c>
      <c r="H462" s="54"/>
      <c r="I462" s="54" t="s">
        <v>4593</v>
      </c>
    </row>
    <row r="463" spans="1:9" x14ac:dyDescent="0.25">
      <c r="A463" s="53" t="s">
        <v>2502</v>
      </c>
      <c r="B463" s="109" t="s">
        <v>6868</v>
      </c>
      <c r="C463" s="108" t="s">
        <v>6419</v>
      </c>
      <c r="D463" s="57" t="s">
        <v>6869</v>
      </c>
      <c r="E463" s="56" t="s">
        <v>6870</v>
      </c>
      <c r="F463" s="56" t="s">
        <v>6871</v>
      </c>
      <c r="G463" s="56" t="s">
        <v>6872</v>
      </c>
      <c r="H463" s="54"/>
      <c r="I463" s="54"/>
    </row>
    <row r="464" spans="1:9" x14ac:dyDescent="0.25">
      <c r="A464" s="53" t="s">
        <v>3714</v>
      </c>
      <c r="B464" s="52" t="s">
        <v>7203</v>
      </c>
      <c r="C464" s="108" t="s">
        <v>6610</v>
      </c>
      <c r="D464" s="57" t="s">
        <v>7204</v>
      </c>
      <c r="E464" s="56" t="s">
        <v>7205</v>
      </c>
      <c r="F464" s="56" t="s">
        <v>7206</v>
      </c>
      <c r="G464" s="56" t="s">
        <v>7207</v>
      </c>
      <c r="H464" s="54"/>
      <c r="I464" s="54" t="s">
        <v>4570</v>
      </c>
    </row>
    <row r="465" spans="1:9" x14ac:dyDescent="0.25">
      <c r="A465" s="53" t="s">
        <v>2442</v>
      </c>
      <c r="B465" s="52" t="s">
        <v>4813</v>
      </c>
      <c r="C465" s="108" t="s">
        <v>6542</v>
      </c>
      <c r="D465" s="57" t="s">
        <v>4814</v>
      </c>
      <c r="E465" s="56" t="s">
        <v>4815</v>
      </c>
      <c r="F465" s="56" t="s">
        <v>4816</v>
      </c>
      <c r="G465" s="56" t="s">
        <v>4817</v>
      </c>
      <c r="H465" s="54"/>
      <c r="I465" s="54" t="s">
        <v>4516</v>
      </c>
    </row>
    <row r="466" spans="1:9" x14ac:dyDescent="0.25">
      <c r="A466" s="53" t="s">
        <v>2502</v>
      </c>
      <c r="B466" s="109" t="s">
        <v>6971</v>
      </c>
      <c r="C466" s="108" t="s">
        <v>6524</v>
      </c>
      <c r="D466" s="57" t="s">
        <v>6972</v>
      </c>
      <c r="E466" s="56" t="s">
        <v>6973</v>
      </c>
      <c r="F466" s="56" t="s">
        <v>6974</v>
      </c>
      <c r="G466" s="56" t="s">
        <v>6975</v>
      </c>
      <c r="H466" s="54"/>
      <c r="I466" s="54"/>
    </row>
    <row r="467" spans="1:9" x14ac:dyDescent="0.25">
      <c r="A467" s="53" t="s">
        <v>2502</v>
      </c>
      <c r="B467" s="52" t="s">
        <v>8041</v>
      </c>
      <c r="C467" s="108" t="s">
        <v>6825</v>
      </c>
      <c r="D467" s="57" t="s">
        <v>8042</v>
      </c>
      <c r="E467" s="56" t="s">
        <v>8043</v>
      </c>
      <c r="F467" s="56" t="s">
        <v>8044</v>
      </c>
      <c r="G467" s="56" t="s">
        <v>8045</v>
      </c>
      <c r="H467" s="54"/>
      <c r="I467" s="54" t="s">
        <v>4767</v>
      </c>
    </row>
    <row r="468" spans="1:9" x14ac:dyDescent="0.25">
      <c r="A468" s="53" t="s">
        <v>2502</v>
      </c>
      <c r="B468" s="52" t="s">
        <v>8046</v>
      </c>
      <c r="C468" s="108" t="s">
        <v>6823</v>
      </c>
      <c r="D468" s="57" t="s">
        <v>8049</v>
      </c>
      <c r="E468" s="56" t="s">
        <v>8050</v>
      </c>
      <c r="F468" s="56" t="s">
        <v>8051</v>
      </c>
      <c r="G468" s="56" t="s">
        <v>8052</v>
      </c>
      <c r="H468" s="54"/>
      <c r="I468" s="54" t="s">
        <v>4765</v>
      </c>
    </row>
    <row r="469" spans="1:9" x14ac:dyDescent="0.25">
      <c r="A469" s="53" t="s">
        <v>2502</v>
      </c>
      <c r="B469" s="52" t="s">
        <v>8053</v>
      </c>
      <c r="C469" s="108" t="s">
        <v>6827</v>
      </c>
      <c r="D469" s="57" t="s">
        <v>8054</v>
      </c>
      <c r="E469" s="56" t="s">
        <v>8055</v>
      </c>
      <c r="F469" s="56" t="s">
        <v>8056</v>
      </c>
      <c r="G469" s="56" t="s">
        <v>8057</v>
      </c>
      <c r="H469" s="54"/>
      <c r="I469" s="54" t="s">
        <v>4769</v>
      </c>
    </row>
    <row r="470" spans="1:9" x14ac:dyDescent="0.25">
      <c r="A470" s="53" t="s">
        <v>2502</v>
      </c>
      <c r="B470" s="52" t="s">
        <v>8058</v>
      </c>
      <c r="C470" s="108" t="s">
        <v>6832</v>
      </c>
      <c r="D470" s="57" t="s">
        <v>8059</v>
      </c>
      <c r="E470" s="56" t="s">
        <v>8060</v>
      </c>
      <c r="F470" s="56" t="s">
        <v>8062</v>
      </c>
      <c r="G470" s="56" t="s">
        <v>8061</v>
      </c>
      <c r="H470" s="54"/>
      <c r="I470" s="54" t="s">
        <v>4770</v>
      </c>
    </row>
    <row r="471" spans="1:9" x14ac:dyDescent="0.25">
      <c r="A471" s="53" t="s">
        <v>2502</v>
      </c>
      <c r="B471" s="52" t="s">
        <v>8063</v>
      </c>
      <c r="C471" s="108" t="s">
        <v>6833</v>
      </c>
      <c r="D471" s="57" t="s">
        <v>8064</v>
      </c>
      <c r="E471" s="56" t="s">
        <v>8064</v>
      </c>
      <c r="F471" s="56" t="s">
        <v>8065</v>
      </c>
      <c r="G471" s="56" t="s">
        <v>8066</v>
      </c>
      <c r="H471" s="54"/>
      <c r="I471" s="54" t="s">
        <v>4771</v>
      </c>
    </row>
    <row r="472" spans="1:9" x14ac:dyDescent="0.25">
      <c r="A472" s="53" t="s">
        <v>4890</v>
      </c>
      <c r="B472" s="52" t="s">
        <v>8067</v>
      </c>
      <c r="C472" s="56" t="s">
        <v>6838</v>
      </c>
      <c r="D472" s="57" t="s">
        <v>8068</v>
      </c>
      <c r="E472" s="56" t="s">
        <v>8069</v>
      </c>
      <c r="F472" s="56" t="s">
        <v>8070</v>
      </c>
      <c r="G472" s="56" t="s">
        <v>8071</v>
      </c>
      <c r="H472" s="54"/>
      <c r="I472" s="54" t="s">
        <v>4772</v>
      </c>
    </row>
    <row r="473" spans="1:9" x14ac:dyDescent="0.25">
      <c r="A473" s="53" t="s">
        <v>4890</v>
      </c>
      <c r="B473" s="52" t="s">
        <v>8072</v>
      </c>
      <c r="C473" s="56" t="s">
        <v>6839</v>
      </c>
      <c r="D473" s="57" t="s">
        <v>8073</v>
      </c>
      <c r="E473" s="56" t="s">
        <v>8074</v>
      </c>
      <c r="F473" s="56" t="s">
        <v>8075</v>
      </c>
      <c r="G473" s="56" t="s">
        <v>8076</v>
      </c>
      <c r="H473" s="54"/>
      <c r="I473" s="54" t="s">
        <v>4773</v>
      </c>
    </row>
    <row r="474" spans="1:9" x14ac:dyDescent="0.25">
      <c r="A474" s="53" t="s">
        <v>2502</v>
      </c>
      <c r="B474" s="52" t="s">
        <v>8077</v>
      </c>
      <c r="C474" s="56" t="s">
        <v>6840</v>
      </c>
      <c r="D474" s="57" t="s">
        <v>8078</v>
      </c>
      <c r="E474" s="56" t="s">
        <v>8079</v>
      </c>
      <c r="F474" s="56" t="s">
        <v>8080</v>
      </c>
      <c r="G474" s="56" t="s">
        <v>8081</v>
      </c>
      <c r="H474" s="54"/>
      <c r="I474" s="54" t="s">
        <v>4774</v>
      </c>
    </row>
    <row r="475" spans="1:9" x14ac:dyDescent="0.25">
      <c r="A475" s="53" t="s">
        <v>2502</v>
      </c>
      <c r="B475" s="52" t="s">
        <v>4176</v>
      </c>
      <c r="C475" s="56" t="s">
        <v>6846</v>
      </c>
      <c r="D475" s="57" t="s">
        <v>4158</v>
      </c>
      <c r="E475" s="56" t="s">
        <v>4260</v>
      </c>
      <c r="F475" s="56" t="s">
        <v>4261</v>
      </c>
      <c r="G475" s="56" t="s">
        <v>4262</v>
      </c>
      <c r="H475" s="54"/>
      <c r="I475" s="54" t="s">
        <v>4777</v>
      </c>
    </row>
    <row r="476" spans="1:9" x14ac:dyDescent="0.25">
      <c r="A476" s="53" t="s">
        <v>2502</v>
      </c>
      <c r="B476" s="52" t="s">
        <v>4418</v>
      </c>
      <c r="C476" s="56" t="s">
        <v>6847</v>
      </c>
      <c r="D476" s="57" t="s">
        <v>8082</v>
      </c>
      <c r="E476" s="56" t="s">
        <v>8083</v>
      </c>
      <c r="F476" s="56" t="s">
        <v>8084</v>
      </c>
      <c r="G476" s="56" t="s">
        <v>8085</v>
      </c>
      <c r="H476" s="54"/>
      <c r="I476" s="54" t="s">
        <v>4778</v>
      </c>
    </row>
    <row r="477" spans="1:9" x14ac:dyDescent="0.25">
      <c r="A477" s="53" t="s">
        <v>2502</v>
      </c>
      <c r="B477" s="52" t="s">
        <v>8086</v>
      </c>
      <c r="C477" s="56" t="s">
        <v>6848</v>
      </c>
      <c r="D477" s="57" t="s">
        <v>8087</v>
      </c>
      <c r="E477" s="56" t="s">
        <v>8088</v>
      </c>
      <c r="F477" s="56" t="s">
        <v>8089</v>
      </c>
      <c r="G477" s="56" t="s">
        <v>8090</v>
      </c>
      <c r="H477" s="54"/>
      <c r="I477" s="54" t="s">
        <v>4779</v>
      </c>
    </row>
    <row r="478" spans="1:9" x14ac:dyDescent="0.25">
      <c r="A478" s="53" t="s">
        <v>2502</v>
      </c>
      <c r="B478" s="52" t="s">
        <v>8047</v>
      </c>
      <c r="C478" s="56" t="s">
        <v>6841</v>
      </c>
      <c r="D478" s="57" t="s">
        <v>8091</v>
      </c>
      <c r="E478" s="56" t="s">
        <v>8092</v>
      </c>
      <c r="F478" s="56" t="s">
        <v>8093</v>
      </c>
      <c r="G478" s="56" t="s">
        <v>8094</v>
      </c>
      <c r="H478" s="54"/>
      <c r="I478" s="54" t="s">
        <v>4775</v>
      </c>
    </row>
    <row r="479" spans="1:9" x14ac:dyDescent="0.25">
      <c r="A479" s="53" t="s">
        <v>2502</v>
      </c>
      <c r="B479" s="52" t="s">
        <v>8095</v>
      </c>
      <c r="C479" s="56" t="s">
        <v>6852</v>
      </c>
      <c r="D479" s="57" t="s">
        <v>8096</v>
      </c>
      <c r="E479" s="56" t="s">
        <v>8097</v>
      </c>
      <c r="F479" s="56" t="s">
        <v>8098</v>
      </c>
      <c r="G479" s="56" t="s">
        <v>8099</v>
      </c>
      <c r="H479" s="54"/>
      <c r="I479" s="54" t="s">
        <v>4783</v>
      </c>
    </row>
    <row r="480" spans="1:9" x14ac:dyDescent="0.25">
      <c r="A480" s="53" t="s">
        <v>2502</v>
      </c>
      <c r="B480" s="52" t="s">
        <v>8048</v>
      </c>
      <c r="C480" s="56" t="s">
        <v>6854</v>
      </c>
      <c r="D480" s="57" t="s">
        <v>8100</v>
      </c>
      <c r="E480" s="56" t="s">
        <v>8101</v>
      </c>
      <c r="F480" s="56" t="s">
        <v>8102</v>
      </c>
      <c r="G480" s="56" t="s">
        <v>8103</v>
      </c>
      <c r="H480" s="54"/>
      <c r="I480" s="54" t="s">
        <v>4785</v>
      </c>
    </row>
    <row r="481" spans="1:9" x14ac:dyDescent="0.25">
      <c r="A481" s="53" t="s">
        <v>3713</v>
      </c>
      <c r="B481" s="52" t="s">
        <v>8104</v>
      </c>
      <c r="C481" s="56" t="s">
        <v>6856</v>
      </c>
      <c r="D481" s="57" t="s">
        <v>8105</v>
      </c>
      <c r="E481" s="56" t="s">
        <v>8106</v>
      </c>
      <c r="F481" s="56" t="s">
        <v>8107</v>
      </c>
      <c r="G481" s="56" t="s">
        <v>8108</v>
      </c>
      <c r="H481" s="54"/>
      <c r="I481" s="54" t="s">
        <v>4786</v>
      </c>
    </row>
    <row r="482" spans="1:9" x14ac:dyDescent="0.25">
      <c r="A482" s="53" t="s">
        <v>2502</v>
      </c>
      <c r="B482" s="52" t="s">
        <v>8109</v>
      </c>
      <c r="C482" s="56" t="s">
        <v>6857</v>
      </c>
      <c r="D482" s="57" t="s">
        <v>8110</v>
      </c>
      <c r="E482" s="56" t="s">
        <v>8111</v>
      </c>
      <c r="F482" s="56" t="s">
        <v>8112</v>
      </c>
      <c r="G482" s="56" t="s">
        <v>8113</v>
      </c>
      <c r="H482" s="54"/>
      <c r="I482" s="54" t="s">
        <v>4787</v>
      </c>
    </row>
    <row r="483" spans="1:9" x14ac:dyDescent="0.25">
      <c r="A483" s="53" t="s">
        <v>2502</v>
      </c>
      <c r="B483" s="52" t="s">
        <v>8114</v>
      </c>
      <c r="C483" s="56" t="s">
        <v>6849</v>
      </c>
      <c r="D483" s="57" t="s">
        <v>8115</v>
      </c>
      <c r="E483" s="56" t="s">
        <v>8116</v>
      </c>
      <c r="F483" s="56" t="s">
        <v>8117</v>
      </c>
      <c r="G483" s="56" t="s">
        <v>8118</v>
      </c>
      <c r="H483" s="54"/>
      <c r="I483" s="54" t="s">
        <v>4780</v>
      </c>
    </row>
    <row r="484" spans="1:9" x14ac:dyDescent="0.25">
      <c r="A484" s="53" t="s">
        <v>4890</v>
      </c>
      <c r="B484" s="109" t="s">
        <v>8119</v>
      </c>
      <c r="C484" s="56" t="s">
        <v>6858</v>
      </c>
      <c r="D484" s="57" t="s">
        <v>8120</v>
      </c>
      <c r="E484" s="56" t="s">
        <v>8121</v>
      </c>
      <c r="F484" s="56" t="s">
        <v>8122</v>
      </c>
      <c r="G484" s="56" t="s">
        <v>8123</v>
      </c>
      <c r="H484" s="54"/>
      <c r="I484" s="54"/>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3766-F17E-46AD-94EC-AC8C3BA4053D}">
  <dimension ref="A1:O1199"/>
  <sheetViews>
    <sheetView zoomScale="115" zoomScaleNormal="115" workbookViewId="0">
      <selection activeCell="C3" sqref="C3"/>
    </sheetView>
  </sheetViews>
  <sheetFormatPr defaultRowHeight="15" x14ac:dyDescent="0.25"/>
  <cols>
    <col min="1" max="1" width="8.42578125" bestFit="1" customWidth="1"/>
    <col min="2" max="3" width="40.7109375" customWidth="1"/>
    <col min="4" max="4" width="60.7109375" customWidth="1"/>
    <col min="5" max="5" width="17.5703125" bestFit="1" customWidth="1"/>
    <col min="6" max="6" width="12.42578125" bestFit="1" customWidth="1"/>
    <col min="7" max="10" width="40.7109375" customWidth="1"/>
    <col min="11" max="11" width="23.7109375" bestFit="1" customWidth="1"/>
    <col min="12" max="12" width="50.7109375" customWidth="1"/>
    <col min="13" max="13" width="11.140625" bestFit="1" customWidth="1"/>
  </cols>
  <sheetData>
    <row r="1" spans="1:15" x14ac:dyDescent="0.25">
      <c r="A1" s="151" t="s">
        <v>3778</v>
      </c>
      <c r="B1" s="152" t="s">
        <v>7836</v>
      </c>
      <c r="C1" s="153" t="s">
        <v>8820</v>
      </c>
      <c r="D1" s="153" t="s">
        <v>8821</v>
      </c>
      <c r="E1" s="153" t="s">
        <v>8822</v>
      </c>
      <c r="F1" s="153" t="s">
        <v>8823</v>
      </c>
      <c r="G1" s="153" t="s">
        <v>8824</v>
      </c>
      <c r="H1" s="153" t="s">
        <v>8825</v>
      </c>
      <c r="I1" s="153" t="s">
        <v>8826</v>
      </c>
      <c r="J1" s="153" t="s">
        <v>8827</v>
      </c>
      <c r="K1" s="158" t="s">
        <v>6093</v>
      </c>
      <c r="L1" s="158" t="s">
        <v>6094</v>
      </c>
      <c r="M1" s="158" t="s">
        <v>6096</v>
      </c>
      <c r="N1" s="158" t="s">
        <v>6097</v>
      </c>
      <c r="O1" s="158" t="s">
        <v>3777</v>
      </c>
    </row>
    <row r="2" spans="1:15" ht="128.25" x14ac:dyDescent="0.25">
      <c r="A2" s="148" t="s">
        <v>2109</v>
      </c>
      <c r="B2" s="148" t="s">
        <v>8842</v>
      </c>
      <c r="C2" s="148" t="s">
        <v>8828</v>
      </c>
      <c r="D2" s="148" t="s">
        <v>8829</v>
      </c>
      <c r="E2" s="148" t="s">
        <v>8830</v>
      </c>
      <c r="F2" s="148" t="s">
        <v>8831</v>
      </c>
      <c r="G2" s="148" t="s">
        <v>8832</v>
      </c>
      <c r="H2" s="148" t="s">
        <v>8833</v>
      </c>
      <c r="I2" s="148" t="s">
        <v>8834</v>
      </c>
      <c r="J2" s="148" t="s">
        <v>8835</v>
      </c>
      <c r="K2" s="159" t="s">
        <v>8844</v>
      </c>
      <c r="L2" s="161" t="s">
        <v>8845</v>
      </c>
      <c r="M2" s="161" t="s">
        <v>8846</v>
      </c>
      <c r="N2" s="161" t="s">
        <v>8847</v>
      </c>
      <c r="O2" s="161" t="s">
        <v>2502</v>
      </c>
    </row>
    <row r="3" spans="1:15" ht="166.5" x14ac:dyDescent="0.25">
      <c r="A3" s="150" t="s">
        <v>2057</v>
      </c>
      <c r="B3" s="150" t="s">
        <v>8843</v>
      </c>
      <c r="C3" s="148" t="s">
        <v>8836</v>
      </c>
      <c r="D3" s="148" t="s">
        <v>8837</v>
      </c>
      <c r="E3" s="148" t="s">
        <v>8830</v>
      </c>
      <c r="F3" s="148" t="s">
        <v>8831</v>
      </c>
      <c r="G3" s="148" t="s">
        <v>8838</v>
      </c>
      <c r="H3" s="148" t="s">
        <v>8839</v>
      </c>
      <c r="I3" s="148" t="s">
        <v>8840</v>
      </c>
      <c r="J3" s="148" t="s">
        <v>8841</v>
      </c>
      <c r="K3" s="160" t="s">
        <v>8843</v>
      </c>
      <c r="L3" s="161" t="s">
        <v>8845</v>
      </c>
      <c r="M3" s="161" t="s">
        <v>8846</v>
      </c>
      <c r="N3" s="161" t="s">
        <v>8847</v>
      </c>
      <c r="O3" s="161" t="s">
        <v>2502</v>
      </c>
    </row>
    <row r="4" spans="1:15" x14ac:dyDescent="0.25">
      <c r="A4" s="149" t="s">
        <v>181</v>
      </c>
      <c r="B4" s="149" t="s">
        <v>182</v>
      </c>
      <c r="C4" s="150"/>
      <c r="D4" s="150"/>
      <c r="E4" s="150"/>
      <c r="F4" s="150"/>
      <c r="G4" s="150"/>
      <c r="H4" s="150"/>
      <c r="I4" s="150"/>
      <c r="J4" s="150"/>
      <c r="K4" s="156"/>
      <c r="L4" s="156"/>
      <c r="M4" s="156"/>
      <c r="N4" s="156"/>
      <c r="O4" s="156"/>
    </row>
    <row r="5" spans="1:15" x14ac:dyDescent="0.25">
      <c r="A5" s="150" t="s">
        <v>183</v>
      </c>
      <c r="B5" s="150" t="s">
        <v>184</v>
      </c>
      <c r="C5" s="150"/>
      <c r="D5" s="150"/>
      <c r="E5" s="150"/>
      <c r="F5" s="150"/>
      <c r="G5" s="150"/>
      <c r="H5" s="150"/>
      <c r="I5" s="150"/>
      <c r="J5" s="150"/>
      <c r="K5" s="156"/>
      <c r="L5" s="156"/>
      <c r="M5" s="156"/>
      <c r="N5" s="156"/>
      <c r="O5" s="156"/>
    </row>
    <row r="6" spans="1:15" x14ac:dyDescent="0.25">
      <c r="A6" s="149" t="s">
        <v>185</v>
      </c>
      <c r="B6" s="149" t="s">
        <v>186</v>
      </c>
      <c r="C6" s="150"/>
      <c r="D6" s="150"/>
      <c r="E6" s="150"/>
      <c r="F6" s="150"/>
      <c r="G6" s="150"/>
      <c r="H6" s="150"/>
      <c r="I6" s="150"/>
      <c r="J6" s="150"/>
      <c r="K6" s="156"/>
      <c r="L6" s="156"/>
      <c r="M6" s="156"/>
      <c r="N6" s="156"/>
      <c r="O6" s="156"/>
    </row>
    <row r="7" spans="1:15" x14ac:dyDescent="0.25">
      <c r="A7" s="150" t="s">
        <v>187</v>
      </c>
      <c r="B7" s="150" t="s">
        <v>8129</v>
      </c>
      <c r="C7" s="150"/>
      <c r="D7" s="150"/>
      <c r="E7" s="150"/>
      <c r="F7" s="150"/>
      <c r="G7" s="150"/>
      <c r="H7" s="150"/>
      <c r="I7" s="150"/>
      <c r="J7" s="150"/>
      <c r="K7" s="156"/>
      <c r="L7" s="156"/>
      <c r="M7" s="156"/>
      <c r="N7" s="156"/>
      <c r="O7" s="156"/>
    </row>
    <row r="8" spans="1:15" x14ac:dyDescent="0.25">
      <c r="A8" s="149" t="s">
        <v>188</v>
      </c>
      <c r="B8" s="149" t="s">
        <v>189</v>
      </c>
      <c r="C8" s="150"/>
      <c r="D8" s="150"/>
      <c r="E8" s="150"/>
      <c r="F8" s="150"/>
      <c r="G8" s="150"/>
      <c r="H8" s="150"/>
      <c r="I8" s="150"/>
      <c r="J8" s="150"/>
      <c r="K8" s="156"/>
      <c r="L8" s="156"/>
      <c r="M8" s="156"/>
      <c r="N8" s="156"/>
      <c r="O8" s="156"/>
    </row>
    <row r="9" spans="1:15" x14ac:dyDescent="0.25">
      <c r="A9" s="150" t="s">
        <v>190</v>
      </c>
      <c r="B9" s="150" t="s">
        <v>8130</v>
      </c>
      <c r="C9" s="150"/>
      <c r="D9" s="150"/>
      <c r="E9" s="150"/>
      <c r="F9" s="150"/>
      <c r="G9" s="150"/>
      <c r="H9" s="150"/>
      <c r="I9" s="150"/>
      <c r="J9" s="150"/>
      <c r="K9" s="156"/>
      <c r="L9" s="156"/>
      <c r="M9" s="156"/>
      <c r="N9" s="156"/>
      <c r="O9" s="156"/>
    </row>
    <row r="10" spans="1:15" x14ac:dyDescent="0.25">
      <c r="A10" s="149" t="s">
        <v>191</v>
      </c>
      <c r="B10" s="149" t="s">
        <v>192</v>
      </c>
      <c r="C10" s="150"/>
      <c r="D10" s="150"/>
      <c r="E10" s="150"/>
      <c r="F10" s="150"/>
      <c r="G10" s="150"/>
      <c r="H10" s="150"/>
      <c r="I10" s="150"/>
      <c r="J10" s="150"/>
      <c r="K10" s="156"/>
      <c r="L10" s="156"/>
      <c r="M10" s="156"/>
      <c r="N10" s="156"/>
      <c r="O10" s="156"/>
    </row>
    <row r="11" spans="1:15" x14ac:dyDescent="0.25">
      <c r="A11" s="150" t="s">
        <v>193</v>
      </c>
      <c r="B11" s="150" t="s">
        <v>194</v>
      </c>
      <c r="C11" s="150"/>
      <c r="D11" s="150"/>
      <c r="E11" s="150"/>
      <c r="F11" s="150"/>
      <c r="G11" s="150"/>
      <c r="H11" s="150"/>
      <c r="I11" s="150"/>
      <c r="J11" s="150"/>
      <c r="K11" s="156"/>
      <c r="L11" s="156"/>
      <c r="M11" s="156"/>
      <c r="N11" s="156"/>
      <c r="O11" s="156"/>
    </row>
    <row r="12" spans="1:15" x14ac:dyDescent="0.25">
      <c r="A12" s="149" t="s">
        <v>195</v>
      </c>
      <c r="B12" s="149" t="s">
        <v>8131</v>
      </c>
      <c r="C12" s="150"/>
      <c r="D12" s="150"/>
      <c r="E12" s="150"/>
      <c r="F12" s="150"/>
      <c r="G12" s="150"/>
      <c r="H12" s="150"/>
      <c r="I12" s="150"/>
      <c r="J12" s="150"/>
      <c r="K12" s="156"/>
      <c r="L12" s="156"/>
      <c r="M12" s="156"/>
      <c r="N12" s="156"/>
      <c r="O12" s="156"/>
    </row>
    <row r="13" spans="1:15" x14ac:dyDescent="0.25">
      <c r="A13" s="150" t="s">
        <v>196</v>
      </c>
      <c r="B13" s="150" t="s">
        <v>197</v>
      </c>
      <c r="C13" s="150"/>
      <c r="D13" s="150"/>
      <c r="E13" s="150"/>
      <c r="F13" s="150"/>
      <c r="G13" s="150"/>
      <c r="H13" s="150"/>
      <c r="I13" s="150"/>
      <c r="J13" s="150"/>
      <c r="K13" s="156"/>
      <c r="L13" s="156"/>
      <c r="M13" s="156"/>
      <c r="N13" s="156"/>
      <c r="O13" s="156"/>
    </row>
    <row r="14" spans="1:15" x14ac:dyDescent="0.25">
      <c r="A14" s="149" t="s">
        <v>198</v>
      </c>
      <c r="B14" s="149" t="s">
        <v>199</v>
      </c>
      <c r="C14" s="150"/>
      <c r="D14" s="150"/>
      <c r="E14" s="150"/>
      <c r="F14" s="150"/>
      <c r="G14" s="150"/>
      <c r="H14" s="150"/>
      <c r="I14" s="150"/>
      <c r="J14" s="150"/>
      <c r="K14" s="156"/>
      <c r="L14" s="156"/>
      <c r="M14" s="156"/>
      <c r="N14" s="156"/>
      <c r="O14" s="156"/>
    </row>
    <row r="15" spans="1:15" x14ac:dyDescent="0.25">
      <c r="A15" s="150" t="s">
        <v>200</v>
      </c>
      <c r="B15" s="150" t="s">
        <v>201</v>
      </c>
      <c r="C15" s="150"/>
      <c r="D15" s="150"/>
      <c r="E15" s="150"/>
      <c r="F15" s="150"/>
      <c r="G15" s="150"/>
      <c r="H15" s="150"/>
      <c r="I15" s="150"/>
      <c r="J15" s="150"/>
      <c r="K15" s="156"/>
      <c r="L15" s="156"/>
      <c r="M15" s="156"/>
      <c r="N15" s="156"/>
      <c r="O15" s="156"/>
    </row>
    <row r="16" spans="1:15" x14ac:dyDescent="0.25">
      <c r="A16" s="149" t="s">
        <v>202</v>
      </c>
      <c r="B16" s="149" t="s">
        <v>203</v>
      </c>
      <c r="C16" s="150"/>
      <c r="D16" s="150"/>
      <c r="E16" s="150"/>
      <c r="F16" s="150"/>
      <c r="G16" s="150"/>
      <c r="H16" s="150"/>
      <c r="I16" s="150"/>
      <c r="J16" s="150"/>
      <c r="K16" s="156"/>
      <c r="L16" s="156"/>
      <c r="M16" s="156"/>
      <c r="N16" s="156"/>
      <c r="O16" s="156"/>
    </row>
    <row r="17" spans="1:15" x14ac:dyDescent="0.25">
      <c r="A17" s="150" t="s">
        <v>204</v>
      </c>
      <c r="B17" s="150" t="s">
        <v>205</v>
      </c>
      <c r="C17" s="150"/>
      <c r="D17" s="150"/>
      <c r="E17" s="150"/>
      <c r="F17" s="150"/>
      <c r="G17" s="150"/>
      <c r="H17" s="150"/>
      <c r="I17" s="150"/>
      <c r="J17" s="150"/>
      <c r="K17" s="156"/>
      <c r="L17" s="156"/>
      <c r="M17" s="156"/>
      <c r="N17" s="156"/>
      <c r="O17" s="156"/>
    </row>
    <row r="18" spans="1:15" x14ac:dyDescent="0.25">
      <c r="A18" s="149" t="s">
        <v>206</v>
      </c>
      <c r="B18" s="149" t="s">
        <v>207</v>
      </c>
      <c r="C18" s="150"/>
      <c r="D18" s="150"/>
      <c r="E18" s="150"/>
      <c r="F18" s="150"/>
      <c r="G18" s="150"/>
      <c r="H18" s="150"/>
      <c r="I18" s="150"/>
      <c r="J18" s="150"/>
      <c r="K18" s="156"/>
      <c r="L18" s="156"/>
      <c r="M18" s="156"/>
      <c r="N18" s="156"/>
      <c r="O18" s="156"/>
    </row>
    <row r="19" spans="1:15" x14ac:dyDescent="0.25">
      <c r="A19" s="150" t="s">
        <v>208</v>
      </c>
      <c r="B19" s="150" t="s">
        <v>8132</v>
      </c>
      <c r="C19" s="150"/>
      <c r="D19" s="150"/>
      <c r="E19" s="150"/>
      <c r="F19" s="150"/>
      <c r="G19" s="150"/>
      <c r="H19" s="150"/>
      <c r="I19" s="150"/>
      <c r="J19" s="150"/>
      <c r="K19" s="156"/>
      <c r="L19" s="156"/>
      <c r="M19" s="156"/>
      <c r="N19" s="156"/>
      <c r="O19" s="156"/>
    </row>
    <row r="20" spans="1:15" x14ac:dyDescent="0.25">
      <c r="A20" s="149" t="s">
        <v>209</v>
      </c>
      <c r="B20" s="149" t="s">
        <v>8133</v>
      </c>
      <c r="C20" s="150"/>
      <c r="D20" s="150"/>
      <c r="E20" s="150"/>
      <c r="F20" s="150"/>
      <c r="G20" s="150"/>
      <c r="H20" s="150"/>
      <c r="I20" s="150"/>
      <c r="J20" s="150"/>
      <c r="K20" s="156"/>
      <c r="L20" s="156"/>
      <c r="M20" s="156"/>
      <c r="N20" s="156"/>
      <c r="O20" s="156"/>
    </row>
    <row r="21" spans="1:15" x14ac:dyDescent="0.25">
      <c r="A21" s="150" t="s">
        <v>210</v>
      </c>
      <c r="B21" s="150" t="s">
        <v>211</v>
      </c>
      <c r="C21" s="150"/>
      <c r="D21" s="150"/>
      <c r="E21" s="150"/>
      <c r="F21" s="150"/>
      <c r="G21" s="150"/>
      <c r="H21" s="150"/>
      <c r="I21" s="150"/>
      <c r="J21" s="150"/>
      <c r="K21" s="156"/>
      <c r="L21" s="156"/>
      <c r="M21" s="156"/>
      <c r="N21" s="156"/>
      <c r="O21" s="156"/>
    </row>
    <row r="22" spans="1:15" x14ac:dyDescent="0.25">
      <c r="A22" s="149" t="s">
        <v>212</v>
      </c>
      <c r="B22" s="149" t="s">
        <v>213</v>
      </c>
      <c r="C22" s="150"/>
      <c r="D22" s="150"/>
      <c r="E22" s="150"/>
      <c r="F22" s="150"/>
      <c r="G22" s="150"/>
      <c r="H22" s="150"/>
      <c r="I22" s="150"/>
      <c r="J22" s="150"/>
      <c r="K22" s="156"/>
      <c r="L22" s="156"/>
      <c r="M22" s="156"/>
      <c r="N22" s="156"/>
      <c r="O22" s="156"/>
    </row>
    <row r="23" spans="1:15" x14ac:dyDescent="0.25">
      <c r="A23" s="150" t="s">
        <v>214</v>
      </c>
      <c r="B23" s="150" t="s">
        <v>215</v>
      </c>
      <c r="C23" s="150"/>
      <c r="D23" s="150"/>
      <c r="E23" s="150"/>
      <c r="F23" s="150"/>
      <c r="G23" s="150"/>
      <c r="H23" s="150"/>
      <c r="I23" s="150"/>
      <c r="J23" s="150"/>
      <c r="K23" s="156"/>
      <c r="L23" s="156"/>
      <c r="M23" s="156"/>
      <c r="N23" s="156"/>
      <c r="O23" s="156"/>
    </row>
    <row r="24" spans="1:15" x14ac:dyDescent="0.25">
      <c r="A24" s="149" t="s">
        <v>216</v>
      </c>
      <c r="B24" s="149" t="s">
        <v>217</v>
      </c>
      <c r="C24" s="150"/>
      <c r="D24" s="150"/>
      <c r="E24" s="150"/>
      <c r="F24" s="150"/>
      <c r="G24" s="150"/>
      <c r="H24" s="150"/>
      <c r="I24" s="150"/>
      <c r="J24" s="150"/>
      <c r="K24" s="156"/>
      <c r="L24" s="156"/>
      <c r="M24" s="156"/>
      <c r="N24" s="156"/>
      <c r="O24" s="156"/>
    </row>
    <row r="25" spans="1:15" x14ac:dyDescent="0.25">
      <c r="A25" s="150" t="s">
        <v>218</v>
      </c>
      <c r="B25" s="150" t="s">
        <v>219</v>
      </c>
      <c r="C25" s="150"/>
      <c r="D25" s="150"/>
      <c r="E25" s="150"/>
      <c r="F25" s="150"/>
      <c r="G25" s="150"/>
      <c r="H25" s="150"/>
      <c r="I25" s="150"/>
      <c r="J25" s="150"/>
      <c r="K25" s="156"/>
      <c r="L25" s="156"/>
      <c r="M25" s="156"/>
      <c r="N25" s="156"/>
      <c r="O25" s="156"/>
    </row>
    <row r="26" spans="1:15" x14ac:dyDescent="0.25">
      <c r="A26" s="149" t="s">
        <v>220</v>
      </c>
      <c r="B26" s="149" t="s">
        <v>221</v>
      </c>
      <c r="C26" s="150"/>
      <c r="D26" s="150"/>
      <c r="E26" s="150"/>
      <c r="F26" s="150"/>
      <c r="G26" s="150"/>
      <c r="H26" s="150"/>
      <c r="I26" s="150"/>
      <c r="J26" s="150"/>
      <c r="K26" s="156"/>
      <c r="L26" s="156"/>
      <c r="M26" s="156"/>
      <c r="N26" s="156"/>
      <c r="O26" s="156"/>
    </row>
    <row r="27" spans="1:15" x14ac:dyDescent="0.25">
      <c r="A27" s="150" t="s">
        <v>222</v>
      </c>
      <c r="B27" s="150" t="s">
        <v>223</v>
      </c>
      <c r="C27" s="150"/>
      <c r="D27" s="150"/>
      <c r="E27" s="150"/>
      <c r="F27" s="150"/>
      <c r="G27" s="150"/>
      <c r="H27" s="150"/>
      <c r="I27" s="150"/>
      <c r="J27" s="150"/>
      <c r="K27" s="156"/>
      <c r="L27" s="156"/>
      <c r="M27" s="156"/>
      <c r="N27" s="156"/>
      <c r="O27" s="156"/>
    </row>
    <row r="28" spans="1:15" x14ac:dyDescent="0.25">
      <c r="A28" s="149" t="s">
        <v>224</v>
      </c>
      <c r="B28" s="149" t="s">
        <v>225</v>
      </c>
      <c r="C28" s="150"/>
      <c r="D28" s="150"/>
      <c r="E28" s="150"/>
      <c r="F28" s="150"/>
      <c r="G28" s="150"/>
      <c r="H28" s="150"/>
      <c r="I28" s="150"/>
      <c r="J28" s="150"/>
      <c r="K28" s="156"/>
      <c r="L28" s="156"/>
      <c r="M28" s="156"/>
      <c r="N28" s="156"/>
      <c r="O28" s="156"/>
    </row>
    <row r="29" spans="1:15" x14ac:dyDescent="0.25">
      <c r="A29" s="150" t="s">
        <v>226</v>
      </c>
      <c r="B29" s="150" t="s">
        <v>227</v>
      </c>
      <c r="C29" s="150"/>
      <c r="D29" s="150"/>
      <c r="E29" s="150"/>
      <c r="F29" s="150"/>
      <c r="G29" s="150"/>
      <c r="H29" s="150"/>
      <c r="I29" s="150"/>
      <c r="J29" s="150"/>
      <c r="K29" s="156"/>
      <c r="L29" s="156"/>
      <c r="M29" s="156"/>
      <c r="N29" s="156"/>
      <c r="O29" s="156"/>
    </row>
    <row r="30" spans="1:15" x14ac:dyDescent="0.25">
      <c r="A30" s="149" t="s">
        <v>228</v>
      </c>
      <c r="B30" s="149" t="s">
        <v>8134</v>
      </c>
      <c r="C30" s="150"/>
      <c r="D30" s="150"/>
      <c r="E30" s="150"/>
      <c r="F30" s="150"/>
      <c r="G30" s="150"/>
      <c r="H30" s="150"/>
      <c r="I30" s="150"/>
      <c r="J30" s="150"/>
      <c r="K30" s="156"/>
      <c r="L30" s="156"/>
      <c r="M30" s="156"/>
      <c r="N30" s="156"/>
      <c r="O30" s="156"/>
    </row>
    <row r="31" spans="1:15" x14ac:dyDescent="0.25">
      <c r="A31" s="150" t="s">
        <v>229</v>
      </c>
      <c r="B31" s="150" t="s">
        <v>230</v>
      </c>
      <c r="C31" s="150"/>
      <c r="D31" s="150"/>
      <c r="E31" s="150"/>
      <c r="F31" s="150"/>
      <c r="G31" s="150"/>
      <c r="H31" s="150"/>
      <c r="I31" s="150"/>
      <c r="J31" s="150"/>
      <c r="K31" s="156"/>
      <c r="L31" s="156"/>
      <c r="M31" s="156"/>
      <c r="N31" s="156"/>
      <c r="O31" s="156"/>
    </row>
    <row r="32" spans="1:15" x14ac:dyDescent="0.25">
      <c r="A32" s="149" t="s">
        <v>231</v>
      </c>
      <c r="B32" s="149" t="s">
        <v>232</v>
      </c>
      <c r="C32" s="150"/>
      <c r="D32" s="150"/>
      <c r="E32" s="150"/>
      <c r="F32" s="150"/>
      <c r="G32" s="150"/>
      <c r="H32" s="150"/>
      <c r="I32" s="150"/>
      <c r="J32" s="150"/>
      <c r="K32" s="156"/>
      <c r="L32" s="156"/>
      <c r="M32" s="156"/>
      <c r="N32" s="156"/>
      <c r="O32" s="156"/>
    </row>
    <row r="33" spans="1:15" x14ac:dyDescent="0.25">
      <c r="A33" s="150" t="s">
        <v>233</v>
      </c>
      <c r="B33" s="150" t="s">
        <v>234</v>
      </c>
      <c r="C33" s="150"/>
      <c r="D33" s="150"/>
      <c r="E33" s="150"/>
      <c r="F33" s="150"/>
      <c r="G33" s="150"/>
      <c r="H33" s="150"/>
      <c r="I33" s="150"/>
      <c r="J33" s="150"/>
      <c r="K33" s="156"/>
      <c r="L33" s="156"/>
      <c r="M33" s="156"/>
      <c r="N33" s="156"/>
      <c r="O33" s="156"/>
    </row>
    <row r="34" spans="1:15" x14ac:dyDescent="0.25">
      <c r="A34" s="149" t="s">
        <v>235</v>
      </c>
      <c r="B34" s="149" t="s">
        <v>236</v>
      </c>
      <c r="C34" s="150"/>
      <c r="D34" s="150"/>
      <c r="E34" s="150"/>
      <c r="F34" s="150"/>
      <c r="G34" s="150"/>
      <c r="H34" s="150"/>
      <c r="I34" s="150"/>
      <c r="J34" s="150"/>
      <c r="K34" s="156"/>
      <c r="L34" s="156"/>
      <c r="M34" s="156"/>
      <c r="N34" s="156"/>
      <c r="O34" s="156"/>
    </row>
    <row r="35" spans="1:15" x14ac:dyDescent="0.25">
      <c r="A35" s="150" t="s">
        <v>237</v>
      </c>
      <c r="B35" s="150" t="s">
        <v>8135</v>
      </c>
      <c r="C35" s="150"/>
      <c r="D35" s="150"/>
      <c r="E35" s="150"/>
      <c r="F35" s="150"/>
      <c r="G35" s="150"/>
      <c r="H35" s="150"/>
      <c r="I35" s="150"/>
      <c r="J35" s="150"/>
      <c r="K35" s="156"/>
      <c r="L35" s="156"/>
      <c r="M35" s="156"/>
      <c r="N35" s="156"/>
      <c r="O35" s="156"/>
    </row>
    <row r="36" spans="1:15" x14ac:dyDescent="0.25">
      <c r="A36" s="149" t="s">
        <v>5214</v>
      </c>
      <c r="B36" s="149" t="s">
        <v>8136</v>
      </c>
      <c r="C36" s="150"/>
      <c r="D36" s="150"/>
      <c r="E36" s="150"/>
      <c r="F36" s="150"/>
      <c r="G36" s="150"/>
      <c r="H36" s="150"/>
      <c r="I36" s="150"/>
      <c r="J36" s="150"/>
      <c r="K36" s="156"/>
      <c r="L36" s="156"/>
      <c r="M36" s="156"/>
      <c r="N36" s="156"/>
      <c r="O36" s="156"/>
    </row>
    <row r="37" spans="1:15" x14ac:dyDescent="0.25">
      <c r="A37" s="150" t="s">
        <v>5216</v>
      </c>
      <c r="B37" s="150" t="s">
        <v>8137</v>
      </c>
      <c r="C37" s="150"/>
      <c r="D37" s="150"/>
      <c r="E37" s="150"/>
      <c r="F37" s="150"/>
      <c r="G37" s="150"/>
      <c r="H37" s="150"/>
      <c r="I37" s="150"/>
      <c r="J37" s="150"/>
      <c r="K37" s="156"/>
      <c r="L37" s="156"/>
      <c r="M37" s="156"/>
      <c r="N37" s="156"/>
      <c r="O37" s="156"/>
    </row>
    <row r="38" spans="1:15" x14ac:dyDescent="0.25">
      <c r="A38" s="149" t="s">
        <v>8138</v>
      </c>
      <c r="B38" s="149" t="s">
        <v>8139</v>
      </c>
      <c r="C38" s="150"/>
      <c r="D38" s="150"/>
      <c r="E38" s="150"/>
      <c r="F38" s="150"/>
      <c r="G38" s="150"/>
      <c r="H38" s="150"/>
      <c r="I38" s="150"/>
      <c r="J38" s="150"/>
      <c r="K38" s="156"/>
      <c r="L38" s="156"/>
      <c r="M38" s="156"/>
      <c r="N38" s="156"/>
      <c r="O38" s="156"/>
    </row>
    <row r="39" spans="1:15" x14ac:dyDescent="0.25">
      <c r="A39" s="150" t="s">
        <v>238</v>
      </c>
      <c r="B39" s="150" t="s">
        <v>239</v>
      </c>
      <c r="C39" s="150"/>
      <c r="D39" s="150"/>
      <c r="E39" s="150"/>
      <c r="F39" s="150"/>
      <c r="G39" s="150"/>
      <c r="H39" s="150"/>
      <c r="I39" s="150"/>
      <c r="J39" s="150"/>
      <c r="K39" s="156"/>
      <c r="L39" s="156"/>
      <c r="M39" s="156"/>
      <c r="N39" s="156"/>
      <c r="O39" s="156"/>
    </row>
    <row r="40" spans="1:15" x14ac:dyDescent="0.25">
      <c r="A40" s="149" t="s">
        <v>240</v>
      </c>
      <c r="B40" s="149" t="s">
        <v>241</v>
      </c>
      <c r="C40" s="150"/>
      <c r="D40" s="150"/>
      <c r="E40" s="150"/>
      <c r="F40" s="150"/>
      <c r="G40" s="150"/>
      <c r="H40" s="150"/>
      <c r="I40" s="150"/>
      <c r="J40" s="150"/>
      <c r="K40" s="156"/>
      <c r="L40" s="156"/>
      <c r="M40" s="156"/>
      <c r="N40" s="156"/>
      <c r="O40" s="156"/>
    </row>
    <row r="41" spans="1:15" x14ac:dyDescent="0.25">
      <c r="A41" s="150" t="s">
        <v>242</v>
      </c>
      <c r="B41" s="150" t="s">
        <v>8140</v>
      </c>
      <c r="C41" s="150"/>
      <c r="D41" s="150"/>
      <c r="E41" s="150"/>
      <c r="F41" s="150"/>
      <c r="G41" s="150"/>
      <c r="H41" s="150"/>
      <c r="I41" s="150"/>
      <c r="J41" s="150"/>
      <c r="K41" s="156"/>
      <c r="L41" s="156"/>
      <c r="M41" s="156"/>
      <c r="N41" s="156"/>
      <c r="O41" s="156"/>
    </row>
    <row r="42" spans="1:15" x14ac:dyDescent="0.25">
      <c r="A42" s="149" t="s">
        <v>243</v>
      </c>
      <c r="B42" s="149" t="s">
        <v>8141</v>
      </c>
      <c r="C42" s="150"/>
      <c r="D42" s="150"/>
      <c r="E42" s="150"/>
      <c r="F42" s="150"/>
      <c r="G42" s="150"/>
      <c r="H42" s="150"/>
      <c r="I42" s="150"/>
      <c r="J42" s="150"/>
      <c r="K42" s="156"/>
      <c r="L42" s="156"/>
      <c r="M42" s="156"/>
      <c r="N42" s="156"/>
      <c r="O42" s="156"/>
    </row>
    <row r="43" spans="1:15" x14ac:dyDescent="0.25">
      <c r="A43" s="150" t="s">
        <v>244</v>
      </c>
      <c r="B43" s="150" t="s">
        <v>245</v>
      </c>
      <c r="C43" s="150"/>
      <c r="D43" s="150"/>
      <c r="E43" s="150"/>
      <c r="F43" s="150"/>
      <c r="G43" s="150"/>
      <c r="H43" s="150"/>
      <c r="I43" s="150"/>
      <c r="J43" s="150"/>
      <c r="K43" s="156"/>
      <c r="L43" s="156"/>
      <c r="M43" s="156"/>
      <c r="N43" s="156"/>
      <c r="O43" s="156"/>
    </row>
    <row r="44" spans="1:15" x14ac:dyDescent="0.25">
      <c r="A44" s="149" t="s">
        <v>246</v>
      </c>
      <c r="B44" s="149" t="s">
        <v>247</v>
      </c>
      <c r="C44" s="150"/>
      <c r="D44" s="150"/>
      <c r="E44" s="150"/>
      <c r="F44" s="150"/>
      <c r="G44" s="150"/>
      <c r="H44" s="150"/>
      <c r="I44" s="150"/>
      <c r="J44" s="150"/>
      <c r="K44" s="156"/>
      <c r="L44" s="156"/>
      <c r="M44" s="156"/>
      <c r="N44" s="156"/>
      <c r="O44" s="156"/>
    </row>
    <row r="45" spans="1:15" x14ac:dyDescent="0.25">
      <c r="A45" s="150" t="s">
        <v>248</v>
      </c>
      <c r="B45" s="150" t="s">
        <v>249</v>
      </c>
      <c r="C45" s="150"/>
      <c r="D45" s="150"/>
      <c r="E45" s="150"/>
      <c r="F45" s="150"/>
      <c r="G45" s="150"/>
      <c r="H45" s="150"/>
      <c r="I45" s="150"/>
      <c r="J45" s="150"/>
      <c r="K45" s="156"/>
      <c r="L45" s="156"/>
      <c r="M45" s="156"/>
      <c r="N45" s="156"/>
      <c r="O45" s="156"/>
    </row>
    <row r="46" spans="1:15" x14ac:dyDescent="0.25">
      <c r="A46" s="149" t="s">
        <v>5225</v>
      </c>
      <c r="B46" s="149" t="s">
        <v>8142</v>
      </c>
      <c r="C46" s="150"/>
      <c r="D46" s="150"/>
      <c r="E46" s="150"/>
      <c r="F46" s="150"/>
      <c r="G46" s="150"/>
      <c r="H46" s="150"/>
      <c r="I46" s="150"/>
      <c r="J46" s="150"/>
      <c r="K46" s="156"/>
      <c r="L46" s="156"/>
      <c r="M46" s="156"/>
      <c r="N46" s="156"/>
      <c r="O46" s="156"/>
    </row>
    <row r="47" spans="1:15" x14ac:dyDescent="0.25">
      <c r="A47" s="150" t="s">
        <v>250</v>
      </c>
      <c r="B47" s="150" t="s">
        <v>251</v>
      </c>
      <c r="C47" s="150"/>
      <c r="D47" s="150"/>
      <c r="E47" s="150"/>
      <c r="F47" s="150"/>
      <c r="G47" s="150"/>
      <c r="H47" s="150"/>
      <c r="I47" s="150"/>
      <c r="J47" s="150"/>
      <c r="K47" s="156"/>
      <c r="L47" s="156"/>
      <c r="M47" s="156"/>
      <c r="N47" s="156"/>
      <c r="O47" s="156"/>
    </row>
    <row r="48" spans="1:15" x14ac:dyDescent="0.25">
      <c r="A48" s="149" t="s">
        <v>252</v>
      </c>
      <c r="B48" s="149" t="s">
        <v>253</v>
      </c>
      <c r="C48" s="150"/>
      <c r="D48" s="150"/>
      <c r="E48" s="150"/>
      <c r="F48" s="150"/>
      <c r="G48" s="150"/>
      <c r="H48" s="150"/>
      <c r="I48" s="150"/>
      <c r="J48" s="150"/>
      <c r="K48" s="156"/>
      <c r="L48" s="156"/>
      <c r="M48" s="156"/>
      <c r="N48" s="156"/>
      <c r="O48" s="156"/>
    </row>
    <row r="49" spans="1:15" x14ac:dyDescent="0.25">
      <c r="A49" s="150" t="s">
        <v>254</v>
      </c>
      <c r="B49" s="150" t="s">
        <v>255</v>
      </c>
      <c r="C49" s="150"/>
      <c r="D49" s="150"/>
      <c r="E49" s="150"/>
      <c r="F49" s="150"/>
      <c r="G49" s="150"/>
      <c r="H49" s="150"/>
      <c r="I49" s="150"/>
      <c r="J49" s="150"/>
      <c r="K49" s="156"/>
      <c r="L49" s="156"/>
      <c r="M49" s="156"/>
      <c r="N49" s="156"/>
      <c r="O49" s="156"/>
    </row>
    <row r="50" spans="1:15" x14ac:dyDescent="0.25">
      <c r="A50" s="149" t="s">
        <v>256</v>
      </c>
      <c r="B50" s="149" t="s">
        <v>257</v>
      </c>
      <c r="C50" s="150"/>
      <c r="D50" s="150"/>
      <c r="E50" s="150"/>
      <c r="F50" s="150"/>
      <c r="G50" s="150"/>
      <c r="H50" s="150"/>
      <c r="I50" s="150"/>
      <c r="J50" s="150"/>
      <c r="K50" s="156"/>
      <c r="L50" s="156"/>
      <c r="M50" s="156"/>
      <c r="N50" s="156"/>
      <c r="O50" s="156"/>
    </row>
    <row r="51" spans="1:15" x14ac:dyDescent="0.25">
      <c r="A51" s="150" t="s">
        <v>5231</v>
      </c>
      <c r="B51" s="150" t="s">
        <v>8143</v>
      </c>
      <c r="C51" s="150"/>
      <c r="D51" s="150"/>
      <c r="E51" s="150"/>
      <c r="F51" s="150"/>
      <c r="G51" s="150"/>
      <c r="H51" s="150"/>
      <c r="I51" s="150"/>
      <c r="J51" s="150"/>
      <c r="K51" s="156"/>
      <c r="L51" s="156"/>
      <c r="M51" s="156"/>
      <c r="N51" s="156"/>
      <c r="O51" s="156"/>
    </row>
    <row r="52" spans="1:15" x14ac:dyDescent="0.25">
      <c r="A52" s="149" t="s">
        <v>258</v>
      </c>
      <c r="B52" s="149" t="s">
        <v>259</v>
      </c>
      <c r="C52" s="150"/>
      <c r="D52" s="150"/>
      <c r="E52" s="150"/>
      <c r="F52" s="150"/>
      <c r="G52" s="150"/>
      <c r="H52" s="150"/>
      <c r="I52" s="150"/>
      <c r="J52" s="150"/>
      <c r="K52" s="156"/>
      <c r="L52" s="156"/>
      <c r="M52" s="156"/>
      <c r="N52" s="156"/>
      <c r="O52" s="156"/>
    </row>
    <row r="53" spans="1:15" x14ac:dyDescent="0.25">
      <c r="A53" s="150" t="s">
        <v>260</v>
      </c>
      <c r="B53" s="150" t="s">
        <v>261</v>
      </c>
      <c r="C53" s="150"/>
      <c r="D53" s="150"/>
      <c r="E53" s="150"/>
      <c r="F53" s="150"/>
      <c r="G53" s="150"/>
      <c r="H53" s="150"/>
      <c r="I53" s="150"/>
      <c r="J53" s="150"/>
      <c r="K53" s="156"/>
      <c r="L53" s="156"/>
      <c r="M53" s="156"/>
      <c r="N53" s="156"/>
      <c r="O53" s="156"/>
    </row>
    <row r="54" spans="1:15" x14ac:dyDescent="0.25">
      <c r="A54" s="149" t="s">
        <v>262</v>
      </c>
      <c r="B54" s="149" t="s">
        <v>263</v>
      </c>
      <c r="C54" s="150"/>
      <c r="D54" s="150"/>
      <c r="E54" s="150"/>
      <c r="F54" s="150"/>
      <c r="G54" s="150"/>
      <c r="H54" s="150"/>
      <c r="I54" s="150"/>
      <c r="J54" s="150"/>
      <c r="K54" s="156"/>
      <c r="L54" s="156"/>
      <c r="M54" s="156"/>
      <c r="N54" s="156"/>
      <c r="O54" s="156"/>
    </row>
    <row r="55" spans="1:15" x14ac:dyDescent="0.25">
      <c r="A55" s="150" t="s">
        <v>264</v>
      </c>
      <c r="B55" s="150" t="s">
        <v>265</v>
      </c>
      <c r="C55" s="150"/>
      <c r="D55" s="150"/>
      <c r="E55" s="150"/>
      <c r="F55" s="150"/>
      <c r="G55" s="150"/>
      <c r="H55" s="150"/>
      <c r="I55" s="150"/>
      <c r="J55" s="150"/>
      <c r="K55" s="156"/>
      <c r="L55" s="156"/>
      <c r="M55" s="156"/>
      <c r="N55" s="156"/>
      <c r="O55" s="156"/>
    </row>
    <row r="56" spans="1:15" x14ac:dyDescent="0.25">
      <c r="A56" s="149" t="s">
        <v>266</v>
      </c>
      <c r="B56" s="149" t="s">
        <v>267</v>
      </c>
      <c r="C56" s="150"/>
      <c r="D56" s="150"/>
      <c r="E56" s="150"/>
      <c r="F56" s="150"/>
      <c r="G56" s="150"/>
      <c r="H56" s="150"/>
      <c r="I56" s="150"/>
      <c r="J56" s="150"/>
      <c r="K56" s="156"/>
      <c r="L56" s="156"/>
      <c r="M56" s="156"/>
      <c r="N56" s="156"/>
      <c r="O56" s="156"/>
    </row>
    <row r="57" spans="1:15" x14ac:dyDescent="0.25">
      <c r="A57" s="150" t="s">
        <v>268</v>
      </c>
      <c r="B57" s="150" t="s">
        <v>269</v>
      </c>
      <c r="C57" s="150"/>
      <c r="D57" s="150"/>
      <c r="E57" s="150"/>
      <c r="F57" s="150"/>
      <c r="G57" s="150"/>
      <c r="H57" s="150"/>
      <c r="I57" s="150"/>
      <c r="J57" s="150"/>
      <c r="K57" s="156"/>
      <c r="L57" s="156"/>
      <c r="M57" s="156"/>
      <c r="N57" s="156"/>
      <c r="O57" s="156"/>
    </row>
    <row r="58" spans="1:15" x14ac:dyDescent="0.25">
      <c r="A58" s="149" t="s">
        <v>270</v>
      </c>
      <c r="B58" s="149" t="s">
        <v>271</v>
      </c>
      <c r="C58" s="150"/>
      <c r="D58" s="150"/>
      <c r="E58" s="150"/>
      <c r="F58" s="150"/>
      <c r="G58" s="150"/>
      <c r="H58" s="150"/>
      <c r="I58" s="150"/>
      <c r="J58" s="150"/>
      <c r="K58" s="156"/>
      <c r="L58" s="156"/>
      <c r="M58" s="156"/>
      <c r="N58" s="156"/>
      <c r="O58" s="156"/>
    </row>
    <row r="59" spans="1:15" x14ac:dyDescent="0.25">
      <c r="A59" s="150" t="s">
        <v>272</v>
      </c>
      <c r="B59" s="150" t="s">
        <v>273</v>
      </c>
      <c r="C59" s="150"/>
      <c r="D59" s="150"/>
      <c r="E59" s="150"/>
      <c r="F59" s="150"/>
      <c r="G59" s="150"/>
      <c r="H59" s="150"/>
      <c r="I59" s="150"/>
      <c r="J59" s="150"/>
      <c r="K59" s="156"/>
      <c r="L59" s="156"/>
      <c r="M59" s="156"/>
      <c r="N59" s="156"/>
      <c r="O59" s="156"/>
    </row>
    <row r="60" spans="1:15" x14ac:dyDescent="0.25">
      <c r="A60" s="149" t="s">
        <v>5239</v>
      </c>
      <c r="B60" s="149" t="s">
        <v>8144</v>
      </c>
      <c r="C60" s="150"/>
      <c r="D60" s="150"/>
      <c r="E60" s="150"/>
      <c r="F60" s="150"/>
      <c r="G60" s="150"/>
      <c r="H60" s="150"/>
      <c r="I60" s="150"/>
      <c r="J60" s="150"/>
      <c r="K60" s="156"/>
      <c r="L60" s="156"/>
      <c r="M60" s="156"/>
      <c r="N60" s="156"/>
      <c r="O60" s="156"/>
    </row>
    <row r="61" spans="1:15" x14ac:dyDescent="0.25">
      <c r="A61" s="150" t="s">
        <v>5241</v>
      </c>
      <c r="B61" s="150" t="s">
        <v>8145</v>
      </c>
      <c r="C61" s="150"/>
      <c r="D61" s="150"/>
      <c r="E61" s="150"/>
      <c r="F61" s="150"/>
      <c r="G61" s="150"/>
      <c r="H61" s="150"/>
      <c r="I61" s="150"/>
      <c r="J61" s="150"/>
      <c r="K61" s="156"/>
      <c r="L61" s="156"/>
      <c r="M61" s="156"/>
      <c r="N61" s="156"/>
      <c r="O61" s="156"/>
    </row>
    <row r="62" spans="1:15" x14ac:dyDescent="0.25">
      <c r="A62" s="149" t="s">
        <v>274</v>
      </c>
      <c r="B62" s="149" t="s">
        <v>275</v>
      </c>
      <c r="C62" s="150"/>
      <c r="D62" s="150"/>
      <c r="E62" s="150"/>
      <c r="F62" s="150"/>
      <c r="G62" s="150"/>
      <c r="H62" s="150"/>
      <c r="I62" s="150"/>
      <c r="J62" s="150"/>
      <c r="K62" s="156"/>
      <c r="L62" s="156"/>
      <c r="M62" s="156"/>
      <c r="N62" s="156"/>
      <c r="O62" s="156"/>
    </row>
    <row r="63" spans="1:15" x14ac:dyDescent="0.25">
      <c r="A63" s="150" t="s">
        <v>276</v>
      </c>
      <c r="B63" s="150" t="s">
        <v>277</v>
      </c>
      <c r="C63" s="150"/>
      <c r="D63" s="150"/>
      <c r="E63" s="150"/>
      <c r="F63" s="150"/>
      <c r="G63" s="150"/>
      <c r="H63" s="150"/>
      <c r="I63" s="150"/>
      <c r="J63" s="150"/>
      <c r="K63" s="156"/>
      <c r="L63" s="156"/>
      <c r="M63" s="156"/>
      <c r="N63" s="156"/>
      <c r="O63" s="156"/>
    </row>
    <row r="64" spans="1:15" x14ac:dyDescent="0.25">
      <c r="A64" s="149" t="s">
        <v>278</v>
      </c>
      <c r="B64" s="149" t="s">
        <v>279</v>
      </c>
      <c r="C64" s="150"/>
      <c r="D64" s="150"/>
      <c r="E64" s="150"/>
      <c r="F64" s="150"/>
      <c r="G64" s="150"/>
      <c r="H64" s="150"/>
      <c r="I64" s="150"/>
      <c r="J64" s="150"/>
      <c r="K64" s="156"/>
      <c r="L64" s="156"/>
      <c r="M64" s="156"/>
      <c r="N64" s="156"/>
      <c r="O64" s="156"/>
    </row>
    <row r="65" spans="1:15" x14ac:dyDescent="0.25">
      <c r="A65" s="150" t="s">
        <v>280</v>
      </c>
      <c r="B65" s="150" t="s">
        <v>281</v>
      </c>
      <c r="C65" s="150"/>
      <c r="D65" s="150"/>
      <c r="E65" s="150"/>
      <c r="F65" s="150"/>
      <c r="G65" s="150"/>
      <c r="H65" s="150"/>
      <c r="I65" s="150"/>
      <c r="J65" s="150"/>
      <c r="K65" s="156"/>
      <c r="L65" s="156"/>
      <c r="M65" s="156"/>
      <c r="N65" s="156"/>
      <c r="O65" s="156"/>
    </row>
    <row r="66" spans="1:15" x14ac:dyDescent="0.25">
      <c r="A66" s="149" t="s">
        <v>5248</v>
      </c>
      <c r="B66" s="149" t="s">
        <v>8146</v>
      </c>
      <c r="C66" s="150"/>
      <c r="D66" s="150"/>
      <c r="E66" s="150"/>
      <c r="F66" s="150"/>
      <c r="G66" s="150"/>
      <c r="H66" s="150"/>
      <c r="I66" s="150"/>
      <c r="J66" s="150"/>
      <c r="K66" s="156"/>
      <c r="L66" s="156"/>
      <c r="M66" s="156"/>
      <c r="N66" s="156"/>
      <c r="O66" s="156"/>
    </row>
    <row r="67" spans="1:15" x14ac:dyDescent="0.25">
      <c r="A67" s="150" t="s">
        <v>282</v>
      </c>
      <c r="B67" s="150" t="s">
        <v>283</v>
      </c>
      <c r="C67" s="150"/>
      <c r="D67" s="150"/>
      <c r="E67" s="150"/>
      <c r="F67" s="150"/>
      <c r="G67" s="150"/>
      <c r="H67" s="150"/>
      <c r="I67" s="150"/>
      <c r="J67" s="150"/>
      <c r="K67" s="156"/>
      <c r="L67" s="156"/>
      <c r="M67" s="156"/>
      <c r="N67" s="156"/>
      <c r="O67" s="156"/>
    </row>
    <row r="68" spans="1:15" x14ac:dyDescent="0.25">
      <c r="A68" s="149" t="s">
        <v>284</v>
      </c>
      <c r="B68" s="149" t="s">
        <v>285</v>
      </c>
      <c r="C68" s="150"/>
      <c r="D68" s="150"/>
      <c r="E68" s="150"/>
      <c r="F68" s="150"/>
      <c r="G68" s="150"/>
      <c r="H68" s="150"/>
      <c r="I68" s="150"/>
      <c r="J68" s="150"/>
      <c r="K68" s="156"/>
      <c r="L68" s="156"/>
      <c r="M68" s="156"/>
      <c r="N68" s="156"/>
      <c r="O68" s="156"/>
    </row>
    <row r="69" spans="1:15" x14ac:dyDescent="0.25">
      <c r="A69" s="150" t="s">
        <v>286</v>
      </c>
      <c r="B69" s="150" t="s">
        <v>287</v>
      </c>
      <c r="C69" s="150"/>
      <c r="D69" s="150"/>
      <c r="E69" s="150"/>
      <c r="F69" s="150"/>
      <c r="G69" s="150"/>
      <c r="H69" s="150"/>
      <c r="I69" s="150"/>
      <c r="J69" s="150"/>
      <c r="K69" s="156"/>
      <c r="L69" s="156"/>
      <c r="M69" s="156"/>
      <c r="N69" s="156"/>
      <c r="O69" s="156"/>
    </row>
    <row r="70" spans="1:15" x14ac:dyDescent="0.25">
      <c r="A70" s="149" t="s">
        <v>288</v>
      </c>
      <c r="B70" s="149" t="s">
        <v>289</v>
      </c>
      <c r="C70" s="150"/>
      <c r="D70" s="150"/>
      <c r="E70" s="150"/>
      <c r="F70" s="150"/>
      <c r="G70" s="150"/>
      <c r="H70" s="150"/>
      <c r="I70" s="150"/>
      <c r="J70" s="150"/>
      <c r="K70" s="156"/>
      <c r="L70" s="156"/>
      <c r="M70" s="156"/>
      <c r="N70" s="156"/>
      <c r="O70" s="156"/>
    </row>
    <row r="71" spans="1:15" x14ac:dyDescent="0.25">
      <c r="A71" s="150" t="s">
        <v>5254</v>
      </c>
      <c r="B71" s="150" t="s">
        <v>8147</v>
      </c>
      <c r="C71" s="150"/>
      <c r="D71" s="150"/>
      <c r="E71" s="150"/>
      <c r="F71" s="150"/>
      <c r="G71" s="150"/>
      <c r="H71" s="150"/>
      <c r="I71" s="150"/>
      <c r="J71" s="150"/>
      <c r="K71" s="156"/>
      <c r="L71" s="156"/>
      <c r="M71" s="156"/>
      <c r="N71" s="156"/>
      <c r="O71" s="156"/>
    </row>
    <row r="72" spans="1:15" x14ac:dyDescent="0.25">
      <c r="A72" s="149" t="s">
        <v>290</v>
      </c>
      <c r="B72" s="149" t="s">
        <v>291</v>
      </c>
      <c r="C72" s="150"/>
      <c r="D72" s="150"/>
      <c r="E72" s="150"/>
      <c r="F72" s="150"/>
      <c r="G72" s="150"/>
      <c r="H72" s="150"/>
      <c r="I72" s="150"/>
      <c r="J72" s="150"/>
      <c r="K72" s="156"/>
      <c r="L72" s="156"/>
      <c r="M72" s="156"/>
      <c r="N72" s="156"/>
      <c r="O72" s="156"/>
    </row>
    <row r="73" spans="1:15" x14ac:dyDescent="0.25">
      <c r="A73" s="149" t="s">
        <v>293</v>
      </c>
      <c r="B73" s="149" t="s">
        <v>294</v>
      </c>
      <c r="C73" s="150"/>
      <c r="D73" s="150"/>
      <c r="E73" s="150"/>
      <c r="F73" s="150"/>
      <c r="G73" s="150"/>
      <c r="H73" s="150"/>
      <c r="I73" s="150"/>
      <c r="J73" s="150"/>
      <c r="K73" s="156"/>
      <c r="L73" s="156"/>
      <c r="M73" s="156"/>
      <c r="N73" s="156"/>
      <c r="O73" s="156"/>
    </row>
    <row r="74" spans="1:15" x14ac:dyDescent="0.25">
      <c r="A74" s="150" t="s">
        <v>8148</v>
      </c>
      <c r="B74" s="150" t="s">
        <v>8149</v>
      </c>
      <c r="C74" s="150"/>
      <c r="D74" s="150"/>
      <c r="E74" s="150"/>
      <c r="F74" s="150"/>
      <c r="G74" s="150"/>
      <c r="H74" s="150"/>
      <c r="I74" s="150"/>
      <c r="J74" s="150"/>
      <c r="K74" s="156"/>
      <c r="L74" s="156"/>
      <c r="M74" s="156"/>
      <c r="N74" s="156"/>
      <c r="O74" s="156"/>
    </row>
    <row r="75" spans="1:15" x14ac:dyDescent="0.25">
      <c r="A75" s="149" t="s">
        <v>295</v>
      </c>
      <c r="B75" s="149" t="s">
        <v>296</v>
      </c>
      <c r="C75" s="150"/>
      <c r="D75" s="150"/>
      <c r="E75" s="150"/>
      <c r="F75" s="150"/>
      <c r="G75" s="150"/>
      <c r="H75" s="150"/>
      <c r="I75" s="150"/>
      <c r="J75" s="150"/>
      <c r="K75" s="156"/>
      <c r="L75" s="156"/>
      <c r="M75" s="156"/>
      <c r="N75" s="156"/>
      <c r="O75" s="156"/>
    </row>
    <row r="76" spans="1:15" x14ac:dyDescent="0.25">
      <c r="A76" s="150" t="s">
        <v>297</v>
      </c>
      <c r="B76" s="150" t="s">
        <v>298</v>
      </c>
      <c r="C76" s="150"/>
      <c r="D76" s="150"/>
      <c r="E76" s="150"/>
      <c r="F76" s="150"/>
      <c r="G76" s="150"/>
      <c r="H76" s="150"/>
      <c r="I76" s="150"/>
      <c r="J76" s="150"/>
      <c r="K76" s="156"/>
      <c r="L76" s="156"/>
      <c r="M76" s="156"/>
      <c r="N76" s="156"/>
      <c r="O76" s="156"/>
    </row>
    <row r="77" spans="1:15" x14ac:dyDescent="0.25">
      <c r="A77" s="149" t="s">
        <v>299</v>
      </c>
      <c r="B77" s="149" t="s">
        <v>300</v>
      </c>
      <c r="C77" s="150"/>
      <c r="D77" s="150"/>
      <c r="E77" s="150"/>
      <c r="F77" s="150"/>
      <c r="G77" s="150"/>
      <c r="H77" s="150"/>
      <c r="I77" s="150"/>
      <c r="J77" s="150"/>
      <c r="K77" s="156"/>
      <c r="L77" s="156"/>
      <c r="M77" s="156"/>
      <c r="N77" s="156"/>
      <c r="O77" s="156"/>
    </row>
    <row r="78" spans="1:15" x14ac:dyDescent="0.25">
      <c r="A78" s="150" t="s">
        <v>301</v>
      </c>
      <c r="B78" s="150" t="s">
        <v>302</v>
      </c>
      <c r="C78" s="150"/>
      <c r="D78" s="150"/>
      <c r="E78" s="150"/>
      <c r="F78" s="150"/>
      <c r="G78" s="150"/>
      <c r="H78" s="150"/>
      <c r="I78" s="150"/>
      <c r="J78" s="150"/>
      <c r="K78" s="156"/>
      <c r="L78" s="156"/>
      <c r="M78" s="156"/>
      <c r="N78" s="156"/>
      <c r="O78" s="156"/>
    </row>
    <row r="79" spans="1:15" x14ac:dyDescent="0.25">
      <c r="A79" s="149" t="s">
        <v>303</v>
      </c>
      <c r="B79" s="149" t="s">
        <v>304</v>
      </c>
      <c r="C79" s="150"/>
      <c r="D79" s="150"/>
      <c r="E79" s="150"/>
      <c r="F79" s="150"/>
      <c r="G79" s="150"/>
      <c r="H79" s="150"/>
      <c r="I79" s="150"/>
      <c r="J79" s="150"/>
      <c r="K79" s="156"/>
      <c r="L79" s="156"/>
      <c r="M79" s="156"/>
      <c r="N79" s="156"/>
      <c r="O79" s="156"/>
    </row>
    <row r="80" spans="1:15" x14ac:dyDescent="0.25">
      <c r="A80" s="150" t="s">
        <v>5263</v>
      </c>
      <c r="B80" s="150" t="s">
        <v>8150</v>
      </c>
      <c r="C80" s="150"/>
      <c r="D80" s="150"/>
      <c r="E80" s="150"/>
      <c r="F80" s="150"/>
      <c r="G80" s="150"/>
      <c r="H80" s="150"/>
      <c r="I80" s="150"/>
      <c r="J80" s="150"/>
      <c r="K80" s="156"/>
      <c r="L80" s="156"/>
      <c r="M80" s="156"/>
      <c r="N80" s="156"/>
      <c r="O80" s="156"/>
    </row>
    <row r="81" spans="1:15" x14ac:dyDescent="0.25">
      <c r="A81" s="149" t="s">
        <v>305</v>
      </c>
      <c r="B81" s="149" t="s">
        <v>306</v>
      </c>
      <c r="C81" s="150"/>
      <c r="D81" s="150"/>
      <c r="E81" s="150"/>
      <c r="F81" s="150"/>
      <c r="G81" s="150"/>
      <c r="H81" s="150"/>
      <c r="I81" s="150"/>
      <c r="J81" s="150"/>
      <c r="K81" s="156"/>
      <c r="L81" s="156"/>
      <c r="M81" s="156"/>
      <c r="N81" s="156"/>
      <c r="O81" s="156"/>
    </row>
    <row r="82" spans="1:15" x14ac:dyDescent="0.25">
      <c r="A82" s="150" t="s">
        <v>307</v>
      </c>
      <c r="B82" s="150" t="s">
        <v>308</v>
      </c>
      <c r="C82" s="150"/>
      <c r="D82" s="150"/>
      <c r="E82" s="150"/>
      <c r="F82" s="150"/>
      <c r="G82" s="150"/>
      <c r="H82" s="150"/>
      <c r="I82" s="150"/>
      <c r="J82" s="150"/>
      <c r="K82" s="156"/>
      <c r="L82" s="156"/>
      <c r="M82" s="156"/>
      <c r="N82" s="156"/>
      <c r="O82" s="156"/>
    </row>
    <row r="83" spans="1:15" x14ac:dyDescent="0.25">
      <c r="A83" s="149" t="s">
        <v>309</v>
      </c>
      <c r="B83" s="149" t="s">
        <v>310</v>
      </c>
      <c r="C83" s="150"/>
      <c r="D83" s="150"/>
      <c r="E83" s="150"/>
      <c r="F83" s="150"/>
      <c r="G83" s="150"/>
      <c r="H83" s="150"/>
      <c r="I83" s="150"/>
      <c r="J83" s="150"/>
      <c r="K83" s="156"/>
      <c r="L83" s="156"/>
      <c r="M83" s="156"/>
      <c r="N83" s="156"/>
      <c r="O83" s="156"/>
    </row>
    <row r="84" spans="1:15" x14ac:dyDescent="0.25">
      <c r="A84" s="150" t="s">
        <v>311</v>
      </c>
      <c r="B84" s="150" t="s">
        <v>312</v>
      </c>
      <c r="C84" s="150"/>
      <c r="D84" s="150"/>
      <c r="E84" s="150"/>
      <c r="F84" s="150"/>
      <c r="G84" s="150"/>
      <c r="H84" s="150"/>
      <c r="I84" s="150"/>
      <c r="J84" s="150"/>
      <c r="K84" s="156"/>
      <c r="L84" s="156"/>
      <c r="M84" s="156"/>
      <c r="N84" s="156"/>
      <c r="O84" s="156"/>
    </row>
    <row r="85" spans="1:15" x14ac:dyDescent="0.25">
      <c r="A85" s="149" t="s">
        <v>313</v>
      </c>
      <c r="B85" s="149" t="s">
        <v>314</v>
      </c>
      <c r="C85" s="150"/>
      <c r="D85" s="150"/>
      <c r="E85" s="150"/>
      <c r="F85" s="150"/>
      <c r="G85" s="150"/>
      <c r="H85" s="150"/>
      <c r="I85" s="150"/>
      <c r="J85" s="150"/>
      <c r="K85" s="156"/>
      <c r="L85" s="156"/>
      <c r="M85" s="156"/>
      <c r="N85" s="156"/>
      <c r="O85" s="156"/>
    </row>
    <row r="86" spans="1:15" x14ac:dyDescent="0.25">
      <c r="A86" s="150" t="s">
        <v>315</v>
      </c>
      <c r="B86" s="150" t="s">
        <v>316</v>
      </c>
      <c r="C86" s="150"/>
      <c r="D86" s="150"/>
      <c r="E86" s="150"/>
      <c r="F86" s="150"/>
      <c r="G86" s="150"/>
      <c r="H86" s="150"/>
      <c r="I86" s="150"/>
      <c r="J86" s="150"/>
      <c r="K86" s="156"/>
      <c r="L86" s="156"/>
      <c r="M86" s="156"/>
      <c r="N86" s="156"/>
      <c r="O86" s="156"/>
    </row>
    <row r="87" spans="1:15" x14ac:dyDescent="0.25">
      <c r="A87" s="149" t="s">
        <v>317</v>
      </c>
      <c r="B87" s="149" t="s">
        <v>318</v>
      </c>
      <c r="C87" s="150"/>
      <c r="D87" s="150"/>
      <c r="E87" s="150"/>
      <c r="F87" s="150"/>
      <c r="G87" s="150"/>
      <c r="H87" s="150"/>
      <c r="I87" s="150"/>
      <c r="J87" s="150"/>
      <c r="K87" s="156"/>
      <c r="L87" s="156"/>
      <c r="M87" s="156"/>
      <c r="N87" s="156"/>
      <c r="O87" s="156"/>
    </row>
    <row r="88" spans="1:15" x14ac:dyDescent="0.25">
      <c r="A88" s="150" t="s">
        <v>319</v>
      </c>
      <c r="B88" s="150" t="s">
        <v>320</v>
      </c>
      <c r="C88" s="150"/>
      <c r="D88" s="150"/>
      <c r="E88" s="150"/>
      <c r="F88" s="150"/>
      <c r="G88" s="150"/>
      <c r="H88" s="150"/>
      <c r="I88" s="150"/>
      <c r="J88" s="150"/>
      <c r="K88" s="156"/>
      <c r="L88" s="156"/>
      <c r="M88" s="156"/>
      <c r="N88" s="156"/>
      <c r="O88" s="156"/>
    </row>
    <row r="89" spans="1:15" x14ac:dyDescent="0.25">
      <c r="A89" s="149" t="s">
        <v>321</v>
      </c>
      <c r="B89" s="149" t="s">
        <v>322</v>
      </c>
      <c r="C89" s="150"/>
      <c r="D89" s="150"/>
      <c r="E89" s="150"/>
      <c r="F89" s="150"/>
      <c r="G89" s="150"/>
      <c r="H89" s="150"/>
      <c r="I89" s="150"/>
      <c r="J89" s="150"/>
      <c r="K89" s="156"/>
      <c r="L89" s="156"/>
      <c r="M89" s="156"/>
      <c r="N89" s="156"/>
      <c r="O89" s="156"/>
    </row>
    <row r="90" spans="1:15" x14ac:dyDescent="0.25">
      <c r="A90" s="150" t="s">
        <v>5274</v>
      </c>
      <c r="B90" s="150" t="s">
        <v>8151</v>
      </c>
      <c r="C90" s="150"/>
      <c r="D90" s="150"/>
      <c r="E90" s="150"/>
      <c r="F90" s="150"/>
      <c r="G90" s="150"/>
      <c r="H90" s="150"/>
      <c r="I90" s="150"/>
      <c r="J90" s="150"/>
      <c r="K90" s="156"/>
      <c r="L90" s="156"/>
      <c r="M90" s="156"/>
      <c r="N90" s="156"/>
      <c r="O90" s="156"/>
    </row>
    <row r="91" spans="1:15" x14ac:dyDescent="0.25">
      <c r="A91" s="149" t="s">
        <v>323</v>
      </c>
      <c r="B91" s="149" t="s">
        <v>324</v>
      </c>
      <c r="C91" s="150"/>
      <c r="D91" s="150"/>
      <c r="E91" s="150"/>
      <c r="F91" s="150"/>
      <c r="G91" s="150"/>
      <c r="H91" s="150"/>
      <c r="I91" s="150"/>
      <c r="J91" s="150"/>
      <c r="K91" s="156"/>
      <c r="L91" s="156"/>
      <c r="M91" s="156"/>
      <c r="N91" s="156"/>
      <c r="O91" s="156"/>
    </row>
    <row r="92" spans="1:15" x14ac:dyDescent="0.25">
      <c r="A92" s="150" t="s">
        <v>325</v>
      </c>
      <c r="B92" s="150" t="s">
        <v>326</v>
      </c>
      <c r="C92" s="150"/>
      <c r="D92" s="150"/>
      <c r="E92" s="150"/>
      <c r="F92" s="150"/>
      <c r="G92" s="150"/>
      <c r="H92" s="150"/>
      <c r="I92" s="150"/>
      <c r="J92" s="150"/>
      <c r="K92" s="156"/>
      <c r="L92" s="156"/>
      <c r="M92" s="156"/>
      <c r="N92" s="156"/>
      <c r="O92" s="156"/>
    </row>
    <row r="93" spans="1:15" x14ac:dyDescent="0.25">
      <c r="A93" s="149" t="s">
        <v>327</v>
      </c>
      <c r="B93" s="149" t="s">
        <v>328</v>
      </c>
      <c r="C93" s="150"/>
      <c r="D93" s="150"/>
      <c r="E93" s="150"/>
      <c r="F93" s="150"/>
      <c r="G93" s="150"/>
      <c r="H93" s="150"/>
      <c r="I93" s="150"/>
      <c r="J93" s="150"/>
      <c r="K93" s="156"/>
      <c r="L93" s="156"/>
      <c r="M93" s="156"/>
      <c r="N93" s="156"/>
      <c r="O93" s="156"/>
    </row>
    <row r="94" spans="1:15" x14ac:dyDescent="0.25">
      <c r="A94" s="150" t="s">
        <v>5280</v>
      </c>
      <c r="B94" s="150" t="s">
        <v>8152</v>
      </c>
      <c r="C94" s="150"/>
      <c r="D94" s="150"/>
      <c r="E94" s="150"/>
      <c r="F94" s="150"/>
      <c r="G94" s="150"/>
      <c r="H94" s="150"/>
      <c r="I94" s="150"/>
      <c r="J94" s="150"/>
      <c r="K94" s="156"/>
      <c r="L94" s="156"/>
      <c r="M94" s="156"/>
      <c r="N94" s="156"/>
      <c r="O94" s="156"/>
    </row>
    <row r="95" spans="1:15" x14ac:dyDescent="0.25">
      <c r="A95" s="149" t="s">
        <v>329</v>
      </c>
      <c r="B95" s="149" t="s">
        <v>330</v>
      </c>
      <c r="C95" s="150"/>
      <c r="D95" s="150"/>
      <c r="E95" s="150"/>
      <c r="F95" s="150"/>
      <c r="G95" s="150"/>
      <c r="H95" s="150"/>
      <c r="I95" s="150"/>
      <c r="J95" s="150"/>
      <c r="K95" s="156"/>
      <c r="L95" s="156"/>
      <c r="M95" s="156"/>
      <c r="N95" s="156"/>
      <c r="O95" s="156"/>
    </row>
    <row r="96" spans="1:15" x14ac:dyDescent="0.25">
      <c r="A96" s="150" t="s">
        <v>331</v>
      </c>
      <c r="B96" s="150" t="s">
        <v>332</v>
      </c>
      <c r="C96" s="150"/>
      <c r="D96" s="150"/>
      <c r="E96" s="150"/>
      <c r="F96" s="150"/>
      <c r="G96" s="150"/>
      <c r="H96" s="150"/>
      <c r="I96" s="150"/>
      <c r="J96" s="150"/>
      <c r="K96" s="156"/>
      <c r="L96" s="156"/>
      <c r="M96" s="156"/>
      <c r="N96" s="156"/>
      <c r="O96" s="156"/>
    </row>
    <row r="97" spans="1:15" x14ac:dyDescent="0.25">
      <c r="A97" s="149" t="s">
        <v>333</v>
      </c>
      <c r="B97" s="149" t="s">
        <v>334</v>
      </c>
      <c r="C97" s="150"/>
      <c r="D97" s="150"/>
      <c r="E97" s="150"/>
      <c r="F97" s="150"/>
      <c r="G97" s="150"/>
      <c r="H97" s="150"/>
      <c r="I97" s="150"/>
      <c r="J97" s="150"/>
      <c r="K97" s="156"/>
      <c r="L97" s="156"/>
      <c r="M97" s="156"/>
      <c r="N97" s="156"/>
      <c r="O97" s="156"/>
    </row>
    <row r="98" spans="1:15" x14ac:dyDescent="0.25">
      <c r="A98" s="150" t="s">
        <v>335</v>
      </c>
      <c r="B98" s="150" t="s">
        <v>336</v>
      </c>
      <c r="C98" s="150"/>
      <c r="D98" s="150"/>
      <c r="E98" s="150"/>
      <c r="F98" s="150"/>
      <c r="G98" s="150"/>
      <c r="H98" s="150"/>
      <c r="I98" s="150"/>
      <c r="J98" s="150"/>
      <c r="K98" s="156"/>
      <c r="L98" s="156"/>
      <c r="M98" s="156"/>
      <c r="N98" s="156"/>
      <c r="O98" s="156"/>
    </row>
    <row r="99" spans="1:15" x14ac:dyDescent="0.25">
      <c r="A99" s="149" t="s">
        <v>337</v>
      </c>
      <c r="B99" s="149" t="s">
        <v>338</v>
      </c>
      <c r="C99" s="150"/>
      <c r="D99" s="150"/>
      <c r="E99" s="150"/>
      <c r="F99" s="150"/>
      <c r="G99" s="150"/>
      <c r="H99" s="150"/>
      <c r="I99" s="150"/>
      <c r="J99" s="150"/>
      <c r="K99" s="156"/>
      <c r="L99" s="156"/>
      <c r="M99" s="156"/>
      <c r="N99" s="156"/>
      <c r="O99" s="156"/>
    </row>
    <row r="100" spans="1:15" x14ac:dyDescent="0.25">
      <c r="A100" s="150" t="s">
        <v>5284</v>
      </c>
      <c r="B100" s="150" t="s">
        <v>8153</v>
      </c>
      <c r="C100" s="150"/>
      <c r="D100" s="150"/>
      <c r="E100" s="150"/>
      <c r="F100" s="150"/>
      <c r="G100" s="150"/>
      <c r="H100" s="150"/>
      <c r="I100" s="150"/>
      <c r="J100" s="150"/>
      <c r="K100" s="156"/>
      <c r="L100" s="156"/>
      <c r="M100" s="156"/>
      <c r="N100" s="156"/>
      <c r="O100" s="156"/>
    </row>
    <row r="101" spans="1:15" x14ac:dyDescent="0.25">
      <c r="A101" s="149" t="s">
        <v>339</v>
      </c>
      <c r="B101" s="149" t="s">
        <v>340</v>
      </c>
      <c r="C101" s="150"/>
      <c r="D101" s="150"/>
      <c r="E101" s="150"/>
      <c r="F101" s="150"/>
      <c r="G101" s="150"/>
      <c r="H101" s="150"/>
      <c r="I101" s="150"/>
      <c r="J101" s="150"/>
      <c r="K101" s="156"/>
      <c r="L101" s="156"/>
      <c r="M101" s="156"/>
      <c r="N101" s="156"/>
      <c r="O101" s="156"/>
    </row>
    <row r="102" spans="1:15" x14ac:dyDescent="0.25">
      <c r="A102" s="150" t="s">
        <v>341</v>
      </c>
      <c r="B102" s="150" t="s">
        <v>342</v>
      </c>
      <c r="C102" s="150"/>
      <c r="D102" s="150"/>
      <c r="E102" s="150"/>
      <c r="F102" s="150"/>
      <c r="G102" s="150"/>
      <c r="H102" s="150"/>
      <c r="I102" s="150"/>
      <c r="J102" s="150"/>
      <c r="K102" s="156"/>
      <c r="L102" s="156"/>
      <c r="M102" s="156"/>
      <c r="N102" s="156"/>
      <c r="O102" s="156"/>
    </row>
    <row r="103" spans="1:15" x14ac:dyDescent="0.25">
      <c r="A103" s="149" t="s">
        <v>5148</v>
      </c>
      <c r="B103" s="149" t="s">
        <v>8154</v>
      </c>
      <c r="C103" s="150"/>
      <c r="D103" s="150"/>
      <c r="E103" s="150"/>
      <c r="F103" s="150"/>
      <c r="G103" s="150"/>
      <c r="H103" s="150"/>
      <c r="I103" s="150"/>
      <c r="J103" s="150"/>
      <c r="K103" s="156"/>
      <c r="L103" s="156"/>
      <c r="M103" s="156"/>
      <c r="N103" s="156"/>
      <c r="O103" s="156"/>
    </row>
    <row r="104" spans="1:15" x14ac:dyDescent="0.25">
      <c r="A104" s="150" t="s">
        <v>343</v>
      </c>
      <c r="B104" s="150" t="s">
        <v>344</v>
      </c>
      <c r="C104" s="150"/>
      <c r="D104" s="150"/>
      <c r="E104" s="150"/>
      <c r="F104" s="150"/>
      <c r="G104" s="150"/>
      <c r="H104" s="150"/>
      <c r="I104" s="150"/>
      <c r="J104" s="150"/>
      <c r="K104" s="156"/>
      <c r="L104" s="156"/>
      <c r="M104" s="156"/>
      <c r="N104" s="156"/>
      <c r="O104" s="156"/>
    </row>
    <row r="105" spans="1:15" x14ac:dyDescent="0.25">
      <c r="A105" s="149" t="s">
        <v>345</v>
      </c>
      <c r="B105" s="149" t="s">
        <v>346</v>
      </c>
      <c r="C105" s="150"/>
      <c r="D105" s="150"/>
      <c r="E105" s="150"/>
      <c r="F105" s="150"/>
      <c r="G105" s="150"/>
      <c r="H105" s="150"/>
      <c r="I105" s="150"/>
      <c r="J105" s="150"/>
      <c r="K105" s="156"/>
      <c r="L105" s="156"/>
      <c r="M105" s="156"/>
      <c r="N105" s="156"/>
      <c r="O105" s="156"/>
    </row>
    <row r="106" spans="1:15" x14ac:dyDescent="0.25">
      <c r="A106" s="150" t="s">
        <v>347</v>
      </c>
      <c r="B106" s="150" t="s">
        <v>348</v>
      </c>
      <c r="C106" s="150"/>
      <c r="D106" s="150"/>
      <c r="E106" s="150"/>
      <c r="F106" s="150"/>
      <c r="G106" s="150"/>
      <c r="H106" s="150"/>
      <c r="I106" s="150"/>
      <c r="J106" s="150"/>
      <c r="K106" s="156"/>
      <c r="L106" s="156"/>
      <c r="M106" s="156"/>
      <c r="N106" s="156"/>
      <c r="O106" s="156"/>
    </row>
    <row r="107" spans="1:15" x14ac:dyDescent="0.25">
      <c r="A107" s="149" t="s">
        <v>349</v>
      </c>
      <c r="B107" s="149" t="s">
        <v>350</v>
      </c>
      <c r="C107" s="150"/>
      <c r="D107" s="150"/>
      <c r="E107" s="150"/>
      <c r="F107" s="150"/>
      <c r="G107" s="150"/>
      <c r="H107" s="150"/>
      <c r="I107" s="150"/>
      <c r="J107" s="150"/>
      <c r="K107" s="156"/>
      <c r="L107" s="156"/>
      <c r="M107" s="156"/>
      <c r="N107" s="156"/>
      <c r="O107" s="156"/>
    </row>
    <row r="108" spans="1:15" x14ac:dyDescent="0.25">
      <c r="A108" s="150" t="s">
        <v>5152</v>
      </c>
      <c r="B108" s="150" t="s">
        <v>8155</v>
      </c>
      <c r="C108" s="150"/>
      <c r="D108" s="150"/>
      <c r="E108" s="150"/>
      <c r="F108" s="150"/>
      <c r="G108" s="150"/>
      <c r="H108" s="150"/>
      <c r="I108" s="150"/>
      <c r="J108" s="150"/>
      <c r="K108" s="156"/>
      <c r="L108" s="156"/>
      <c r="M108" s="156"/>
      <c r="N108" s="156"/>
      <c r="O108" s="156"/>
    </row>
    <row r="109" spans="1:15" x14ac:dyDescent="0.25">
      <c r="A109" s="149" t="s">
        <v>351</v>
      </c>
      <c r="B109" s="149" t="s">
        <v>352</v>
      </c>
      <c r="C109" s="150"/>
      <c r="D109" s="150"/>
      <c r="E109" s="150"/>
      <c r="F109" s="150"/>
      <c r="G109" s="150"/>
      <c r="H109" s="150"/>
      <c r="I109" s="150"/>
      <c r="J109" s="150"/>
      <c r="K109" s="156"/>
      <c r="L109" s="156"/>
      <c r="M109" s="156"/>
      <c r="N109" s="156"/>
      <c r="O109" s="156"/>
    </row>
    <row r="110" spans="1:15" x14ac:dyDescent="0.25">
      <c r="A110" s="150" t="s">
        <v>5155</v>
      </c>
      <c r="B110" s="150" t="s">
        <v>8156</v>
      </c>
      <c r="C110" s="150"/>
      <c r="D110" s="150"/>
      <c r="E110" s="150"/>
      <c r="F110" s="150"/>
      <c r="G110" s="150"/>
      <c r="H110" s="150"/>
      <c r="I110" s="150"/>
      <c r="J110" s="150"/>
      <c r="K110" s="156"/>
      <c r="L110" s="156"/>
      <c r="M110" s="156"/>
      <c r="N110" s="156"/>
      <c r="O110" s="156"/>
    </row>
    <row r="111" spans="1:15" x14ac:dyDescent="0.25">
      <c r="A111" s="149" t="s">
        <v>353</v>
      </c>
      <c r="B111" s="149" t="s">
        <v>354</v>
      </c>
      <c r="C111" s="150"/>
      <c r="D111" s="150"/>
      <c r="E111" s="150"/>
      <c r="F111" s="150"/>
      <c r="G111" s="150"/>
      <c r="H111" s="150"/>
      <c r="I111" s="150"/>
      <c r="J111" s="150"/>
      <c r="K111" s="156"/>
      <c r="L111" s="156"/>
      <c r="M111" s="156"/>
      <c r="N111" s="156"/>
      <c r="O111" s="156"/>
    </row>
    <row r="112" spans="1:15" x14ac:dyDescent="0.25">
      <c r="A112" s="150" t="s">
        <v>5159</v>
      </c>
      <c r="B112" s="150" t="s">
        <v>8157</v>
      </c>
      <c r="C112" s="150"/>
      <c r="D112" s="150"/>
      <c r="E112" s="150"/>
      <c r="F112" s="150"/>
      <c r="G112" s="150"/>
      <c r="H112" s="150"/>
      <c r="I112" s="150"/>
      <c r="J112" s="150"/>
      <c r="K112" s="156"/>
      <c r="L112" s="156"/>
      <c r="M112" s="156"/>
      <c r="N112" s="156"/>
      <c r="O112" s="156"/>
    </row>
    <row r="113" spans="1:15" x14ac:dyDescent="0.25">
      <c r="A113" s="149" t="s">
        <v>355</v>
      </c>
      <c r="B113" s="149" t="s">
        <v>356</v>
      </c>
      <c r="C113" s="150"/>
      <c r="D113" s="150"/>
      <c r="E113" s="150"/>
      <c r="F113" s="150"/>
      <c r="G113" s="150"/>
      <c r="H113" s="150"/>
      <c r="I113" s="150"/>
      <c r="J113" s="150"/>
      <c r="K113" s="156"/>
      <c r="L113" s="156"/>
      <c r="M113" s="156"/>
      <c r="N113" s="156"/>
      <c r="O113" s="156"/>
    </row>
    <row r="114" spans="1:15" x14ac:dyDescent="0.25">
      <c r="A114" s="150" t="s">
        <v>357</v>
      </c>
      <c r="B114" s="150" t="s">
        <v>358</v>
      </c>
      <c r="C114" s="150"/>
      <c r="D114" s="150"/>
      <c r="E114" s="150"/>
      <c r="F114" s="150"/>
      <c r="G114" s="150"/>
      <c r="H114" s="150"/>
      <c r="I114" s="150"/>
      <c r="J114" s="150"/>
      <c r="K114" s="156"/>
      <c r="L114" s="156"/>
      <c r="M114" s="156"/>
      <c r="N114" s="156"/>
      <c r="O114" s="156"/>
    </row>
    <row r="115" spans="1:15" x14ac:dyDescent="0.25">
      <c r="A115" s="149" t="s">
        <v>359</v>
      </c>
      <c r="B115" s="149" t="s">
        <v>360</v>
      </c>
      <c r="C115" s="150"/>
      <c r="D115" s="150"/>
      <c r="E115" s="150"/>
      <c r="F115" s="150"/>
      <c r="G115" s="150"/>
      <c r="H115" s="150"/>
      <c r="I115" s="150"/>
      <c r="J115" s="150"/>
      <c r="K115" s="156"/>
      <c r="L115" s="156"/>
      <c r="M115" s="156"/>
      <c r="N115" s="156"/>
      <c r="O115" s="156"/>
    </row>
    <row r="116" spans="1:15" x14ac:dyDescent="0.25">
      <c r="A116" s="150" t="s">
        <v>361</v>
      </c>
      <c r="B116" s="150" t="s">
        <v>362</v>
      </c>
      <c r="C116" s="150"/>
      <c r="D116" s="150"/>
      <c r="E116" s="150"/>
      <c r="F116" s="150"/>
      <c r="G116" s="150"/>
      <c r="H116" s="150"/>
      <c r="I116" s="150"/>
      <c r="J116" s="150"/>
      <c r="K116" s="156"/>
      <c r="L116" s="156"/>
      <c r="M116" s="156"/>
      <c r="N116" s="156"/>
      <c r="O116" s="156"/>
    </row>
    <row r="117" spans="1:15" x14ac:dyDescent="0.25">
      <c r="A117" s="149" t="s">
        <v>363</v>
      </c>
      <c r="B117" s="149" t="s">
        <v>364</v>
      </c>
      <c r="C117" s="150"/>
      <c r="D117" s="150"/>
      <c r="E117" s="150"/>
      <c r="F117" s="150"/>
      <c r="G117" s="150"/>
      <c r="H117" s="150"/>
      <c r="I117" s="150"/>
      <c r="J117" s="150"/>
      <c r="K117" s="156"/>
      <c r="L117" s="156"/>
      <c r="M117" s="156"/>
      <c r="N117" s="156"/>
      <c r="O117" s="156"/>
    </row>
    <row r="118" spans="1:15" x14ac:dyDescent="0.25">
      <c r="A118" s="150" t="s">
        <v>365</v>
      </c>
      <c r="B118" s="150" t="s">
        <v>366</v>
      </c>
      <c r="C118" s="150"/>
      <c r="D118" s="150"/>
      <c r="E118" s="150"/>
      <c r="F118" s="150"/>
      <c r="G118" s="150"/>
      <c r="H118" s="150"/>
      <c r="I118" s="150"/>
      <c r="J118" s="150"/>
      <c r="K118" s="156"/>
      <c r="L118" s="156"/>
      <c r="M118" s="156"/>
      <c r="N118" s="156"/>
      <c r="O118" s="156"/>
    </row>
    <row r="119" spans="1:15" x14ac:dyDescent="0.25">
      <c r="A119" s="149" t="s">
        <v>367</v>
      </c>
      <c r="B119" s="149" t="s">
        <v>368</v>
      </c>
      <c r="C119" s="150"/>
      <c r="D119" s="150"/>
      <c r="E119" s="150"/>
      <c r="F119" s="150"/>
      <c r="G119" s="150"/>
      <c r="H119" s="150"/>
      <c r="I119" s="150"/>
      <c r="J119" s="150"/>
      <c r="K119" s="156"/>
      <c r="L119" s="156"/>
      <c r="M119" s="156"/>
      <c r="N119" s="156"/>
      <c r="O119" s="156"/>
    </row>
    <row r="120" spans="1:15" x14ac:dyDescent="0.25">
      <c r="A120" s="150" t="s">
        <v>5167</v>
      </c>
      <c r="B120" s="150" t="s">
        <v>8158</v>
      </c>
      <c r="C120" s="150"/>
      <c r="D120" s="150"/>
      <c r="E120" s="150"/>
      <c r="F120" s="150"/>
      <c r="G120" s="150"/>
      <c r="H120" s="150"/>
      <c r="I120" s="150"/>
      <c r="J120" s="150"/>
      <c r="K120" s="156"/>
      <c r="L120" s="156"/>
      <c r="M120" s="156"/>
      <c r="N120" s="156"/>
      <c r="O120" s="156"/>
    </row>
    <row r="121" spans="1:15" x14ac:dyDescent="0.25">
      <c r="A121" s="149" t="s">
        <v>369</v>
      </c>
      <c r="B121" s="149" t="s">
        <v>370</v>
      </c>
      <c r="C121" s="150"/>
      <c r="D121" s="150"/>
      <c r="E121" s="150"/>
      <c r="F121" s="150"/>
      <c r="G121" s="150"/>
      <c r="H121" s="150"/>
      <c r="I121" s="150"/>
      <c r="J121" s="150"/>
      <c r="K121" s="156"/>
      <c r="L121" s="156"/>
      <c r="M121" s="156"/>
      <c r="N121" s="161" t="s">
        <v>8847</v>
      </c>
      <c r="O121" s="161" t="s">
        <v>2502</v>
      </c>
    </row>
    <row r="122" spans="1:15" x14ac:dyDescent="0.25">
      <c r="A122" s="150" t="s">
        <v>8159</v>
      </c>
      <c r="B122" s="150" t="s">
        <v>8160</v>
      </c>
      <c r="C122" s="150"/>
      <c r="D122" s="150"/>
      <c r="E122" s="150"/>
      <c r="F122" s="150"/>
      <c r="G122" s="150"/>
      <c r="H122" s="150"/>
      <c r="I122" s="150"/>
      <c r="J122" s="150"/>
      <c r="K122" s="156"/>
      <c r="L122" s="156"/>
      <c r="M122" s="156"/>
      <c r="N122" s="156"/>
      <c r="O122" s="156"/>
    </row>
    <row r="123" spans="1:15" x14ac:dyDescent="0.25">
      <c r="A123" s="149" t="s">
        <v>371</v>
      </c>
      <c r="B123" s="149" t="s">
        <v>372</v>
      </c>
      <c r="C123" s="150"/>
      <c r="D123" s="150"/>
      <c r="E123" s="150"/>
      <c r="F123" s="150"/>
      <c r="G123" s="150"/>
      <c r="H123" s="150"/>
      <c r="I123" s="150"/>
      <c r="J123" s="150"/>
      <c r="K123" s="156"/>
      <c r="L123" s="156"/>
      <c r="M123" s="156"/>
      <c r="N123" s="156"/>
      <c r="O123" s="156"/>
    </row>
    <row r="124" spans="1:15" x14ac:dyDescent="0.25">
      <c r="A124" s="150" t="s">
        <v>373</v>
      </c>
      <c r="B124" s="150" t="s">
        <v>374</v>
      </c>
      <c r="C124" s="150"/>
      <c r="D124" s="150"/>
      <c r="E124" s="150"/>
      <c r="F124" s="150"/>
      <c r="G124" s="150"/>
      <c r="H124" s="150"/>
      <c r="I124" s="150"/>
      <c r="J124" s="150"/>
      <c r="K124" s="156"/>
      <c r="L124" s="156"/>
      <c r="M124" s="156"/>
      <c r="N124" s="156"/>
      <c r="O124" s="156"/>
    </row>
    <row r="125" spans="1:15" x14ac:dyDescent="0.25">
      <c r="A125" s="149" t="s">
        <v>375</v>
      </c>
      <c r="B125" s="149" t="s">
        <v>376</v>
      </c>
      <c r="C125" s="150"/>
      <c r="D125" s="150"/>
      <c r="E125" s="150"/>
      <c r="F125" s="150"/>
      <c r="G125" s="150"/>
      <c r="H125" s="150"/>
      <c r="I125" s="150"/>
      <c r="J125" s="150"/>
      <c r="K125" s="156"/>
      <c r="L125" s="156"/>
      <c r="M125" s="156"/>
      <c r="N125" s="156"/>
      <c r="O125" s="156"/>
    </row>
    <row r="126" spans="1:15" x14ac:dyDescent="0.25">
      <c r="A126" s="150" t="s">
        <v>377</v>
      </c>
      <c r="B126" s="150" t="s">
        <v>378</v>
      </c>
      <c r="C126" s="150"/>
      <c r="D126" s="150"/>
      <c r="E126" s="150"/>
      <c r="F126" s="150"/>
      <c r="G126" s="150"/>
      <c r="H126" s="150"/>
      <c r="I126" s="150"/>
      <c r="J126" s="150"/>
      <c r="K126" s="156"/>
      <c r="L126" s="156"/>
      <c r="M126" s="156"/>
      <c r="N126" s="156"/>
      <c r="O126" s="156"/>
    </row>
    <row r="127" spans="1:15" x14ac:dyDescent="0.25">
      <c r="A127" s="149" t="s">
        <v>379</v>
      </c>
      <c r="B127" s="149" t="s">
        <v>380</v>
      </c>
      <c r="C127" s="150"/>
      <c r="D127" s="150"/>
      <c r="E127" s="150"/>
      <c r="F127" s="150"/>
      <c r="G127" s="150"/>
      <c r="H127" s="150"/>
      <c r="I127" s="150"/>
      <c r="J127" s="150"/>
      <c r="K127" s="156"/>
      <c r="L127" s="156"/>
      <c r="M127" s="156"/>
      <c r="N127" s="156"/>
      <c r="O127" s="156"/>
    </row>
    <row r="128" spans="1:15" x14ac:dyDescent="0.25">
      <c r="A128" s="150" t="s">
        <v>381</v>
      </c>
      <c r="B128" s="150" t="s">
        <v>382</v>
      </c>
      <c r="C128" s="150"/>
      <c r="D128" s="150"/>
      <c r="E128" s="150"/>
      <c r="F128" s="150"/>
      <c r="G128" s="150"/>
      <c r="H128" s="150"/>
      <c r="I128" s="150"/>
      <c r="J128" s="150"/>
      <c r="K128" s="156"/>
      <c r="L128" s="156"/>
      <c r="M128" s="156"/>
      <c r="N128" s="156"/>
      <c r="O128" s="156"/>
    </row>
    <row r="129" spans="1:15" x14ac:dyDescent="0.25">
      <c r="A129" s="149" t="s">
        <v>383</v>
      </c>
      <c r="B129" s="149" t="s">
        <v>384</v>
      </c>
      <c r="C129" s="150"/>
      <c r="D129" s="150"/>
      <c r="E129" s="150"/>
      <c r="F129" s="150"/>
      <c r="G129" s="150"/>
      <c r="H129" s="150"/>
      <c r="I129" s="150"/>
      <c r="J129" s="150"/>
      <c r="K129" s="156"/>
      <c r="L129" s="156"/>
      <c r="M129" s="156"/>
      <c r="N129" s="156"/>
      <c r="O129" s="156"/>
    </row>
    <row r="130" spans="1:15" x14ac:dyDescent="0.25">
      <c r="A130" s="150" t="s">
        <v>5178</v>
      </c>
      <c r="B130" s="150" t="s">
        <v>8161</v>
      </c>
      <c r="C130" s="150"/>
      <c r="D130" s="150"/>
      <c r="E130" s="150"/>
      <c r="F130" s="150"/>
      <c r="G130" s="150"/>
      <c r="H130" s="150"/>
      <c r="I130" s="150"/>
      <c r="J130" s="150"/>
      <c r="K130" s="156"/>
      <c r="L130" s="156"/>
      <c r="M130" s="156"/>
      <c r="N130" s="156"/>
      <c r="O130" s="156"/>
    </row>
    <row r="131" spans="1:15" x14ac:dyDescent="0.25">
      <c r="A131" s="149" t="s">
        <v>385</v>
      </c>
      <c r="B131" s="149" t="s">
        <v>386</v>
      </c>
      <c r="C131" s="150"/>
      <c r="D131" s="150"/>
      <c r="E131" s="150"/>
      <c r="F131" s="150"/>
      <c r="G131" s="150"/>
      <c r="H131" s="150"/>
      <c r="I131" s="150"/>
      <c r="J131" s="150"/>
      <c r="K131" s="156"/>
      <c r="L131" s="156"/>
      <c r="M131" s="156"/>
      <c r="N131" s="156"/>
      <c r="O131" s="156"/>
    </row>
    <row r="132" spans="1:15" x14ac:dyDescent="0.25">
      <c r="A132" s="150" t="s">
        <v>387</v>
      </c>
      <c r="B132" s="150" t="s">
        <v>388</v>
      </c>
      <c r="C132" s="150"/>
      <c r="D132" s="150"/>
      <c r="E132" s="150"/>
      <c r="F132" s="150"/>
      <c r="G132" s="150"/>
      <c r="H132" s="150"/>
      <c r="I132" s="150"/>
      <c r="J132" s="150"/>
      <c r="K132" s="156"/>
      <c r="L132" s="156"/>
      <c r="M132" s="156"/>
      <c r="N132" s="156"/>
      <c r="O132" s="156"/>
    </row>
    <row r="133" spans="1:15" x14ac:dyDescent="0.25">
      <c r="A133" s="149" t="s">
        <v>389</v>
      </c>
      <c r="B133" s="149" t="s">
        <v>390</v>
      </c>
      <c r="C133" s="150"/>
      <c r="D133" s="150"/>
      <c r="E133" s="150"/>
      <c r="F133" s="150"/>
      <c r="G133" s="150"/>
      <c r="H133" s="150"/>
      <c r="I133" s="150"/>
      <c r="J133" s="150"/>
      <c r="K133" s="156"/>
      <c r="L133" s="156"/>
      <c r="M133" s="156"/>
      <c r="N133" s="156"/>
      <c r="O133" s="156"/>
    </row>
    <row r="134" spans="1:15" x14ac:dyDescent="0.25">
      <c r="A134" s="150" t="s">
        <v>391</v>
      </c>
      <c r="B134" s="150" t="s">
        <v>392</v>
      </c>
      <c r="C134" s="150"/>
      <c r="D134" s="150"/>
      <c r="E134" s="150"/>
      <c r="F134" s="150"/>
      <c r="G134" s="150"/>
      <c r="H134" s="150"/>
      <c r="I134" s="150"/>
      <c r="J134" s="150"/>
      <c r="K134" s="156"/>
      <c r="L134" s="156"/>
      <c r="M134" s="156"/>
      <c r="N134" s="156"/>
      <c r="O134" s="156"/>
    </row>
    <row r="135" spans="1:15" x14ac:dyDescent="0.25">
      <c r="A135" s="149" t="s">
        <v>393</v>
      </c>
      <c r="B135" s="149" t="s">
        <v>394</v>
      </c>
      <c r="C135" s="150"/>
      <c r="D135" s="150"/>
      <c r="E135" s="150"/>
      <c r="F135" s="150"/>
      <c r="G135" s="150"/>
      <c r="H135" s="150"/>
      <c r="I135" s="150"/>
      <c r="J135" s="150"/>
      <c r="K135" s="156"/>
      <c r="L135" s="156"/>
      <c r="M135" s="156"/>
      <c r="N135" s="156"/>
      <c r="O135" s="156"/>
    </row>
    <row r="136" spans="1:15" x14ac:dyDescent="0.25">
      <c r="A136" s="150" t="s">
        <v>395</v>
      </c>
      <c r="B136" s="150" t="s">
        <v>396</v>
      </c>
      <c r="C136" s="150"/>
      <c r="D136" s="150"/>
      <c r="E136" s="150"/>
      <c r="F136" s="150"/>
      <c r="G136" s="150"/>
      <c r="H136" s="150"/>
      <c r="I136" s="150"/>
      <c r="J136" s="150"/>
      <c r="K136" s="156"/>
      <c r="L136" s="156"/>
      <c r="M136" s="156"/>
      <c r="N136" s="156"/>
      <c r="O136" s="156"/>
    </row>
    <row r="137" spans="1:15" x14ac:dyDescent="0.25">
      <c r="A137" s="149" t="s">
        <v>397</v>
      </c>
      <c r="B137" s="149" t="s">
        <v>398</v>
      </c>
      <c r="C137" s="150"/>
      <c r="D137" s="150"/>
      <c r="E137" s="150"/>
      <c r="F137" s="150"/>
      <c r="G137" s="150"/>
      <c r="H137" s="150"/>
      <c r="I137" s="150"/>
      <c r="J137" s="150"/>
      <c r="K137" s="156"/>
      <c r="L137" s="156"/>
      <c r="M137" s="156"/>
      <c r="N137" s="156"/>
      <c r="O137" s="156"/>
    </row>
    <row r="138" spans="1:15" x14ac:dyDescent="0.25">
      <c r="A138" s="150" t="s">
        <v>399</v>
      </c>
      <c r="B138" s="150" t="s">
        <v>400</v>
      </c>
      <c r="C138" s="150"/>
      <c r="D138" s="150"/>
      <c r="E138" s="150"/>
      <c r="F138" s="150"/>
      <c r="G138" s="150"/>
      <c r="H138" s="150"/>
      <c r="I138" s="150"/>
      <c r="J138" s="150"/>
      <c r="K138" s="156"/>
      <c r="L138" s="156"/>
      <c r="M138" s="156"/>
      <c r="N138" s="156"/>
      <c r="O138" s="156"/>
    </row>
    <row r="139" spans="1:15" x14ac:dyDescent="0.25">
      <c r="A139" s="149" t="s">
        <v>401</v>
      </c>
      <c r="B139" s="149" t="s">
        <v>402</v>
      </c>
      <c r="C139" s="150"/>
      <c r="D139" s="150"/>
      <c r="E139" s="150"/>
      <c r="F139" s="150"/>
      <c r="G139" s="150"/>
      <c r="H139" s="150"/>
      <c r="I139" s="150"/>
      <c r="J139" s="150"/>
      <c r="K139" s="156"/>
      <c r="L139" s="156"/>
      <c r="M139" s="156"/>
      <c r="N139" s="156"/>
      <c r="O139" s="156"/>
    </row>
    <row r="140" spans="1:15" x14ac:dyDescent="0.25">
      <c r="A140" s="150" t="s">
        <v>403</v>
      </c>
      <c r="B140" s="150" t="s">
        <v>404</v>
      </c>
      <c r="C140" s="150"/>
      <c r="D140" s="150"/>
      <c r="E140" s="150"/>
      <c r="F140" s="150"/>
      <c r="G140" s="150"/>
      <c r="H140" s="150"/>
      <c r="I140" s="150"/>
      <c r="J140" s="150"/>
      <c r="K140" s="156"/>
      <c r="L140" s="156"/>
      <c r="M140" s="156"/>
      <c r="N140" s="156"/>
      <c r="O140" s="156"/>
    </row>
    <row r="141" spans="1:15" x14ac:dyDescent="0.25">
      <c r="A141" s="149" t="s">
        <v>405</v>
      </c>
      <c r="B141" s="149" t="s">
        <v>406</v>
      </c>
      <c r="C141" s="150"/>
      <c r="D141" s="150"/>
      <c r="E141" s="150"/>
      <c r="F141" s="150"/>
      <c r="G141" s="150"/>
      <c r="H141" s="150"/>
      <c r="I141" s="150"/>
      <c r="J141" s="150"/>
      <c r="K141" s="156"/>
      <c r="L141" s="156"/>
      <c r="M141" s="156"/>
      <c r="N141" s="156"/>
      <c r="O141" s="156"/>
    </row>
    <row r="142" spans="1:15" x14ac:dyDescent="0.25">
      <c r="A142" s="150" t="s">
        <v>5192</v>
      </c>
      <c r="B142" s="150" t="s">
        <v>8162</v>
      </c>
      <c r="C142" s="150"/>
      <c r="D142" s="150"/>
      <c r="E142" s="150"/>
      <c r="F142" s="150"/>
      <c r="G142" s="150"/>
      <c r="H142" s="150"/>
      <c r="I142" s="150"/>
      <c r="J142" s="150"/>
      <c r="K142" s="156"/>
      <c r="L142" s="156"/>
      <c r="M142" s="156"/>
      <c r="N142" s="156"/>
      <c r="O142" s="156"/>
    </row>
    <row r="143" spans="1:15" x14ac:dyDescent="0.25">
      <c r="A143" s="149" t="s">
        <v>407</v>
      </c>
      <c r="B143" s="149" t="s">
        <v>408</v>
      </c>
      <c r="C143" s="150"/>
      <c r="D143" s="150"/>
      <c r="E143" s="150"/>
      <c r="F143" s="150"/>
      <c r="G143" s="150"/>
      <c r="H143" s="150"/>
      <c r="I143" s="150"/>
      <c r="J143" s="150"/>
      <c r="K143" s="156"/>
      <c r="L143" s="156"/>
      <c r="M143" s="156"/>
      <c r="N143" s="156"/>
      <c r="O143" s="156"/>
    </row>
    <row r="144" spans="1:15" x14ac:dyDescent="0.25">
      <c r="A144" s="150" t="s">
        <v>409</v>
      </c>
      <c r="B144" s="150" t="s">
        <v>410</v>
      </c>
      <c r="C144" s="150"/>
      <c r="D144" s="150"/>
      <c r="E144" s="150"/>
      <c r="F144" s="150"/>
      <c r="G144" s="150"/>
      <c r="H144" s="150"/>
      <c r="I144" s="150"/>
      <c r="J144" s="150"/>
      <c r="K144" s="156"/>
      <c r="L144" s="156"/>
      <c r="M144" s="156"/>
      <c r="N144" s="156"/>
      <c r="O144" s="156"/>
    </row>
    <row r="145" spans="1:15" x14ac:dyDescent="0.25">
      <c r="A145" s="149" t="s">
        <v>411</v>
      </c>
      <c r="B145" s="149" t="s">
        <v>412</v>
      </c>
      <c r="C145" s="150"/>
      <c r="D145" s="150"/>
      <c r="E145" s="150"/>
      <c r="F145" s="150"/>
      <c r="G145" s="150"/>
      <c r="H145" s="150"/>
      <c r="I145" s="150"/>
      <c r="J145" s="150"/>
      <c r="K145" s="156"/>
      <c r="L145" s="156"/>
      <c r="M145" s="156"/>
      <c r="N145" s="156"/>
      <c r="O145" s="156"/>
    </row>
    <row r="146" spans="1:15" x14ac:dyDescent="0.25">
      <c r="A146" s="150" t="s">
        <v>413</v>
      </c>
      <c r="B146" s="150" t="s">
        <v>414</v>
      </c>
      <c r="C146" s="150"/>
      <c r="D146" s="150"/>
      <c r="E146" s="150"/>
      <c r="F146" s="150"/>
      <c r="G146" s="150"/>
      <c r="H146" s="150"/>
      <c r="I146" s="150"/>
      <c r="J146" s="150"/>
      <c r="K146" s="156"/>
      <c r="L146" s="156"/>
      <c r="M146" s="156"/>
      <c r="N146" s="156"/>
      <c r="O146" s="156"/>
    </row>
    <row r="147" spans="1:15" x14ac:dyDescent="0.25">
      <c r="A147" s="149" t="s">
        <v>415</v>
      </c>
      <c r="B147" s="149" t="s">
        <v>5287</v>
      </c>
      <c r="C147" s="150"/>
      <c r="D147" s="150"/>
      <c r="E147" s="150"/>
      <c r="F147" s="150"/>
      <c r="G147" s="150"/>
      <c r="H147" s="150"/>
      <c r="I147" s="150"/>
      <c r="J147" s="150"/>
      <c r="K147" s="156"/>
      <c r="L147" s="156"/>
      <c r="M147" s="156"/>
      <c r="N147" s="156"/>
      <c r="O147" s="156"/>
    </row>
    <row r="148" spans="1:15" x14ac:dyDescent="0.25">
      <c r="A148" s="150" t="s">
        <v>416</v>
      </c>
      <c r="B148" s="150" t="s">
        <v>5288</v>
      </c>
      <c r="C148" s="150"/>
      <c r="D148" s="150"/>
      <c r="E148" s="150"/>
      <c r="F148" s="150"/>
      <c r="G148" s="150"/>
      <c r="H148" s="150"/>
      <c r="I148" s="150"/>
      <c r="J148" s="150"/>
      <c r="K148" s="156"/>
      <c r="L148" s="156"/>
      <c r="M148" s="156"/>
      <c r="N148" s="156"/>
      <c r="O148" s="156"/>
    </row>
    <row r="149" spans="1:15" x14ac:dyDescent="0.25">
      <c r="A149" s="149" t="s">
        <v>8163</v>
      </c>
      <c r="B149" s="149" t="s">
        <v>8164</v>
      </c>
      <c r="C149" s="150"/>
      <c r="D149" s="150"/>
      <c r="E149" s="150"/>
      <c r="F149" s="150"/>
      <c r="G149" s="150"/>
      <c r="H149" s="150"/>
      <c r="I149" s="150"/>
      <c r="J149" s="150"/>
      <c r="K149" s="156"/>
      <c r="L149" s="156"/>
      <c r="M149" s="156"/>
      <c r="N149" s="156"/>
      <c r="O149" s="156"/>
    </row>
    <row r="150" spans="1:15" x14ac:dyDescent="0.25">
      <c r="A150" s="150" t="s">
        <v>417</v>
      </c>
      <c r="B150" s="150" t="s">
        <v>418</v>
      </c>
      <c r="C150" s="150"/>
      <c r="D150" s="150"/>
      <c r="E150" s="150"/>
      <c r="F150" s="150"/>
      <c r="G150" s="150"/>
      <c r="H150" s="150"/>
      <c r="I150" s="150"/>
      <c r="J150" s="150"/>
      <c r="K150" s="156"/>
      <c r="L150" s="156"/>
      <c r="M150" s="156"/>
      <c r="N150" s="156"/>
      <c r="O150" s="156"/>
    </row>
    <row r="151" spans="1:15" x14ac:dyDescent="0.25">
      <c r="A151" s="149" t="s">
        <v>8165</v>
      </c>
      <c r="B151" s="149" t="s">
        <v>8166</v>
      </c>
      <c r="C151" s="150"/>
      <c r="D151" s="150"/>
      <c r="E151" s="150"/>
      <c r="F151" s="150"/>
      <c r="G151" s="150"/>
      <c r="H151" s="150"/>
      <c r="I151" s="150"/>
      <c r="J151" s="150"/>
      <c r="K151" s="156"/>
      <c r="L151" s="156"/>
      <c r="M151" s="156"/>
      <c r="N151" s="156"/>
      <c r="O151" s="156"/>
    </row>
    <row r="152" spans="1:15" x14ac:dyDescent="0.25">
      <c r="A152" s="150" t="s">
        <v>8167</v>
      </c>
      <c r="B152" s="150" t="s">
        <v>8168</v>
      </c>
      <c r="C152" s="150"/>
      <c r="D152" s="150"/>
      <c r="E152" s="150"/>
      <c r="F152" s="150"/>
      <c r="G152" s="150"/>
      <c r="H152" s="150"/>
      <c r="I152" s="150"/>
      <c r="J152" s="150"/>
      <c r="K152" s="156"/>
      <c r="L152" s="156"/>
      <c r="M152" s="156"/>
      <c r="N152" s="156"/>
      <c r="O152" s="156"/>
    </row>
    <row r="153" spans="1:15" x14ac:dyDescent="0.25">
      <c r="A153" s="149" t="s">
        <v>419</v>
      </c>
      <c r="B153" s="149" t="s">
        <v>8169</v>
      </c>
      <c r="C153" s="150"/>
      <c r="D153" s="150"/>
      <c r="E153" s="150"/>
      <c r="F153" s="150"/>
      <c r="G153" s="150"/>
      <c r="H153" s="150"/>
      <c r="I153" s="150"/>
      <c r="J153" s="150"/>
      <c r="K153" s="156"/>
      <c r="L153" s="156"/>
      <c r="M153" s="156"/>
      <c r="N153" s="156"/>
      <c r="O153" s="156"/>
    </row>
    <row r="154" spans="1:15" x14ac:dyDescent="0.25">
      <c r="A154" s="150" t="s">
        <v>420</v>
      </c>
      <c r="B154" s="150" t="s">
        <v>8170</v>
      </c>
      <c r="C154" s="150"/>
      <c r="D154" s="150"/>
      <c r="E154" s="150"/>
      <c r="F154" s="150"/>
      <c r="G154" s="150"/>
      <c r="H154" s="150"/>
      <c r="I154" s="150"/>
      <c r="J154" s="150"/>
      <c r="K154" s="156"/>
      <c r="L154" s="156"/>
      <c r="M154" s="156"/>
      <c r="N154" s="156"/>
      <c r="O154" s="156"/>
    </row>
    <row r="155" spans="1:15" x14ac:dyDescent="0.25">
      <c r="A155" s="149" t="s">
        <v>421</v>
      </c>
      <c r="B155" s="149" t="s">
        <v>8171</v>
      </c>
      <c r="C155" s="150"/>
      <c r="D155" s="150"/>
      <c r="E155" s="150"/>
      <c r="F155" s="150"/>
      <c r="G155" s="150"/>
      <c r="H155" s="150"/>
      <c r="I155" s="150"/>
      <c r="J155" s="150"/>
      <c r="K155" s="156"/>
      <c r="L155" s="156"/>
      <c r="M155" s="156"/>
      <c r="N155" s="156"/>
      <c r="O155" s="156"/>
    </row>
    <row r="156" spans="1:15" x14ac:dyDescent="0.25">
      <c r="A156" s="150" t="s">
        <v>422</v>
      </c>
      <c r="B156" s="150" t="s">
        <v>8172</v>
      </c>
      <c r="C156" s="150"/>
      <c r="D156" s="150"/>
      <c r="E156" s="150"/>
      <c r="F156" s="150"/>
      <c r="G156" s="150"/>
      <c r="H156" s="150"/>
      <c r="I156" s="150"/>
      <c r="J156" s="150"/>
      <c r="K156" s="156"/>
      <c r="L156" s="156"/>
      <c r="M156" s="156"/>
      <c r="N156" s="156"/>
      <c r="O156" s="156"/>
    </row>
    <row r="157" spans="1:15" x14ac:dyDescent="0.25">
      <c r="A157" s="149" t="s">
        <v>8173</v>
      </c>
      <c r="B157" s="149" t="s">
        <v>8174</v>
      </c>
      <c r="C157" s="150"/>
      <c r="D157" s="150"/>
      <c r="E157" s="150"/>
      <c r="F157" s="150"/>
      <c r="G157" s="150"/>
      <c r="H157" s="150"/>
      <c r="I157" s="150"/>
      <c r="J157" s="150"/>
      <c r="K157" s="156"/>
      <c r="L157" s="156"/>
      <c r="M157" s="156"/>
      <c r="N157" s="156"/>
      <c r="O157" s="156"/>
    </row>
    <row r="158" spans="1:15" x14ac:dyDescent="0.25">
      <c r="A158" s="150" t="s">
        <v>423</v>
      </c>
      <c r="B158" s="150" t="s">
        <v>424</v>
      </c>
      <c r="C158" s="150"/>
      <c r="D158" s="150"/>
      <c r="E158" s="150"/>
      <c r="F158" s="150"/>
      <c r="G158" s="150"/>
      <c r="H158" s="150"/>
      <c r="I158" s="150"/>
      <c r="J158" s="150"/>
      <c r="K158" s="156"/>
      <c r="L158" s="156"/>
      <c r="M158" s="156"/>
      <c r="N158" s="156"/>
      <c r="O158" s="156"/>
    </row>
    <row r="159" spans="1:15" x14ac:dyDescent="0.25">
      <c r="A159" s="149" t="s">
        <v>425</v>
      </c>
      <c r="B159" s="149" t="s">
        <v>8175</v>
      </c>
      <c r="C159" s="150"/>
      <c r="D159" s="150"/>
      <c r="E159" s="150"/>
      <c r="F159" s="150"/>
      <c r="G159" s="150"/>
      <c r="H159" s="150"/>
      <c r="I159" s="150"/>
      <c r="J159" s="150"/>
      <c r="K159" s="156"/>
      <c r="L159" s="156"/>
      <c r="M159" s="156"/>
      <c r="N159" s="156"/>
      <c r="O159" s="156"/>
    </row>
    <row r="160" spans="1:15" x14ac:dyDescent="0.25">
      <c r="A160" s="150" t="s">
        <v>426</v>
      </c>
      <c r="B160" s="150" t="s">
        <v>8176</v>
      </c>
      <c r="C160" s="150"/>
      <c r="D160" s="150"/>
      <c r="E160" s="150"/>
      <c r="F160" s="150"/>
      <c r="G160" s="150"/>
      <c r="H160" s="150"/>
      <c r="I160" s="150"/>
      <c r="J160" s="150"/>
      <c r="K160" s="156"/>
      <c r="L160" s="156"/>
      <c r="M160" s="156"/>
      <c r="N160" s="156"/>
      <c r="O160" s="156"/>
    </row>
    <row r="161" spans="1:15" x14ac:dyDescent="0.25">
      <c r="A161" s="149" t="s">
        <v>427</v>
      </c>
      <c r="B161" s="149" t="s">
        <v>8177</v>
      </c>
      <c r="C161" s="150"/>
      <c r="D161" s="150"/>
      <c r="E161" s="150"/>
      <c r="F161" s="150"/>
      <c r="G161" s="150"/>
      <c r="H161" s="150"/>
      <c r="I161" s="150"/>
      <c r="J161" s="150"/>
      <c r="K161" s="156"/>
      <c r="L161" s="156"/>
      <c r="M161" s="156"/>
      <c r="N161" s="156"/>
      <c r="O161" s="156"/>
    </row>
    <row r="162" spans="1:15" x14ac:dyDescent="0.25">
      <c r="A162" s="150" t="s">
        <v>428</v>
      </c>
      <c r="B162" s="150" t="s">
        <v>429</v>
      </c>
      <c r="C162" s="150"/>
      <c r="D162" s="150"/>
      <c r="E162" s="150"/>
      <c r="F162" s="150"/>
      <c r="G162" s="150"/>
      <c r="H162" s="150"/>
      <c r="I162" s="150"/>
      <c r="J162" s="150"/>
      <c r="K162" s="156"/>
      <c r="L162" s="156"/>
      <c r="M162" s="156"/>
      <c r="N162" s="156"/>
      <c r="O162" s="156"/>
    </row>
    <row r="163" spans="1:15" x14ac:dyDescent="0.25">
      <c r="A163" s="149" t="s">
        <v>430</v>
      </c>
      <c r="B163" s="149" t="s">
        <v>431</v>
      </c>
      <c r="C163" s="150"/>
      <c r="D163" s="150"/>
      <c r="E163" s="150"/>
      <c r="F163" s="150"/>
      <c r="G163" s="150"/>
      <c r="H163" s="150"/>
      <c r="I163" s="150"/>
      <c r="J163" s="150"/>
      <c r="K163" s="156"/>
      <c r="L163" s="156"/>
      <c r="M163" s="156"/>
      <c r="N163" s="156"/>
      <c r="O163" s="156"/>
    </row>
    <row r="164" spans="1:15" x14ac:dyDescent="0.25">
      <c r="A164" s="150" t="s">
        <v>432</v>
      </c>
      <c r="B164" s="150" t="s">
        <v>5289</v>
      </c>
      <c r="C164" s="150"/>
      <c r="D164" s="150"/>
      <c r="E164" s="150"/>
      <c r="F164" s="150"/>
      <c r="G164" s="150"/>
      <c r="H164" s="150"/>
      <c r="I164" s="150"/>
      <c r="J164" s="150"/>
      <c r="K164" s="156"/>
      <c r="L164" s="156"/>
      <c r="M164" s="156"/>
      <c r="N164" s="156"/>
      <c r="O164" s="156"/>
    </row>
    <row r="165" spans="1:15" x14ac:dyDescent="0.25">
      <c r="A165" s="149" t="s">
        <v>433</v>
      </c>
      <c r="B165" s="149" t="s">
        <v>8178</v>
      </c>
      <c r="C165" s="150"/>
      <c r="D165" s="150"/>
      <c r="E165" s="150"/>
      <c r="F165" s="150"/>
      <c r="G165" s="150"/>
      <c r="H165" s="150"/>
      <c r="I165" s="150"/>
      <c r="J165" s="150"/>
      <c r="K165" s="156"/>
      <c r="L165" s="156"/>
      <c r="M165" s="156"/>
      <c r="N165" s="156"/>
      <c r="O165" s="156"/>
    </row>
    <row r="166" spans="1:15" x14ac:dyDescent="0.25">
      <c r="A166" s="150" t="s">
        <v>434</v>
      </c>
      <c r="B166" s="150" t="s">
        <v>435</v>
      </c>
      <c r="C166" s="150"/>
      <c r="D166" s="150"/>
      <c r="E166" s="150"/>
      <c r="F166" s="150"/>
      <c r="G166" s="150"/>
      <c r="H166" s="150"/>
      <c r="I166" s="150"/>
      <c r="J166" s="150"/>
      <c r="K166" s="156"/>
      <c r="L166" s="156"/>
      <c r="M166" s="156"/>
      <c r="N166" s="156"/>
      <c r="O166" s="156"/>
    </row>
    <row r="167" spans="1:15" x14ac:dyDescent="0.25">
      <c r="A167" s="149" t="s">
        <v>436</v>
      </c>
      <c r="B167" s="149" t="s">
        <v>437</v>
      </c>
      <c r="C167" s="150"/>
      <c r="D167" s="150"/>
      <c r="E167" s="150"/>
      <c r="F167" s="150"/>
      <c r="G167" s="150"/>
      <c r="H167" s="150"/>
      <c r="I167" s="150"/>
      <c r="J167" s="150"/>
      <c r="K167" s="156"/>
      <c r="L167" s="156"/>
      <c r="M167" s="156"/>
      <c r="N167" s="156"/>
      <c r="O167" s="156"/>
    </row>
    <row r="168" spans="1:15" x14ac:dyDescent="0.25">
      <c r="A168" s="150" t="s">
        <v>438</v>
      </c>
      <c r="B168" s="150" t="s">
        <v>439</v>
      </c>
      <c r="C168" s="150"/>
      <c r="D168" s="150"/>
      <c r="E168" s="150"/>
      <c r="F168" s="150"/>
      <c r="G168" s="150"/>
      <c r="H168" s="150"/>
      <c r="I168" s="150"/>
      <c r="J168" s="150"/>
      <c r="K168" s="156"/>
      <c r="L168" s="156"/>
      <c r="M168" s="156"/>
      <c r="N168" s="156"/>
      <c r="O168" s="156"/>
    </row>
    <row r="169" spans="1:15" x14ac:dyDescent="0.25">
      <c r="A169" s="149" t="s">
        <v>440</v>
      </c>
      <c r="B169" s="149" t="s">
        <v>441</v>
      </c>
      <c r="C169" s="150"/>
      <c r="D169" s="150"/>
      <c r="E169" s="150"/>
      <c r="F169" s="150"/>
      <c r="G169" s="150"/>
      <c r="H169" s="150"/>
      <c r="I169" s="150"/>
      <c r="J169" s="150"/>
      <c r="K169" s="156"/>
      <c r="L169" s="156"/>
      <c r="M169" s="156"/>
      <c r="N169" s="156"/>
      <c r="O169" s="156"/>
    </row>
    <row r="170" spans="1:15" x14ac:dyDescent="0.25">
      <c r="A170" s="150" t="s">
        <v>442</v>
      </c>
      <c r="B170" s="150" t="s">
        <v>443</v>
      </c>
      <c r="C170" s="150"/>
      <c r="D170" s="150"/>
      <c r="E170" s="150"/>
      <c r="F170" s="150"/>
      <c r="G170" s="150"/>
      <c r="H170" s="150"/>
      <c r="I170" s="150"/>
      <c r="J170" s="150"/>
      <c r="K170" s="156"/>
      <c r="L170" s="156"/>
      <c r="M170" s="156"/>
      <c r="N170" s="156"/>
      <c r="O170" s="156"/>
    </row>
    <row r="171" spans="1:15" x14ac:dyDescent="0.25">
      <c r="A171" s="149" t="s">
        <v>444</v>
      </c>
      <c r="B171" s="149" t="s">
        <v>445</v>
      </c>
      <c r="C171" s="150"/>
      <c r="D171" s="150"/>
      <c r="E171" s="150"/>
      <c r="F171" s="150"/>
      <c r="G171" s="150"/>
      <c r="H171" s="150"/>
      <c r="I171" s="150"/>
      <c r="J171" s="150"/>
      <c r="K171" s="156"/>
      <c r="L171" s="156"/>
      <c r="M171" s="156"/>
      <c r="N171" s="156"/>
      <c r="O171" s="156"/>
    </row>
    <row r="172" spans="1:15" x14ac:dyDescent="0.25">
      <c r="A172" s="150" t="s">
        <v>446</v>
      </c>
      <c r="B172" s="150" t="s">
        <v>8179</v>
      </c>
      <c r="C172" s="150"/>
      <c r="D172" s="150"/>
      <c r="E172" s="150"/>
      <c r="F172" s="150"/>
      <c r="G172" s="150"/>
      <c r="H172" s="150"/>
      <c r="I172" s="150"/>
      <c r="J172" s="150"/>
      <c r="K172" s="156"/>
      <c r="L172" s="156"/>
      <c r="M172" s="156"/>
      <c r="N172" s="156"/>
      <c r="O172" s="156"/>
    </row>
    <row r="173" spans="1:15" x14ac:dyDescent="0.25">
      <c r="A173" s="149" t="s">
        <v>447</v>
      </c>
      <c r="B173" s="149" t="s">
        <v>448</v>
      </c>
      <c r="C173" s="150"/>
      <c r="D173" s="150"/>
      <c r="E173" s="150"/>
      <c r="F173" s="150"/>
      <c r="G173" s="150"/>
      <c r="H173" s="150"/>
      <c r="I173" s="150"/>
      <c r="J173" s="150"/>
      <c r="K173" s="156"/>
      <c r="L173" s="156"/>
      <c r="M173" s="156"/>
      <c r="N173" s="156"/>
      <c r="O173" s="156"/>
    </row>
    <row r="174" spans="1:15" x14ac:dyDescent="0.25">
      <c r="A174" s="150" t="s">
        <v>449</v>
      </c>
      <c r="B174" s="150" t="s">
        <v>8180</v>
      </c>
      <c r="C174" s="150"/>
      <c r="D174" s="150"/>
      <c r="E174" s="150"/>
      <c r="F174" s="150"/>
      <c r="G174" s="150"/>
      <c r="H174" s="150"/>
      <c r="I174" s="150"/>
      <c r="J174" s="150"/>
      <c r="K174" s="156"/>
      <c r="L174" s="156"/>
      <c r="M174" s="156"/>
      <c r="N174" s="156"/>
      <c r="O174" s="156"/>
    </row>
    <row r="175" spans="1:15" x14ac:dyDescent="0.25">
      <c r="A175" s="149" t="s">
        <v>8181</v>
      </c>
      <c r="B175" s="149" t="s">
        <v>8182</v>
      </c>
      <c r="C175" s="150"/>
      <c r="D175" s="150"/>
      <c r="E175" s="150"/>
      <c r="F175" s="150"/>
      <c r="G175" s="150"/>
      <c r="H175" s="150"/>
      <c r="I175" s="150"/>
      <c r="J175" s="150"/>
      <c r="K175" s="156"/>
      <c r="L175" s="156"/>
      <c r="M175" s="156"/>
      <c r="N175" s="156"/>
      <c r="O175" s="156"/>
    </row>
    <row r="176" spans="1:15" x14ac:dyDescent="0.25">
      <c r="A176" s="150" t="s">
        <v>450</v>
      </c>
      <c r="B176" s="150" t="s">
        <v>451</v>
      </c>
      <c r="C176" s="150"/>
      <c r="D176" s="150"/>
      <c r="E176" s="150"/>
      <c r="F176" s="150"/>
      <c r="G176" s="150"/>
      <c r="H176" s="150"/>
      <c r="I176" s="150"/>
      <c r="J176" s="150"/>
      <c r="K176" s="156"/>
      <c r="L176" s="156"/>
      <c r="M176" s="156"/>
      <c r="N176" s="156"/>
      <c r="O176" s="156"/>
    </row>
    <row r="177" spans="1:15" x14ac:dyDescent="0.25">
      <c r="A177" s="149" t="s">
        <v>452</v>
      </c>
      <c r="B177" s="149" t="s">
        <v>453</v>
      </c>
      <c r="C177" s="150"/>
      <c r="D177" s="150"/>
      <c r="E177" s="150"/>
      <c r="F177" s="150"/>
      <c r="G177" s="150"/>
      <c r="H177" s="150"/>
      <c r="I177" s="150"/>
      <c r="J177" s="150"/>
      <c r="K177" s="156"/>
      <c r="L177" s="156"/>
      <c r="M177" s="156"/>
      <c r="N177" s="156"/>
      <c r="O177" s="156"/>
    </row>
    <row r="178" spans="1:15" x14ac:dyDescent="0.25">
      <c r="A178" s="150" t="s">
        <v>454</v>
      </c>
      <c r="B178" s="150" t="s">
        <v>455</v>
      </c>
      <c r="C178" s="150"/>
      <c r="D178" s="150"/>
      <c r="E178" s="150"/>
      <c r="F178" s="150"/>
      <c r="G178" s="150"/>
      <c r="H178" s="150"/>
      <c r="I178" s="150"/>
      <c r="J178" s="150"/>
      <c r="K178" s="156"/>
      <c r="L178" s="156"/>
      <c r="M178" s="156"/>
      <c r="N178" s="156"/>
      <c r="O178" s="156"/>
    </row>
    <row r="179" spans="1:15" x14ac:dyDescent="0.25">
      <c r="A179" s="149" t="s">
        <v>456</v>
      </c>
      <c r="B179" s="149" t="s">
        <v>457</v>
      </c>
      <c r="C179" s="150"/>
      <c r="D179" s="150"/>
      <c r="E179" s="150"/>
      <c r="F179" s="150"/>
      <c r="G179" s="150"/>
      <c r="H179" s="150"/>
      <c r="I179" s="150"/>
      <c r="J179" s="150"/>
      <c r="K179" s="156"/>
      <c r="L179" s="156"/>
      <c r="M179" s="156"/>
      <c r="N179" s="156"/>
      <c r="O179" s="156"/>
    </row>
    <row r="180" spans="1:15" x14ac:dyDescent="0.25">
      <c r="A180" s="150" t="s">
        <v>458</v>
      </c>
      <c r="B180" s="150" t="s">
        <v>459</v>
      </c>
      <c r="C180" s="150"/>
      <c r="D180" s="150"/>
      <c r="E180" s="150"/>
      <c r="F180" s="150"/>
      <c r="G180" s="150"/>
      <c r="H180" s="150"/>
      <c r="I180" s="150"/>
      <c r="J180" s="150"/>
      <c r="K180" s="156"/>
      <c r="L180" s="156"/>
      <c r="M180" s="156"/>
      <c r="N180" s="156"/>
      <c r="O180" s="156"/>
    </row>
    <row r="181" spans="1:15" x14ac:dyDescent="0.25">
      <c r="A181" s="149" t="s">
        <v>460</v>
      </c>
      <c r="B181" s="149" t="s">
        <v>461</v>
      </c>
      <c r="C181" s="150"/>
      <c r="D181" s="150"/>
      <c r="E181" s="150"/>
      <c r="F181" s="150"/>
      <c r="G181" s="150"/>
      <c r="H181" s="150"/>
      <c r="I181" s="150"/>
      <c r="J181" s="150"/>
      <c r="K181" s="156"/>
      <c r="L181" s="156"/>
      <c r="M181" s="156"/>
      <c r="N181" s="156"/>
      <c r="O181" s="156"/>
    </row>
    <row r="182" spans="1:15" x14ac:dyDescent="0.25">
      <c r="A182" s="150" t="s">
        <v>462</v>
      </c>
      <c r="B182" s="150" t="s">
        <v>463</v>
      </c>
      <c r="C182" s="150"/>
      <c r="D182" s="150"/>
      <c r="E182" s="150"/>
      <c r="F182" s="150"/>
      <c r="G182" s="150"/>
      <c r="H182" s="150"/>
      <c r="I182" s="150"/>
      <c r="J182" s="150"/>
      <c r="K182" s="156"/>
      <c r="L182" s="156"/>
      <c r="M182" s="156"/>
      <c r="N182" s="156"/>
      <c r="O182" s="156"/>
    </row>
    <row r="183" spans="1:15" x14ac:dyDescent="0.25">
      <c r="A183" s="149" t="s">
        <v>464</v>
      </c>
      <c r="B183" s="149" t="s">
        <v>465</v>
      </c>
      <c r="C183" s="150"/>
      <c r="D183" s="150"/>
      <c r="E183" s="150"/>
      <c r="F183" s="150"/>
      <c r="G183" s="150"/>
      <c r="H183" s="150"/>
      <c r="I183" s="150"/>
      <c r="J183" s="150"/>
      <c r="K183" s="156"/>
      <c r="L183" s="156"/>
      <c r="M183" s="156"/>
      <c r="N183" s="156"/>
      <c r="O183" s="156"/>
    </row>
    <row r="184" spans="1:15" x14ac:dyDescent="0.25">
      <c r="A184" s="150" t="s">
        <v>5337</v>
      </c>
      <c r="B184" s="150" t="s">
        <v>8183</v>
      </c>
      <c r="C184" s="150"/>
      <c r="D184" s="150"/>
      <c r="E184" s="150"/>
      <c r="F184" s="150"/>
      <c r="G184" s="150"/>
      <c r="H184" s="150"/>
      <c r="I184" s="150"/>
      <c r="J184" s="150"/>
      <c r="K184" s="156"/>
      <c r="L184" s="156"/>
      <c r="M184" s="156"/>
      <c r="N184" s="156"/>
      <c r="O184" s="156"/>
    </row>
    <row r="185" spans="1:15" x14ac:dyDescent="0.25">
      <c r="A185" s="149" t="s">
        <v>466</v>
      </c>
      <c r="B185" s="149" t="s">
        <v>467</v>
      </c>
      <c r="C185" s="150"/>
      <c r="D185" s="150"/>
      <c r="E185" s="150"/>
      <c r="F185" s="150"/>
      <c r="G185" s="150"/>
      <c r="H185" s="150"/>
      <c r="I185" s="150"/>
      <c r="J185" s="150"/>
      <c r="K185" s="156"/>
      <c r="L185" s="156"/>
      <c r="M185" s="156"/>
      <c r="N185" s="156"/>
      <c r="O185" s="156"/>
    </row>
    <row r="186" spans="1:15" x14ac:dyDescent="0.25">
      <c r="A186" s="150" t="s">
        <v>468</v>
      </c>
      <c r="B186" s="150" t="s">
        <v>469</v>
      </c>
      <c r="C186" s="150"/>
      <c r="D186" s="150"/>
      <c r="E186" s="150"/>
      <c r="F186" s="150"/>
      <c r="G186" s="150"/>
      <c r="H186" s="150"/>
      <c r="I186" s="150"/>
      <c r="J186" s="150"/>
      <c r="K186" s="156"/>
      <c r="L186" s="156"/>
      <c r="M186" s="156"/>
      <c r="N186" s="156"/>
      <c r="O186" s="156"/>
    </row>
    <row r="187" spans="1:15" x14ac:dyDescent="0.25">
      <c r="A187" s="149" t="s">
        <v>470</v>
      </c>
      <c r="B187" s="149" t="s">
        <v>471</v>
      </c>
      <c r="C187" s="150"/>
      <c r="D187" s="150"/>
      <c r="E187" s="150"/>
      <c r="F187" s="150"/>
      <c r="G187" s="150"/>
      <c r="H187" s="150"/>
      <c r="I187" s="150"/>
      <c r="J187" s="150"/>
      <c r="K187" s="156"/>
      <c r="L187" s="156"/>
      <c r="M187" s="156"/>
      <c r="N187" s="156"/>
      <c r="O187" s="156"/>
    </row>
    <row r="188" spans="1:15" x14ac:dyDescent="0.25">
      <c r="A188" s="150" t="s">
        <v>472</v>
      </c>
      <c r="B188" s="150" t="s">
        <v>473</v>
      </c>
      <c r="C188" s="150"/>
      <c r="D188" s="150"/>
      <c r="E188" s="150"/>
      <c r="F188" s="150"/>
      <c r="G188" s="150"/>
      <c r="H188" s="150"/>
      <c r="I188" s="150"/>
      <c r="J188" s="150"/>
      <c r="K188" s="156"/>
      <c r="L188" s="156"/>
      <c r="M188" s="156"/>
      <c r="N188" s="156"/>
      <c r="O188" s="156"/>
    </row>
    <row r="189" spans="1:15" x14ac:dyDescent="0.25">
      <c r="A189" s="149" t="s">
        <v>474</v>
      </c>
      <c r="B189" s="149" t="s">
        <v>475</v>
      </c>
      <c r="C189" s="150"/>
      <c r="D189" s="150"/>
      <c r="E189" s="150"/>
      <c r="F189" s="150"/>
      <c r="G189" s="150"/>
      <c r="H189" s="150"/>
      <c r="I189" s="150"/>
      <c r="J189" s="150"/>
      <c r="K189" s="156"/>
      <c r="L189" s="156"/>
      <c r="M189" s="156"/>
      <c r="N189" s="156"/>
      <c r="O189" s="156"/>
    </row>
    <row r="190" spans="1:15" x14ac:dyDescent="0.25">
      <c r="A190" s="150" t="s">
        <v>476</v>
      </c>
      <c r="B190" s="150" t="s">
        <v>8184</v>
      </c>
      <c r="C190" s="150"/>
      <c r="D190" s="150"/>
      <c r="E190" s="150"/>
      <c r="F190" s="150"/>
      <c r="G190" s="150"/>
      <c r="H190" s="150"/>
      <c r="I190" s="150"/>
      <c r="J190" s="150"/>
      <c r="K190" s="156"/>
      <c r="L190" s="156"/>
      <c r="M190" s="156"/>
      <c r="N190" s="156"/>
      <c r="O190" s="156"/>
    </row>
    <row r="191" spans="1:15" x14ac:dyDescent="0.25">
      <c r="A191" s="149" t="s">
        <v>477</v>
      </c>
      <c r="B191" s="149" t="s">
        <v>8185</v>
      </c>
      <c r="C191" s="150"/>
      <c r="D191" s="150"/>
      <c r="E191" s="150"/>
      <c r="F191" s="150"/>
      <c r="G191" s="150"/>
      <c r="H191" s="150"/>
      <c r="I191" s="150"/>
      <c r="J191" s="150"/>
      <c r="K191" s="156"/>
      <c r="L191" s="156"/>
      <c r="M191" s="156"/>
      <c r="N191" s="156"/>
      <c r="O191" s="156"/>
    </row>
    <row r="192" spans="1:15" x14ac:dyDescent="0.25">
      <c r="A192" s="150" t="s">
        <v>478</v>
      </c>
      <c r="B192" s="150" t="s">
        <v>8186</v>
      </c>
      <c r="C192" s="150"/>
      <c r="D192" s="150"/>
      <c r="E192" s="150"/>
      <c r="F192" s="150"/>
      <c r="G192" s="150"/>
      <c r="H192" s="150"/>
      <c r="I192" s="150"/>
      <c r="J192" s="150"/>
      <c r="K192" s="156"/>
      <c r="L192" s="156"/>
      <c r="M192" s="156"/>
      <c r="N192" s="156"/>
      <c r="O192" s="156"/>
    </row>
    <row r="193" spans="1:15" x14ac:dyDescent="0.25">
      <c r="A193" s="149" t="s">
        <v>479</v>
      </c>
      <c r="B193" s="149" t="s">
        <v>480</v>
      </c>
      <c r="C193" s="150"/>
      <c r="D193" s="150"/>
      <c r="E193" s="150"/>
      <c r="F193" s="150"/>
      <c r="G193" s="150"/>
      <c r="H193" s="150"/>
      <c r="I193" s="150"/>
      <c r="J193" s="150"/>
      <c r="K193" s="156"/>
      <c r="L193" s="156"/>
      <c r="M193" s="156"/>
      <c r="N193" s="156"/>
      <c r="O193" s="156"/>
    </row>
    <row r="194" spans="1:15" x14ac:dyDescent="0.25">
      <c r="A194" s="150" t="s">
        <v>481</v>
      </c>
      <c r="B194" s="150" t="s">
        <v>482</v>
      </c>
      <c r="C194" s="150"/>
      <c r="D194" s="150"/>
      <c r="E194" s="150"/>
      <c r="F194" s="150"/>
      <c r="G194" s="150"/>
      <c r="H194" s="150"/>
      <c r="I194" s="150"/>
      <c r="J194" s="150"/>
      <c r="K194" s="156"/>
      <c r="L194" s="156"/>
      <c r="M194" s="156"/>
      <c r="N194" s="156"/>
      <c r="O194" s="156"/>
    </row>
    <row r="195" spans="1:15" x14ac:dyDescent="0.25">
      <c r="A195" s="149" t="s">
        <v>5347</v>
      </c>
      <c r="B195" s="149" t="s">
        <v>8187</v>
      </c>
      <c r="C195" s="150"/>
      <c r="D195" s="150"/>
      <c r="E195" s="150"/>
      <c r="F195" s="150"/>
      <c r="G195" s="150"/>
      <c r="H195" s="150"/>
      <c r="I195" s="150"/>
      <c r="J195" s="150"/>
      <c r="K195" s="156"/>
      <c r="L195" s="156"/>
      <c r="M195" s="156"/>
      <c r="N195" s="156"/>
      <c r="O195" s="156"/>
    </row>
    <row r="196" spans="1:15" x14ac:dyDescent="0.25">
      <c r="A196" s="150" t="s">
        <v>483</v>
      </c>
      <c r="B196" s="150" t="s">
        <v>484</v>
      </c>
      <c r="C196" s="150"/>
      <c r="D196" s="150"/>
      <c r="E196" s="150"/>
      <c r="F196" s="150"/>
      <c r="G196" s="150"/>
      <c r="H196" s="150"/>
      <c r="I196" s="150"/>
      <c r="J196" s="150"/>
      <c r="K196" s="156"/>
      <c r="L196" s="156"/>
      <c r="M196" s="156"/>
      <c r="N196" s="156"/>
      <c r="O196" s="156"/>
    </row>
    <row r="197" spans="1:15" x14ac:dyDescent="0.25">
      <c r="A197" s="149" t="s">
        <v>8188</v>
      </c>
      <c r="B197" s="149" t="s">
        <v>8189</v>
      </c>
      <c r="C197" s="150"/>
      <c r="D197" s="150"/>
      <c r="E197" s="150"/>
      <c r="F197" s="150"/>
      <c r="G197" s="150"/>
      <c r="H197" s="150"/>
      <c r="I197" s="150"/>
      <c r="J197" s="150"/>
      <c r="K197" s="156"/>
      <c r="L197" s="156"/>
      <c r="M197" s="156"/>
      <c r="N197" s="156"/>
      <c r="O197" s="156"/>
    </row>
    <row r="198" spans="1:15" x14ac:dyDescent="0.25">
      <c r="A198" s="150" t="s">
        <v>8190</v>
      </c>
      <c r="B198" s="150" t="s">
        <v>8191</v>
      </c>
      <c r="C198" s="150"/>
      <c r="D198" s="150"/>
      <c r="E198" s="150"/>
      <c r="F198" s="150"/>
      <c r="G198" s="150"/>
      <c r="H198" s="150"/>
      <c r="I198" s="150"/>
      <c r="J198" s="150"/>
      <c r="K198" s="156"/>
      <c r="L198" s="156"/>
      <c r="M198" s="156"/>
      <c r="N198" s="156"/>
      <c r="O198" s="156"/>
    </row>
    <row r="199" spans="1:15" x14ac:dyDescent="0.25">
      <c r="A199" s="149" t="s">
        <v>485</v>
      </c>
      <c r="B199" s="149" t="s">
        <v>486</v>
      </c>
      <c r="C199" s="150"/>
      <c r="D199" s="150"/>
      <c r="E199" s="150"/>
      <c r="F199" s="150"/>
      <c r="G199" s="150"/>
      <c r="H199" s="150"/>
      <c r="I199" s="150"/>
      <c r="J199" s="150"/>
      <c r="K199" s="156"/>
      <c r="L199" s="156"/>
      <c r="M199" s="156"/>
      <c r="N199" s="156"/>
      <c r="O199" s="156"/>
    </row>
    <row r="200" spans="1:15" x14ac:dyDescent="0.25">
      <c r="A200" s="150" t="s">
        <v>487</v>
      </c>
      <c r="B200" s="150" t="s">
        <v>488</v>
      </c>
      <c r="C200" s="150"/>
      <c r="D200" s="150"/>
      <c r="E200" s="150"/>
      <c r="F200" s="150"/>
      <c r="G200" s="150"/>
      <c r="H200" s="150"/>
      <c r="I200" s="150"/>
      <c r="J200" s="150"/>
      <c r="K200" s="156"/>
      <c r="L200" s="156"/>
      <c r="M200" s="156"/>
      <c r="N200" s="156"/>
      <c r="O200" s="156"/>
    </row>
    <row r="201" spans="1:15" x14ac:dyDescent="0.25">
      <c r="A201" s="149" t="s">
        <v>489</v>
      </c>
      <c r="B201" s="149" t="s">
        <v>490</v>
      </c>
      <c r="C201" s="150"/>
      <c r="D201" s="150"/>
      <c r="E201" s="150"/>
      <c r="F201" s="150"/>
      <c r="G201" s="150"/>
      <c r="H201" s="150"/>
      <c r="I201" s="150"/>
      <c r="J201" s="150"/>
      <c r="K201" s="156"/>
      <c r="L201" s="156"/>
      <c r="M201" s="156"/>
      <c r="N201" s="156"/>
      <c r="O201" s="156"/>
    </row>
    <row r="202" spans="1:15" x14ac:dyDescent="0.25">
      <c r="A202" s="150" t="s">
        <v>491</v>
      </c>
      <c r="B202" s="150" t="s">
        <v>492</v>
      </c>
      <c r="C202" s="150"/>
      <c r="D202" s="150"/>
      <c r="E202" s="150"/>
      <c r="F202" s="150"/>
      <c r="G202" s="150"/>
      <c r="H202" s="150"/>
      <c r="I202" s="150"/>
      <c r="J202" s="150"/>
      <c r="K202" s="156"/>
      <c r="L202" s="156"/>
      <c r="M202" s="156"/>
      <c r="N202" s="156"/>
      <c r="O202" s="156"/>
    </row>
    <row r="203" spans="1:15" x14ac:dyDescent="0.25">
      <c r="A203" s="149" t="s">
        <v>493</v>
      </c>
      <c r="B203" s="149" t="s">
        <v>494</v>
      </c>
      <c r="C203" s="150"/>
      <c r="D203" s="150"/>
      <c r="E203" s="150"/>
      <c r="F203" s="150"/>
      <c r="G203" s="150"/>
      <c r="H203" s="150"/>
      <c r="I203" s="150"/>
      <c r="J203" s="150"/>
      <c r="K203" s="156"/>
      <c r="L203" s="156"/>
      <c r="M203" s="156"/>
      <c r="N203" s="156"/>
      <c r="O203" s="156"/>
    </row>
    <row r="204" spans="1:15" x14ac:dyDescent="0.25">
      <c r="A204" s="150" t="s">
        <v>495</v>
      </c>
      <c r="B204" s="150" t="s">
        <v>496</v>
      </c>
      <c r="C204" s="150"/>
      <c r="D204" s="150"/>
      <c r="E204" s="150"/>
      <c r="F204" s="150"/>
      <c r="G204" s="150"/>
      <c r="H204" s="150"/>
      <c r="I204" s="150"/>
      <c r="J204" s="150"/>
      <c r="K204" s="156"/>
      <c r="L204" s="156"/>
      <c r="M204" s="156"/>
      <c r="N204" s="156"/>
      <c r="O204" s="156"/>
    </row>
    <row r="205" spans="1:15" x14ac:dyDescent="0.25">
      <c r="A205" s="149" t="s">
        <v>497</v>
      </c>
      <c r="B205" s="149" t="s">
        <v>8192</v>
      </c>
      <c r="C205" s="150"/>
      <c r="D205" s="150"/>
      <c r="E205" s="150"/>
      <c r="F205" s="150"/>
      <c r="G205" s="150"/>
      <c r="H205" s="150"/>
      <c r="I205" s="150"/>
      <c r="J205" s="150"/>
      <c r="K205" s="156"/>
      <c r="L205" s="156"/>
      <c r="M205" s="156"/>
      <c r="N205" s="156"/>
      <c r="O205" s="156"/>
    </row>
    <row r="206" spans="1:15" x14ac:dyDescent="0.25">
      <c r="A206" s="150" t="s">
        <v>498</v>
      </c>
      <c r="B206" s="150" t="s">
        <v>499</v>
      </c>
      <c r="C206" s="150"/>
      <c r="D206" s="150"/>
      <c r="E206" s="150"/>
      <c r="F206" s="150"/>
      <c r="G206" s="150"/>
      <c r="H206" s="150"/>
      <c r="I206" s="150"/>
      <c r="J206" s="150"/>
      <c r="K206" s="156"/>
      <c r="L206" s="156"/>
      <c r="M206" s="156"/>
      <c r="N206" s="156"/>
      <c r="O206" s="156"/>
    </row>
    <row r="207" spans="1:15" x14ac:dyDescent="0.25">
      <c r="A207" s="149" t="s">
        <v>500</v>
      </c>
      <c r="B207" s="149" t="s">
        <v>501</v>
      </c>
      <c r="C207" s="150"/>
      <c r="D207" s="150"/>
      <c r="E207" s="150"/>
      <c r="F207" s="150"/>
      <c r="G207" s="150"/>
      <c r="H207" s="150"/>
      <c r="I207" s="150"/>
      <c r="J207" s="150"/>
      <c r="K207" s="156"/>
      <c r="L207" s="156"/>
      <c r="M207" s="156"/>
      <c r="N207" s="156"/>
      <c r="O207" s="156"/>
    </row>
    <row r="208" spans="1:15" x14ac:dyDescent="0.25">
      <c r="A208" s="150" t="s">
        <v>502</v>
      </c>
      <c r="B208" s="150" t="s">
        <v>8193</v>
      </c>
      <c r="C208" s="150"/>
      <c r="D208" s="150"/>
      <c r="E208" s="150"/>
      <c r="F208" s="150"/>
      <c r="G208" s="150"/>
      <c r="H208" s="150"/>
      <c r="I208" s="150"/>
      <c r="J208" s="150"/>
      <c r="K208" s="156"/>
      <c r="L208" s="156"/>
      <c r="M208" s="156"/>
      <c r="N208" s="156"/>
      <c r="O208" s="156"/>
    </row>
    <row r="209" spans="1:15" x14ac:dyDescent="0.25">
      <c r="A209" s="149" t="s">
        <v>503</v>
      </c>
      <c r="B209" s="149" t="s">
        <v>504</v>
      </c>
      <c r="C209" s="150"/>
      <c r="D209" s="150"/>
      <c r="E209" s="150"/>
      <c r="F209" s="150"/>
      <c r="G209" s="150"/>
      <c r="H209" s="150"/>
      <c r="I209" s="150"/>
      <c r="J209" s="150"/>
      <c r="K209" s="156"/>
      <c r="L209" s="156"/>
      <c r="M209" s="156"/>
      <c r="N209" s="156"/>
      <c r="O209" s="156"/>
    </row>
    <row r="210" spans="1:15" x14ac:dyDescent="0.25">
      <c r="A210" s="150" t="s">
        <v>505</v>
      </c>
      <c r="B210" s="150" t="s">
        <v>506</v>
      </c>
      <c r="C210" s="150"/>
      <c r="D210" s="150"/>
      <c r="E210" s="150"/>
      <c r="F210" s="150"/>
      <c r="G210" s="150"/>
      <c r="H210" s="150"/>
      <c r="I210" s="150"/>
      <c r="J210" s="150"/>
      <c r="K210" s="156"/>
      <c r="L210" s="156"/>
      <c r="M210" s="156"/>
      <c r="N210" s="156"/>
      <c r="O210" s="156"/>
    </row>
    <row r="211" spans="1:15" x14ac:dyDescent="0.25">
      <c r="A211" s="149" t="s">
        <v>507</v>
      </c>
      <c r="B211" s="149" t="s">
        <v>508</v>
      </c>
      <c r="C211" s="150"/>
      <c r="D211" s="150"/>
      <c r="E211" s="150"/>
      <c r="F211" s="150"/>
      <c r="G211" s="150"/>
      <c r="H211" s="150"/>
      <c r="I211" s="150"/>
      <c r="J211" s="150"/>
      <c r="K211" s="156"/>
      <c r="L211" s="156"/>
      <c r="M211" s="156"/>
      <c r="N211" s="156"/>
      <c r="O211" s="156"/>
    </row>
    <row r="212" spans="1:15" x14ac:dyDescent="0.25">
      <c r="A212" s="150" t="s">
        <v>509</v>
      </c>
      <c r="B212" s="150" t="s">
        <v>510</v>
      </c>
      <c r="C212" s="150"/>
      <c r="D212" s="150"/>
      <c r="E212" s="150"/>
      <c r="F212" s="150"/>
      <c r="G212" s="150"/>
      <c r="H212" s="150"/>
      <c r="I212" s="150"/>
      <c r="J212" s="150"/>
      <c r="K212" s="156"/>
      <c r="L212" s="156"/>
      <c r="M212" s="156"/>
      <c r="N212" s="156"/>
      <c r="O212" s="156"/>
    </row>
    <row r="213" spans="1:15" x14ac:dyDescent="0.25">
      <c r="A213" s="149" t="s">
        <v>511</v>
      </c>
      <c r="B213" s="149" t="s">
        <v>8194</v>
      </c>
      <c r="C213" s="150"/>
      <c r="D213" s="150"/>
      <c r="E213" s="150"/>
      <c r="F213" s="150"/>
      <c r="G213" s="150"/>
      <c r="H213" s="150"/>
      <c r="I213" s="150"/>
      <c r="J213" s="150"/>
      <c r="K213" s="156"/>
      <c r="L213" s="156"/>
      <c r="M213" s="156"/>
      <c r="N213" s="156"/>
      <c r="O213" s="156"/>
    </row>
    <row r="214" spans="1:15" x14ac:dyDescent="0.25">
      <c r="A214" s="150" t="s">
        <v>512</v>
      </c>
      <c r="B214" s="150" t="s">
        <v>8195</v>
      </c>
      <c r="C214" s="150"/>
      <c r="D214" s="150"/>
      <c r="E214" s="150"/>
      <c r="F214" s="150"/>
      <c r="G214" s="150"/>
      <c r="H214" s="150"/>
      <c r="I214" s="150"/>
      <c r="J214" s="150"/>
      <c r="K214" s="156"/>
      <c r="L214" s="156"/>
      <c r="M214" s="156"/>
      <c r="N214" s="156"/>
      <c r="O214" s="156"/>
    </row>
    <row r="215" spans="1:15" x14ac:dyDescent="0.25">
      <c r="A215" s="149" t="s">
        <v>513</v>
      </c>
      <c r="B215" s="149" t="s">
        <v>514</v>
      </c>
      <c r="C215" s="150"/>
      <c r="D215" s="150"/>
      <c r="E215" s="150"/>
      <c r="F215" s="150"/>
      <c r="G215" s="150"/>
      <c r="H215" s="150"/>
      <c r="I215" s="150"/>
      <c r="J215" s="150"/>
      <c r="K215" s="156"/>
      <c r="L215" s="156"/>
      <c r="M215" s="156"/>
      <c r="N215" s="156"/>
      <c r="O215" s="156"/>
    </row>
    <row r="216" spans="1:15" x14ac:dyDescent="0.25">
      <c r="A216" s="150" t="s">
        <v>515</v>
      </c>
      <c r="B216" s="150" t="s">
        <v>516</v>
      </c>
      <c r="C216" s="150"/>
      <c r="D216" s="150"/>
      <c r="E216" s="150"/>
      <c r="F216" s="150"/>
      <c r="G216" s="150"/>
      <c r="H216" s="150"/>
      <c r="I216" s="150"/>
      <c r="J216" s="150"/>
      <c r="K216" s="156"/>
      <c r="L216" s="156"/>
      <c r="M216" s="156"/>
      <c r="N216" s="156"/>
      <c r="O216" s="156"/>
    </row>
    <row r="217" spans="1:15" x14ac:dyDescent="0.25">
      <c r="A217" s="149" t="s">
        <v>517</v>
      </c>
      <c r="B217" s="149" t="s">
        <v>518</v>
      </c>
      <c r="C217" s="150"/>
      <c r="D217" s="150"/>
      <c r="E217" s="150"/>
      <c r="F217" s="150"/>
      <c r="G217" s="150"/>
      <c r="H217" s="150"/>
      <c r="I217" s="150"/>
      <c r="J217" s="150"/>
      <c r="K217" s="156"/>
      <c r="L217" s="156"/>
      <c r="M217" s="156"/>
      <c r="N217" s="156"/>
      <c r="O217" s="156"/>
    </row>
    <row r="218" spans="1:15" x14ac:dyDescent="0.25">
      <c r="A218" s="150" t="s">
        <v>519</v>
      </c>
      <c r="B218" s="150" t="s">
        <v>8196</v>
      </c>
      <c r="C218" s="150"/>
      <c r="D218" s="150"/>
      <c r="E218" s="150"/>
      <c r="F218" s="150"/>
      <c r="G218" s="150"/>
      <c r="H218" s="150"/>
      <c r="I218" s="150"/>
      <c r="J218" s="150"/>
      <c r="K218" s="156"/>
      <c r="L218" s="156"/>
      <c r="M218" s="156"/>
      <c r="N218" s="156"/>
      <c r="O218" s="156"/>
    </row>
    <row r="219" spans="1:15" x14ac:dyDescent="0.25">
      <c r="A219" s="149" t="s">
        <v>520</v>
      </c>
      <c r="B219" s="149" t="s">
        <v>521</v>
      </c>
      <c r="C219" s="150"/>
      <c r="D219" s="150"/>
      <c r="E219" s="150"/>
      <c r="F219" s="150"/>
      <c r="G219" s="150"/>
      <c r="H219" s="150"/>
      <c r="I219" s="150"/>
      <c r="J219" s="150"/>
      <c r="K219" s="156"/>
      <c r="L219" s="156"/>
      <c r="M219" s="156"/>
      <c r="N219" s="156"/>
      <c r="O219" s="156"/>
    </row>
    <row r="220" spans="1:15" x14ac:dyDescent="0.25">
      <c r="A220" s="150" t="s">
        <v>522</v>
      </c>
      <c r="B220" s="150" t="s">
        <v>8197</v>
      </c>
      <c r="C220" s="150"/>
      <c r="D220" s="150"/>
      <c r="E220" s="150"/>
      <c r="F220" s="150"/>
      <c r="G220" s="150"/>
      <c r="H220" s="150"/>
      <c r="I220" s="150"/>
      <c r="J220" s="150"/>
      <c r="K220" s="156"/>
      <c r="L220" s="156"/>
      <c r="M220" s="156"/>
      <c r="N220" s="156"/>
      <c r="O220" s="156"/>
    </row>
    <row r="221" spans="1:15" x14ac:dyDescent="0.25">
      <c r="A221" s="149" t="s">
        <v>523</v>
      </c>
      <c r="B221" s="149" t="s">
        <v>524</v>
      </c>
      <c r="C221" s="150"/>
      <c r="D221" s="150"/>
      <c r="E221" s="150"/>
      <c r="F221" s="150"/>
      <c r="G221" s="150"/>
      <c r="H221" s="150"/>
      <c r="I221" s="150"/>
      <c r="J221" s="150"/>
      <c r="K221" s="156"/>
      <c r="L221" s="156"/>
      <c r="M221" s="156"/>
      <c r="N221" s="156"/>
      <c r="O221" s="156"/>
    </row>
    <row r="222" spans="1:15" x14ac:dyDescent="0.25">
      <c r="A222" s="150" t="s">
        <v>525</v>
      </c>
      <c r="B222" s="150" t="s">
        <v>526</v>
      </c>
      <c r="C222" s="150"/>
      <c r="D222" s="150"/>
      <c r="E222" s="150"/>
      <c r="F222" s="150"/>
      <c r="G222" s="150"/>
      <c r="H222" s="150"/>
      <c r="I222" s="150"/>
      <c r="J222" s="150"/>
      <c r="K222" s="156"/>
      <c r="L222" s="156"/>
      <c r="M222" s="156"/>
      <c r="N222" s="156"/>
      <c r="O222" s="156"/>
    </row>
    <row r="223" spans="1:15" x14ac:dyDescent="0.25">
      <c r="A223" s="149" t="s">
        <v>527</v>
      </c>
      <c r="B223" s="149" t="s">
        <v>8198</v>
      </c>
      <c r="C223" s="150"/>
      <c r="D223" s="150"/>
      <c r="E223" s="150"/>
      <c r="F223" s="150"/>
      <c r="G223" s="150"/>
      <c r="H223" s="150"/>
      <c r="I223" s="150"/>
      <c r="J223" s="150"/>
      <c r="K223" s="156"/>
      <c r="L223" s="156"/>
      <c r="M223" s="156"/>
      <c r="N223" s="156"/>
      <c r="O223" s="156"/>
    </row>
    <row r="224" spans="1:15" x14ac:dyDescent="0.25">
      <c r="A224" s="150" t="s">
        <v>5369</v>
      </c>
      <c r="B224" s="150" t="s">
        <v>8199</v>
      </c>
      <c r="C224" s="150"/>
      <c r="D224" s="150"/>
      <c r="E224" s="150"/>
      <c r="F224" s="150"/>
      <c r="G224" s="150"/>
      <c r="H224" s="150"/>
      <c r="I224" s="150"/>
      <c r="J224" s="150"/>
      <c r="K224" s="156"/>
      <c r="L224" s="156"/>
      <c r="M224" s="156"/>
      <c r="N224" s="156"/>
      <c r="O224" s="156"/>
    </row>
    <row r="225" spans="1:15" x14ac:dyDescent="0.25">
      <c r="A225" s="149" t="s">
        <v>528</v>
      </c>
      <c r="B225" s="149" t="s">
        <v>529</v>
      </c>
      <c r="C225" s="150"/>
      <c r="D225" s="150"/>
      <c r="E225" s="150"/>
      <c r="F225" s="150"/>
      <c r="G225" s="150"/>
      <c r="H225" s="150"/>
      <c r="I225" s="150"/>
      <c r="J225" s="150"/>
      <c r="K225" s="156"/>
      <c r="L225" s="156"/>
      <c r="M225" s="156"/>
      <c r="N225" s="156"/>
      <c r="O225" s="156"/>
    </row>
    <row r="226" spans="1:15" x14ac:dyDescent="0.25">
      <c r="A226" s="150" t="s">
        <v>530</v>
      </c>
      <c r="B226" s="150" t="s">
        <v>531</v>
      </c>
      <c r="C226" s="150"/>
      <c r="D226" s="150"/>
      <c r="E226" s="150"/>
      <c r="F226" s="150"/>
      <c r="G226" s="150"/>
      <c r="H226" s="150"/>
      <c r="I226" s="150"/>
      <c r="J226" s="150"/>
      <c r="K226" s="156"/>
      <c r="L226" s="156"/>
      <c r="M226" s="156"/>
      <c r="N226" s="156"/>
      <c r="O226" s="156"/>
    </row>
    <row r="227" spans="1:15" x14ac:dyDescent="0.25">
      <c r="A227" s="149" t="s">
        <v>532</v>
      </c>
      <c r="B227" s="149" t="s">
        <v>533</v>
      </c>
      <c r="C227" s="150"/>
      <c r="D227" s="150"/>
      <c r="E227" s="150"/>
      <c r="F227" s="150"/>
      <c r="G227" s="150"/>
      <c r="H227" s="150"/>
      <c r="I227" s="150"/>
      <c r="J227" s="150"/>
      <c r="K227" s="156"/>
      <c r="L227" s="156"/>
      <c r="M227" s="156"/>
      <c r="N227" s="156"/>
      <c r="O227" s="156"/>
    </row>
    <row r="228" spans="1:15" x14ac:dyDescent="0.25">
      <c r="A228" s="150" t="s">
        <v>5373</v>
      </c>
      <c r="B228" s="150" t="s">
        <v>8200</v>
      </c>
      <c r="C228" s="150"/>
      <c r="D228" s="150"/>
      <c r="E228" s="150"/>
      <c r="F228" s="150"/>
      <c r="G228" s="150"/>
      <c r="H228" s="150"/>
      <c r="I228" s="150"/>
      <c r="J228" s="150"/>
      <c r="K228" s="156"/>
      <c r="L228" s="156"/>
      <c r="M228" s="156"/>
      <c r="N228" s="156"/>
      <c r="O228" s="156"/>
    </row>
    <row r="229" spans="1:15" x14ac:dyDescent="0.25">
      <c r="A229" s="149" t="s">
        <v>534</v>
      </c>
      <c r="B229" s="149" t="s">
        <v>535</v>
      </c>
      <c r="C229" s="150"/>
      <c r="D229" s="150"/>
      <c r="E229" s="150"/>
      <c r="F229" s="150"/>
      <c r="G229" s="150"/>
      <c r="H229" s="150"/>
      <c r="I229" s="150"/>
      <c r="J229" s="150"/>
      <c r="K229" s="156"/>
      <c r="L229" s="156"/>
      <c r="M229" s="156"/>
      <c r="N229" s="156"/>
      <c r="O229" s="156"/>
    </row>
    <row r="230" spans="1:15" x14ac:dyDescent="0.25">
      <c r="A230" s="150" t="s">
        <v>536</v>
      </c>
      <c r="B230" s="150" t="s">
        <v>537</v>
      </c>
      <c r="C230" s="150"/>
      <c r="D230" s="150"/>
      <c r="E230" s="150"/>
      <c r="F230" s="150"/>
      <c r="G230" s="150"/>
      <c r="H230" s="150"/>
      <c r="I230" s="150"/>
      <c r="J230" s="150"/>
      <c r="K230" s="156"/>
      <c r="L230" s="156"/>
      <c r="M230" s="156"/>
      <c r="N230" s="156"/>
      <c r="O230" s="156"/>
    </row>
    <row r="231" spans="1:15" x14ac:dyDescent="0.25">
      <c r="A231" s="149" t="s">
        <v>8201</v>
      </c>
      <c r="B231" s="149" t="s">
        <v>8202</v>
      </c>
      <c r="C231" s="150"/>
      <c r="D231" s="150"/>
      <c r="E231" s="150"/>
      <c r="F231" s="150"/>
      <c r="G231" s="150"/>
      <c r="H231" s="150"/>
      <c r="I231" s="150"/>
      <c r="J231" s="150"/>
      <c r="K231" s="156"/>
      <c r="L231" s="156"/>
      <c r="M231" s="156"/>
      <c r="N231" s="156"/>
      <c r="O231" s="156"/>
    </row>
    <row r="232" spans="1:15" x14ac:dyDescent="0.25">
      <c r="A232" s="150" t="s">
        <v>5377</v>
      </c>
      <c r="B232" s="150" t="s">
        <v>8203</v>
      </c>
      <c r="C232" s="150"/>
      <c r="D232" s="150"/>
      <c r="E232" s="150"/>
      <c r="F232" s="150"/>
      <c r="G232" s="150"/>
      <c r="H232" s="150"/>
      <c r="I232" s="150"/>
      <c r="J232" s="150"/>
      <c r="K232" s="156"/>
      <c r="L232" s="156"/>
      <c r="M232" s="156"/>
      <c r="N232" s="156"/>
      <c r="O232" s="156"/>
    </row>
    <row r="233" spans="1:15" x14ac:dyDescent="0.25">
      <c r="A233" s="149" t="s">
        <v>5379</v>
      </c>
      <c r="B233" s="149" t="s">
        <v>8204</v>
      </c>
      <c r="C233" s="150"/>
      <c r="D233" s="150"/>
      <c r="E233" s="150"/>
      <c r="F233" s="150"/>
      <c r="G233" s="150"/>
      <c r="H233" s="150"/>
      <c r="I233" s="150"/>
      <c r="J233" s="150"/>
      <c r="K233" s="156"/>
      <c r="L233" s="156"/>
      <c r="M233" s="156"/>
      <c r="N233" s="156"/>
      <c r="O233" s="156"/>
    </row>
    <row r="234" spans="1:15" x14ac:dyDescent="0.25">
      <c r="A234" s="150" t="s">
        <v>538</v>
      </c>
      <c r="B234" s="150" t="s">
        <v>539</v>
      </c>
      <c r="C234" s="150"/>
      <c r="D234" s="150"/>
      <c r="E234" s="150"/>
      <c r="F234" s="150"/>
      <c r="G234" s="150"/>
      <c r="H234" s="150"/>
      <c r="I234" s="150"/>
      <c r="J234" s="150"/>
      <c r="K234" s="156"/>
      <c r="L234" s="156"/>
      <c r="M234" s="156"/>
      <c r="N234" s="156"/>
      <c r="O234" s="156"/>
    </row>
    <row r="235" spans="1:15" x14ac:dyDescent="0.25">
      <c r="A235" s="149" t="s">
        <v>540</v>
      </c>
      <c r="B235" s="149" t="s">
        <v>541</v>
      </c>
      <c r="C235" s="150"/>
      <c r="D235" s="150"/>
      <c r="E235" s="150"/>
      <c r="F235" s="150"/>
      <c r="G235" s="150"/>
      <c r="H235" s="150"/>
      <c r="I235" s="150"/>
      <c r="J235" s="150"/>
      <c r="K235" s="156"/>
      <c r="L235" s="156"/>
      <c r="M235" s="156"/>
      <c r="N235" s="156"/>
      <c r="O235" s="156"/>
    </row>
    <row r="236" spans="1:15" x14ac:dyDescent="0.25">
      <c r="A236" s="150" t="s">
        <v>542</v>
      </c>
      <c r="B236" s="150" t="s">
        <v>543</v>
      </c>
      <c r="C236" s="150"/>
      <c r="D236" s="150"/>
      <c r="E236" s="150"/>
      <c r="F236" s="150"/>
      <c r="G236" s="150"/>
      <c r="H236" s="150"/>
      <c r="I236" s="150"/>
      <c r="J236" s="150"/>
      <c r="K236" s="156"/>
      <c r="L236" s="156"/>
      <c r="M236" s="156"/>
      <c r="N236" s="156"/>
      <c r="O236" s="156"/>
    </row>
    <row r="237" spans="1:15" x14ac:dyDescent="0.25">
      <c r="A237" s="149" t="s">
        <v>544</v>
      </c>
      <c r="B237" s="149" t="s">
        <v>8205</v>
      </c>
      <c r="C237" s="150"/>
      <c r="D237" s="150"/>
      <c r="E237" s="150"/>
      <c r="F237" s="150"/>
      <c r="G237" s="150"/>
      <c r="H237" s="150"/>
      <c r="I237" s="150"/>
      <c r="J237" s="150"/>
      <c r="K237" s="156"/>
      <c r="L237" s="156"/>
      <c r="M237" s="156"/>
      <c r="N237" s="156"/>
      <c r="O237" s="156"/>
    </row>
    <row r="238" spans="1:15" x14ac:dyDescent="0.25">
      <c r="A238" s="150" t="s">
        <v>545</v>
      </c>
      <c r="B238" s="150" t="s">
        <v>546</v>
      </c>
      <c r="C238" s="150"/>
      <c r="D238" s="150"/>
      <c r="E238" s="150"/>
      <c r="F238" s="150"/>
      <c r="G238" s="150"/>
      <c r="H238" s="150"/>
      <c r="I238" s="150"/>
      <c r="J238" s="150"/>
      <c r="K238" s="156"/>
      <c r="L238" s="156"/>
      <c r="M238" s="156"/>
      <c r="N238" s="156"/>
      <c r="O238" s="156"/>
    </row>
    <row r="239" spans="1:15" x14ac:dyDescent="0.25">
      <c r="A239" s="149" t="s">
        <v>547</v>
      </c>
      <c r="B239" s="149" t="s">
        <v>548</v>
      </c>
      <c r="C239" s="150"/>
      <c r="D239" s="150"/>
      <c r="E239" s="150"/>
      <c r="F239" s="150"/>
      <c r="G239" s="150"/>
      <c r="H239" s="150"/>
      <c r="I239" s="150"/>
      <c r="J239" s="150"/>
      <c r="K239" s="156"/>
      <c r="L239" s="156"/>
      <c r="M239" s="156"/>
      <c r="N239" s="156"/>
      <c r="O239" s="156"/>
    </row>
    <row r="240" spans="1:15" x14ac:dyDescent="0.25">
      <c r="A240" s="150" t="s">
        <v>549</v>
      </c>
      <c r="B240" s="150" t="s">
        <v>550</v>
      </c>
      <c r="C240" s="150"/>
      <c r="D240" s="150"/>
      <c r="E240" s="150"/>
      <c r="F240" s="150"/>
      <c r="G240" s="150"/>
      <c r="H240" s="150"/>
      <c r="I240" s="150"/>
      <c r="J240" s="150"/>
      <c r="K240" s="156"/>
      <c r="L240" s="156"/>
      <c r="M240" s="156"/>
      <c r="N240" s="156"/>
      <c r="O240" s="156"/>
    </row>
    <row r="241" spans="1:15" x14ac:dyDescent="0.25">
      <c r="A241" s="149" t="s">
        <v>5387</v>
      </c>
      <c r="B241" s="149" t="s">
        <v>8206</v>
      </c>
      <c r="C241" s="150"/>
      <c r="D241" s="150"/>
      <c r="E241" s="150"/>
      <c r="F241" s="150"/>
      <c r="G241" s="150"/>
      <c r="H241" s="150"/>
      <c r="I241" s="150"/>
      <c r="J241" s="150"/>
      <c r="K241" s="156"/>
      <c r="L241" s="156"/>
      <c r="M241" s="156"/>
      <c r="N241" s="156"/>
      <c r="O241" s="156"/>
    </row>
    <row r="242" spans="1:15" x14ac:dyDescent="0.25">
      <c r="A242" s="150" t="s">
        <v>551</v>
      </c>
      <c r="B242" s="150" t="s">
        <v>552</v>
      </c>
      <c r="C242" s="150"/>
      <c r="D242" s="150"/>
      <c r="E242" s="150"/>
      <c r="F242" s="150"/>
      <c r="G242" s="150"/>
      <c r="H242" s="150"/>
      <c r="I242" s="150"/>
      <c r="J242" s="150"/>
      <c r="K242" s="156"/>
      <c r="L242" s="156"/>
      <c r="M242" s="156"/>
      <c r="N242" s="156"/>
      <c r="O242" s="156"/>
    </row>
    <row r="243" spans="1:15" x14ac:dyDescent="0.25">
      <c r="A243" s="149" t="s">
        <v>553</v>
      </c>
      <c r="B243" s="149" t="s">
        <v>554</v>
      </c>
      <c r="C243" s="150"/>
      <c r="D243" s="150"/>
      <c r="E243" s="150"/>
      <c r="F243" s="150"/>
      <c r="G243" s="150"/>
      <c r="H243" s="150"/>
      <c r="I243" s="150"/>
      <c r="J243" s="150"/>
      <c r="K243" s="156"/>
      <c r="L243" s="156"/>
      <c r="M243" s="156"/>
      <c r="N243" s="156"/>
      <c r="O243" s="156"/>
    </row>
    <row r="244" spans="1:15" x14ac:dyDescent="0.25">
      <c r="A244" s="150" t="s">
        <v>5391</v>
      </c>
      <c r="B244" s="150" t="s">
        <v>8207</v>
      </c>
      <c r="C244" s="150"/>
      <c r="D244" s="150"/>
      <c r="E244" s="150"/>
      <c r="F244" s="150"/>
      <c r="G244" s="150"/>
      <c r="H244" s="150"/>
      <c r="I244" s="150"/>
      <c r="J244" s="150"/>
      <c r="K244" s="156"/>
      <c r="L244" s="156"/>
      <c r="M244" s="156"/>
      <c r="N244" s="156"/>
      <c r="O244" s="156"/>
    </row>
    <row r="245" spans="1:15" x14ac:dyDescent="0.25">
      <c r="A245" s="149" t="s">
        <v>555</v>
      </c>
      <c r="B245" s="149" t="s">
        <v>556</v>
      </c>
      <c r="C245" s="150"/>
      <c r="D245" s="150"/>
      <c r="E245" s="150"/>
      <c r="F245" s="150"/>
      <c r="G245" s="150"/>
      <c r="H245" s="150"/>
      <c r="I245" s="150"/>
      <c r="J245" s="150"/>
      <c r="K245" s="156"/>
      <c r="L245" s="156"/>
      <c r="M245" s="156"/>
      <c r="N245" s="156"/>
      <c r="O245" s="156"/>
    </row>
    <row r="246" spans="1:15" x14ac:dyDescent="0.25">
      <c r="A246" s="150" t="s">
        <v>557</v>
      </c>
      <c r="B246" s="150" t="s">
        <v>558</v>
      </c>
      <c r="C246" s="150"/>
      <c r="D246" s="150"/>
      <c r="E246" s="150"/>
      <c r="F246" s="150"/>
      <c r="G246" s="150"/>
      <c r="H246" s="150"/>
      <c r="I246" s="150"/>
      <c r="J246" s="150"/>
      <c r="K246" s="156"/>
      <c r="L246" s="156"/>
      <c r="M246" s="156"/>
      <c r="N246" s="156"/>
      <c r="O246" s="156"/>
    </row>
    <row r="247" spans="1:15" x14ac:dyDescent="0.25">
      <c r="A247" s="149" t="s">
        <v>5294</v>
      </c>
      <c r="B247" s="149" t="s">
        <v>8208</v>
      </c>
      <c r="C247" s="150"/>
      <c r="D247" s="150"/>
      <c r="E247" s="150"/>
      <c r="F247" s="150"/>
      <c r="G247" s="150"/>
      <c r="H247" s="150"/>
      <c r="I247" s="150"/>
      <c r="J247" s="150"/>
      <c r="K247" s="156"/>
      <c r="L247" s="156"/>
      <c r="M247" s="156"/>
      <c r="N247" s="156"/>
      <c r="O247" s="156"/>
    </row>
    <row r="248" spans="1:15" x14ac:dyDescent="0.25">
      <c r="A248" s="150" t="s">
        <v>8209</v>
      </c>
      <c r="B248" s="150" t="s">
        <v>8210</v>
      </c>
      <c r="C248" s="150"/>
      <c r="D248" s="150"/>
      <c r="E248" s="150"/>
      <c r="F248" s="150"/>
      <c r="G248" s="150"/>
      <c r="H248" s="150"/>
      <c r="I248" s="150"/>
      <c r="J248" s="150"/>
      <c r="K248" s="156"/>
      <c r="L248" s="156"/>
      <c r="M248" s="156"/>
      <c r="N248" s="156"/>
      <c r="O248" s="156"/>
    </row>
    <row r="249" spans="1:15" x14ac:dyDescent="0.25">
      <c r="A249" s="149" t="s">
        <v>559</v>
      </c>
      <c r="B249" s="149" t="s">
        <v>560</v>
      </c>
      <c r="C249" s="150"/>
      <c r="D249" s="150"/>
      <c r="E249" s="150"/>
      <c r="F249" s="150"/>
      <c r="G249" s="150"/>
      <c r="H249" s="150"/>
      <c r="I249" s="150"/>
      <c r="J249" s="150"/>
      <c r="K249" s="156"/>
      <c r="L249" s="156"/>
      <c r="M249" s="156"/>
      <c r="N249" s="156"/>
      <c r="O249" s="156"/>
    </row>
    <row r="250" spans="1:15" x14ac:dyDescent="0.25">
      <c r="A250" s="150" t="s">
        <v>8211</v>
      </c>
      <c r="B250" s="150" t="s">
        <v>8212</v>
      </c>
      <c r="C250" s="150"/>
      <c r="D250" s="150"/>
      <c r="E250" s="150"/>
      <c r="F250" s="150"/>
      <c r="G250" s="150"/>
      <c r="H250" s="150"/>
      <c r="I250" s="150"/>
      <c r="J250" s="150"/>
      <c r="K250" s="156"/>
      <c r="L250" s="156"/>
      <c r="M250" s="156"/>
      <c r="N250" s="156"/>
      <c r="O250" s="156"/>
    </row>
    <row r="251" spans="1:15" x14ac:dyDescent="0.25">
      <c r="A251" s="149" t="s">
        <v>5297</v>
      </c>
      <c r="B251" s="149" t="s">
        <v>8213</v>
      </c>
      <c r="C251" s="150"/>
      <c r="D251" s="150"/>
      <c r="E251" s="150"/>
      <c r="F251" s="150"/>
      <c r="G251" s="150"/>
      <c r="H251" s="150"/>
      <c r="I251" s="150"/>
      <c r="J251" s="150"/>
      <c r="K251" s="156"/>
      <c r="L251" s="156"/>
      <c r="M251" s="156"/>
      <c r="N251" s="156"/>
      <c r="O251" s="156"/>
    </row>
    <row r="252" spans="1:15" x14ac:dyDescent="0.25">
      <c r="A252" s="150" t="s">
        <v>561</v>
      </c>
      <c r="B252" s="150" t="s">
        <v>562</v>
      </c>
      <c r="C252" s="150"/>
      <c r="D252" s="150"/>
      <c r="E252" s="150"/>
      <c r="F252" s="150"/>
      <c r="G252" s="150"/>
      <c r="H252" s="150"/>
      <c r="I252" s="150"/>
      <c r="J252" s="150"/>
      <c r="K252" s="156"/>
      <c r="L252" s="156"/>
      <c r="M252" s="156"/>
      <c r="N252" s="156"/>
      <c r="O252" s="156"/>
    </row>
    <row r="253" spans="1:15" x14ac:dyDescent="0.25">
      <c r="A253" s="149" t="s">
        <v>563</v>
      </c>
      <c r="B253" s="149" t="s">
        <v>564</v>
      </c>
      <c r="C253" s="150"/>
      <c r="D253" s="150"/>
      <c r="E253" s="150"/>
      <c r="F253" s="150"/>
      <c r="G253" s="150"/>
      <c r="H253" s="150"/>
      <c r="I253" s="150"/>
      <c r="J253" s="150"/>
      <c r="K253" s="156"/>
      <c r="L253" s="156"/>
      <c r="M253" s="156"/>
      <c r="N253" s="156"/>
      <c r="O253" s="156"/>
    </row>
    <row r="254" spans="1:15" x14ac:dyDescent="0.25">
      <c r="A254" s="150" t="s">
        <v>565</v>
      </c>
      <c r="B254" s="150" t="s">
        <v>566</v>
      </c>
      <c r="C254" s="150"/>
      <c r="D254" s="150"/>
      <c r="E254" s="150"/>
      <c r="F254" s="150"/>
      <c r="G254" s="150"/>
      <c r="H254" s="150"/>
      <c r="I254" s="150"/>
      <c r="J254" s="150"/>
      <c r="K254" s="156"/>
      <c r="L254" s="156"/>
      <c r="M254" s="156"/>
      <c r="N254" s="156"/>
      <c r="O254" s="156"/>
    </row>
    <row r="255" spans="1:15" x14ac:dyDescent="0.25">
      <c r="A255" s="149" t="s">
        <v>567</v>
      </c>
      <c r="B255" s="149" t="s">
        <v>568</v>
      </c>
      <c r="C255" s="150"/>
      <c r="D255" s="150"/>
      <c r="E255" s="150"/>
      <c r="F255" s="150"/>
      <c r="G255" s="150"/>
      <c r="H255" s="150"/>
      <c r="I255" s="150"/>
      <c r="J255" s="150"/>
      <c r="K255" s="156"/>
      <c r="L255" s="156"/>
      <c r="M255" s="156"/>
      <c r="N255" s="156"/>
      <c r="O255" s="156"/>
    </row>
    <row r="256" spans="1:15" x14ac:dyDescent="0.25">
      <c r="A256" s="150" t="s">
        <v>569</v>
      </c>
      <c r="B256" s="150" t="s">
        <v>570</v>
      </c>
      <c r="C256" s="150"/>
      <c r="D256" s="150"/>
      <c r="E256" s="150"/>
      <c r="F256" s="150"/>
      <c r="G256" s="150"/>
      <c r="H256" s="150"/>
      <c r="I256" s="150"/>
      <c r="J256" s="150"/>
      <c r="K256" s="156"/>
      <c r="L256" s="156"/>
      <c r="M256" s="156"/>
      <c r="N256" s="156"/>
      <c r="O256" s="156"/>
    </row>
    <row r="257" spans="1:15" x14ac:dyDescent="0.25">
      <c r="A257" s="149" t="s">
        <v>571</v>
      </c>
      <c r="B257" s="149" t="s">
        <v>572</v>
      </c>
      <c r="C257" s="150"/>
      <c r="D257" s="150"/>
      <c r="E257" s="150"/>
      <c r="F257" s="150"/>
      <c r="G257" s="150"/>
      <c r="H257" s="150"/>
      <c r="I257" s="150"/>
      <c r="J257" s="150"/>
      <c r="K257" s="156"/>
      <c r="L257" s="156"/>
      <c r="M257" s="156"/>
      <c r="N257" s="156"/>
      <c r="O257" s="156"/>
    </row>
    <row r="258" spans="1:15" x14ac:dyDescent="0.25">
      <c r="A258" s="150" t="s">
        <v>573</v>
      </c>
      <c r="B258" s="150" t="s">
        <v>574</v>
      </c>
      <c r="C258" s="150"/>
      <c r="D258" s="150"/>
      <c r="E258" s="150"/>
      <c r="F258" s="150"/>
      <c r="G258" s="150"/>
      <c r="H258" s="150"/>
      <c r="I258" s="150"/>
      <c r="J258" s="150"/>
      <c r="K258" s="156"/>
      <c r="L258" s="156"/>
      <c r="M258" s="156"/>
      <c r="N258" s="156"/>
      <c r="O258" s="156"/>
    </row>
    <row r="259" spans="1:15" x14ac:dyDescent="0.25">
      <c r="A259" s="149" t="s">
        <v>575</v>
      </c>
      <c r="B259" s="149" t="s">
        <v>576</v>
      </c>
      <c r="C259" s="150"/>
      <c r="D259" s="150"/>
      <c r="E259" s="150"/>
      <c r="F259" s="150"/>
      <c r="G259" s="150"/>
      <c r="H259" s="150"/>
      <c r="I259" s="150"/>
      <c r="J259" s="150"/>
      <c r="K259" s="156"/>
      <c r="L259" s="156"/>
      <c r="M259" s="156"/>
      <c r="N259" s="156"/>
      <c r="O259" s="156"/>
    </row>
    <row r="260" spans="1:15" x14ac:dyDescent="0.25">
      <c r="A260" s="150" t="s">
        <v>577</v>
      </c>
      <c r="B260" s="150" t="s">
        <v>578</v>
      </c>
      <c r="C260" s="150"/>
      <c r="D260" s="150"/>
      <c r="E260" s="150"/>
      <c r="F260" s="150"/>
      <c r="G260" s="150"/>
      <c r="H260" s="150"/>
      <c r="I260" s="150"/>
      <c r="J260" s="150"/>
      <c r="K260" s="156"/>
      <c r="L260" s="156"/>
      <c r="M260" s="156"/>
      <c r="N260" s="156"/>
      <c r="O260" s="156"/>
    </row>
    <row r="261" spans="1:15" x14ac:dyDescent="0.25">
      <c r="A261" s="149" t="s">
        <v>579</v>
      </c>
      <c r="B261" s="149" t="s">
        <v>580</v>
      </c>
      <c r="C261" s="150"/>
      <c r="D261" s="150"/>
      <c r="E261" s="150"/>
      <c r="F261" s="150"/>
      <c r="G261" s="150"/>
      <c r="H261" s="150"/>
      <c r="I261" s="150"/>
      <c r="J261" s="150"/>
      <c r="K261" s="156"/>
      <c r="L261" s="156"/>
      <c r="M261" s="156"/>
      <c r="N261" s="156"/>
      <c r="O261" s="156"/>
    </row>
    <row r="262" spans="1:15" x14ac:dyDescent="0.25">
      <c r="A262" s="150" t="s">
        <v>581</v>
      </c>
      <c r="B262" s="150" t="s">
        <v>582</v>
      </c>
      <c r="C262" s="150"/>
      <c r="D262" s="150"/>
      <c r="E262" s="150"/>
      <c r="F262" s="150"/>
      <c r="G262" s="150"/>
      <c r="H262" s="150"/>
      <c r="I262" s="150"/>
      <c r="J262" s="150"/>
      <c r="K262" s="156"/>
      <c r="L262" s="156"/>
      <c r="M262" s="156"/>
      <c r="N262" s="156"/>
      <c r="O262" s="156"/>
    </row>
    <row r="263" spans="1:15" x14ac:dyDescent="0.25">
      <c r="A263" s="149" t="s">
        <v>583</v>
      </c>
      <c r="B263" s="149" t="s">
        <v>584</v>
      </c>
      <c r="C263" s="150"/>
      <c r="D263" s="150"/>
      <c r="E263" s="150"/>
      <c r="F263" s="150"/>
      <c r="G263" s="150"/>
      <c r="H263" s="150"/>
      <c r="I263" s="150"/>
      <c r="J263" s="150"/>
      <c r="K263" s="156"/>
      <c r="L263" s="156"/>
      <c r="M263" s="156"/>
      <c r="N263" s="156"/>
      <c r="O263" s="156"/>
    </row>
    <row r="264" spans="1:15" x14ac:dyDescent="0.25">
      <c r="A264" s="150" t="s">
        <v>585</v>
      </c>
      <c r="B264" s="150" t="s">
        <v>8214</v>
      </c>
      <c r="C264" s="150"/>
      <c r="D264" s="150"/>
      <c r="E264" s="150"/>
      <c r="F264" s="150"/>
      <c r="G264" s="150"/>
      <c r="H264" s="150"/>
      <c r="I264" s="150"/>
      <c r="J264" s="150"/>
      <c r="K264" s="156"/>
      <c r="L264" s="156"/>
      <c r="M264" s="156"/>
      <c r="N264" s="156"/>
      <c r="O264" s="156"/>
    </row>
    <row r="265" spans="1:15" x14ac:dyDescent="0.25">
      <c r="A265" s="149" t="s">
        <v>5310</v>
      </c>
      <c r="B265" s="149" t="s">
        <v>8215</v>
      </c>
      <c r="C265" s="150"/>
      <c r="D265" s="150"/>
      <c r="E265" s="150"/>
      <c r="F265" s="150"/>
      <c r="G265" s="150"/>
      <c r="H265" s="150"/>
      <c r="I265" s="150"/>
      <c r="J265" s="150"/>
      <c r="K265" s="156"/>
      <c r="L265" s="156"/>
      <c r="M265" s="156"/>
      <c r="N265" s="156"/>
      <c r="O265" s="156"/>
    </row>
    <row r="266" spans="1:15" x14ac:dyDescent="0.25">
      <c r="A266" s="150" t="s">
        <v>586</v>
      </c>
      <c r="B266" s="150" t="s">
        <v>587</v>
      </c>
      <c r="C266" s="150"/>
      <c r="D266" s="150"/>
      <c r="E266" s="150"/>
      <c r="F266" s="150"/>
      <c r="G266" s="150"/>
      <c r="H266" s="150"/>
      <c r="I266" s="150"/>
      <c r="J266" s="150"/>
      <c r="K266" s="156"/>
      <c r="L266" s="156"/>
      <c r="M266" s="156"/>
      <c r="N266" s="156"/>
      <c r="O266" s="156"/>
    </row>
    <row r="267" spans="1:15" x14ac:dyDescent="0.25">
      <c r="A267" s="149" t="s">
        <v>588</v>
      </c>
      <c r="B267" s="149" t="s">
        <v>589</v>
      </c>
      <c r="C267" s="150"/>
      <c r="D267" s="150"/>
      <c r="E267" s="150"/>
      <c r="F267" s="150"/>
      <c r="G267" s="150"/>
      <c r="H267" s="150"/>
      <c r="I267" s="150"/>
      <c r="J267" s="150"/>
      <c r="K267" s="156"/>
      <c r="L267" s="156"/>
      <c r="M267" s="156"/>
      <c r="N267" s="156"/>
      <c r="O267" s="156"/>
    </row>
    <row r="268" spans="1:15" x14ac:dyDescent="0.25">
      <c r="A268" s="150" t="s">
        <v>590</v>
      </c>
      <c r="B268" s="150" t="s">
        <v>591</v>
      </c>
      <c r="C268" s="150"/>
      <c r="D268" s="150"/>
      <c r="E268" s="150"/>
      <c r="F268" s="150"/>
      <c r="G268" s="150"/>
      <c r="H268" s="150"/>
      <c r="I268" s="150"/>
      <c r="J268" s="150"/>
      <c r="K268" s="156"/>
      <c r="L268" s="156"/>
      <c r="M268" s="156"/>
      <c r="N268" s="156"/>
      <c r="O268" s="156"/>
    </row>
    <row r="269" spans="1:15" x14ac:dyDescent="0.25">
      <c r="A269" s="149" t="s">
        <v>592</v>
      </c>
      <c r="B269" s="149" t="s">
        <v>593</v>
      </c>
      <c r="C269" s="150"/>
      <c r="D269" s="150"/>
      <c r="E269" s="150"/>
      <c r="F269" s="150"/>
      <c r="G269" s="150"/>
      <c r="H269" s="150"/>
      <c r="I269" s="150"/>
      <c r="J269" s="150"/>
      <c r="K269" s="156"/>
      <c r="L269" s="156"/>
      <c r="M269" s="156"/>
      <c r="N269" s="156"/>
      <c r="O269" s="156"/>
    </row>
    <row r="270" spans="1:15" x14ac:dyDescent="0.25">
      <c r="A270" s="150" t="s">
        <v>8216</v>
      </c>
      <c r="B270" s="150" t="s">
        <v>8217</v>
      </c>
      <c r="C270" s="150"/>
      <c r="D270" s="150"/>
      <c r="E270" s="150"/>
      <c r="F270" s="150"/>
      <c r="G270" s="150"/>
      <c r="H270" s="150"/>
      <c r="I270" s="150"/>
      <c r="J270" s="150"/>
      <c r="K270" s="156"/>
      <c r="L270" s="156"/>
      <c r="M270" s="156"/>
      <c r="N270" s="156"/>
      <c r="O270" s="156"/>
    </row>
    <row r="271" spans="1:15" x14ac:dyDescent="0.25">
      <c r="A271" s="149" t="s">
        <v>594</v>
      </c>
      <c r="B271" s="149" t="s">
        <v>595</v>
      </c>
      <c r="C271" s="150"/>
      <c r="D271" s="150"/>
      <c r="E271" s="150"/>
      <c r="F271" s="150"/>
      <c r="G271" s="150"/>
      <c r="H271" s="150"/>
      <c r="I271" s="150"/>
      <c r="J271" s="150"/>
      <c r="K271" s="156"/>
      <c r="L271" s="156"/>
      <c r="M271" s="156"/>
      <c r="N271" s="156"/>
      <c r="O271" s="156"/>
    </row>
    <row r="272" spans="1:15" x14ac:dyDescent="0.25">
      <c r="A272" s="150" t="s">
        <v>596</v>
      </c>
      <c r="B272" s="150" t="s">
        <v>597</v>
      </c>
      <c r="C272" s="150"/>
      <c r="D272" s="150"/>
      <c r="E272" s="150"/>
      <c r="F272" s="150"/>
      <c r="G272" s="150"/>
      <c r="H272" s="150"/>
      <c r="I272" s="150"/>
      <c r="J272" s="150"/>
      <c r="K272" s="156"/>
      <c r="L272" s="156"/>
      <c r="M272" s="156"/>
      <c r="N272" s="156"/>
      <c r="O272" s="156"/>
    </row>
    <row r="273" spans="1:15" x14ac:dyDescent="0.25">
      <c r="A273" s="149" t="s">
        <v>5316</v>
      </c>
      <c r="B273" s="149" t="s">
        <v>8218</v>
      </c>
      <c r="C273" s="150"/>
      <c r="D273" s="150"/>
      <c r="E273" s="150"/>
      <c r="F273" s="150"/>
      <c r="G273" s="150"/>
      <c r="H273" s="150"/>
      <c r="I273" s="150"/>
      <c r="J273" s="150"/>
      <c r="K273" s="156"/>
      <c r="L273" s="156"/>
      <c r="M273" s="156"/>
      <c r="N273" s="156"/>
      <c r="O273" s="156"/>
    </row>
    <row r="274" spans="1:15" x14ac:dyDescent="0.25">
      <c r="A274" s="150" t="s">
        <v>598</v>
      </c>
      <c r="B274" s="150" t="s">
        <v>599</v>
      </c>
      <c r="C274" s="150"/>
      <c r="D274" s="150"/>
      <c r="E274" s="150"/>
      <c r="F274" s="150"/>
      <c r="G274" s="150"/>
      <c r="H274" s="150"/>
      <c r="I274" s="150"/>
      <c r="J274" s="150"/>
      <c r="K274" s="156"/>
      <c r="L274" s="156"/>
      <c r="M274" s="156"/>
      <c r="N274" s="156"/>
      <c r="O274" s="156"/>
    </row>
    <row r="275" spans="1:15" x14ac:dyDescent="0.25">
      <c r="A275" s="149" t="s">
        <v>8219</v>
      </c>
      <c r="B275" s="149" t="s">
        <v>8220</v>
      </c>
      <c r="C275" s="150"/>
      <c r="D275" s="150"/>
      <c r="E275" s="150"/>
      <c r="F275" s="150"/>
      <c r="G275" s="150"/>
      <c r="H275" s="150"/>
      <c r="I275" s="150"/>
      <c r="J275" s="150"/>
      <c r="K275" s="156"/>
      <c r="L275" s="156"/>
      <c r="M275" s="156"/>
      <c r="N275" s="156"/>
      <c r="O275" s="156"/>
    </row>
    <row r="276" spans="1:15" x14ac:dyDescent="0.25">
      <c r="A276" s="150" t="s">
        <v>600</v>
      </c>
      <c r="B276" s="150" t="s">
        <v>601</v>
      </c>
      <c r="C276" s="150"/>
      <c r="D276" s="150"/>
      <c r="E276" s="150"/>
      <c r="F276" s="150"/>
      <c r="G276" s="150"/>
      <c r="H276" s="150"/>
      <c r="I276" s="150"/>
      <c r="J276" s="150"/>
      <c r="K276" s="156"/>
      <c r="L276" s="156"/>
      <c r="M276" s="156"/>
      <c r="N276" s="156"/>
      <c r="O276" s="156"/>
    </row>
    <row r="277" spans="1:15" x14ac:dyDescent="0.25">
      <c r="A277" s="149" t="s">
        <v>602</v>
      </c>
      <c r="B277" s="149" t="s">
        <v>603</v>
      </c>
      <c r="C277" s="150"/>
      <c r="D277" s="150"/>
      <c r="E277" s="150"/>
      <c r="F277" s="150"/>
      <c r="G277" s="150"/>
      <c r="H277" s="150"/>
      <c r="I277" s="150"/>
      <c r="J277" s="150"/>
      <c r="K277" s="156"/>
      <c r="L277" s="156"/>
      <c r="M277" s="156"/>
      <c r="N277" s="156"/>
      <c r="O277" s="156"/>
    </row>
    <row r="278" spans="1:15" x14ac:dyDescent="0.25">
      <c r="A278" s="150" t="s">
        <v>604</v>
      </c>
      <c r="B278" s="150" t="s">
        <v>605</v>
      </c>
      <c r="C278" s="150"/>
      <c r="D278" s="150"/>
      <c r="E278" s="150"/>
      <c r="F278" s="150"/>
      <c r="G278" s="150"/>
      <c r="H278" s="150"/>
      <c r="I278" s="150"/>
      <c r="J278" s="150"/>
      <c r="K278" s="156"/>
      <c r="L278" s="156"/>
      <c r="M278" s="156"/>
      <c r="N278" s="156"/>
      <c r="O278" s="156"/>
    </row>
    <row r="279" spans="1:15" x14ac:dyDescent="0.25">
      <c r="A279" s="149" t="s">
        <v>606</v>
      </c>
      <c r="B279" s="149" t="s">
        <v>607</v>
      </c>
      <c r="C279" s="150"/>
      <c r="D279" s="150"/>
      <c r="E279" s="150"/>
      <c r="F279" s="150"/>
      <c r="G279" s="150"/>
      <c r="H279" s="150"/>
      <c r="I279" s="150"/>
      <c r="J279" s="150"/>
      <c r="K279" s="156"/>
      <c r="L279" s="156"/>
      <c r="M279" s="156"/>
      <c r="N279" s="156"/>
      <c r="O279" s="156"/>
    </row>
    <row r="280" spans="1:15" x14ac:dyDescent="0.25">
      <c r="A280" s="150" t="s">
        <v>608</v>
      </c>
      <c r="B280" s="150" t="s">
        <v>609</v>
      </c>
      <c r="C280" s="150"/>
      <c r="D280" s="150"/>
      <c r="E280" s="150"/>
      <c r="F280" s="150"/>
      <c r="G280" s="150"/>
      <c r="H280" s="150"/>
      <c r="I280" s="150"/>
      <c r="J280" s="150"/>
      <c r="K280" s="156"/>
      <c r="L280" s="156"/>
      <c r="M280" s="156"/>
      <c r="N280" s="156"/>
      <c r="O280" s="156"/>
    </row>
    <row r="281" spans="1:15" x14ac:dyDescent="0.25">
      <c r="A281" s="149" t="s">
        <v>610</v>
      </c>
      <c r="B281" s="149" t="s">
        <v>8221</v>
      </c>
      <c r="C281" s="150"/>
      <c r="D281" s="150"/>
      <c r="E281" s="150"/>
      <c r="F281" s="150"/>
      <c r="G281" s="150"/>
      <c r="H281" s="150"/>
      <c r="I281" s="150"/>
      <c r="J281" s="150"/>
      <c r="K281" s="156"/>
      <c r="L281" s="156"/>
      <c r="M281" s="156"/>
      <c r="N281" s="156"/>
      <c r="O281" s="156"/>
    </row>
    <row r="282" spans="1:15" x14ac:dyDescent="0.25">
      <c r="A282" s="150" t="s">
        <v>611</v>
      </c>
      <c r="B282" s="150" t="s">
        <v>612</v>
      </c>
      <c r="C282" s="150"/>
      <c r="D282" s="150"/>
      <c r="E282" s="150"/>
      <c r="F282" s="150"/>
      <c r="G282" s="150"/>
      <c r="H282" s="150"/>
      <c r="I282" s="150"/>
      <c r="J282" s="150"/>
      <c r="K282" s="156"/>
      <c r="L282" s="156"/>
      <c r="M282" s="156"/>
      <c r="N282" s="156"/>
      <c r="O282" s="156"/>
    </row>
    <row r="283" spans="1:15" x14ac:dyDescent="0.25">
      <c r="A283" s="149" t="s">
        <v>613</v>
      </c>
      <c r="B283" s="149" t="s">
        <v>614</v>
      </c>
      <c r="C283" s="150"/>
      <c r="D283" s="150"/>
      <c r="E283" s="150"/>
      <c r="F283" s="150"/>
      <c r="G283" s="150"/>
      <c r="H283" s="150"/>
      <c r="I283" s="150"/>
      <c r="J283" s="150"/>
      <c r="K283" s="156"/>
      <c r="L283" s="156"/>
      <c r="M283" s="156"/>
      <c r="N283" s="156"/>
      <c r="O283" s="156"/>
    </row>
    <row r="284" spans="1:15" x14ac:dyDescent="0.25">
      <c r="A284" s="150" t="s">
        <v>615</v>
      </c>
      <c r="B284" s="150" t="s">
        <v>616</v>
      </c>
      <c r="C284" s="150"/>
      <c r="D284" s="150"/>
      <c r="E284" s="150"/>
      <c r="F284" s="150"/>
      <c r="G284" s="150"/>
      <c r="H284" s="150"/>
      <c r="I284" s="150"/>
      <c r="J284" s="150"/>
      <c r="K284" s="156"/>
      <c r="L284" s="156"/>
      <c r="M284" s="156"/>
      <c r="N284" s="156"/>
      <c r="O284" s="156"/>
    </row>
    <row r="285" spans="1:15" x14ac:dyDescent="0.25">
      <c r="A285" s="149" t="s">
        <v>617</v>
      </c>
      <c r="B285" s="149" t="s">
        <v>618</v>
      </c>
      <c r="C285" s="150"/>
      <c r="D285" s="150"/>
      <c r="E285" s="150"/>
      <c r="F285" s="150"/>
      <c r="G285" s="150"/>
      <c r="H285" s="150"/>
      <c r="I285" s="150"/>
      <c r="J285" s="150"/>
      <c r="K285" s="156"/>
      <c r="L285" s="156"/>
      <c r="M285" s="156"/>
      <c r="N285" s="156"/>
      <c r="O285" s="156"/>
    </row>
    <row r="286" spans="1:15" x14ac:dyDescent="0.25">
      <c r="A286" s="150" t="s">
        <v>619</v>
      </c>
      <c r="B286" s="150" t="s">
        <v>620</v>
      </c>
      <c r="C286" s="150"/>
      <c r="D286" s="150"/>
      <c r="E286" s="150"/>
      <c r="F286" s="150"/>
      <c r="G286" s="150"/>
      <c r="H286" s="150"/>
      <c r="I286" s="150"/>
      <c r="J286" s="150"/>
      <c r="K286" s="156"/>
      <c r="L286" s="156"/>
      <c r="M286" s="156"/>
      <c r="N286" s="156"/>
      <c r="O286" s="156"/>
    </row>
    <row r="287" spans="1:15" x14ac:dyDescent="0.25">
      <c r="A287" s="149" t="s">
        <v>621</v>
      </c>
      <c r="B287" s="149" t="s">
        <v>8222</v>
      </c>
      <c r="C287" s="150"/>
      <c r="D287" s="150"/>
      <c r="E287" s="150"/>
      <c r="F287" s="150"/>
      <c r="G287" s="150"/>
      <c r="H287" s="150"/>
      <c r="I287" s="150"/>
      <c r="J287" s="150"/>
      <c r="K287" s="156"/>
      <c r="L287" s="156"/>
      <c r="M287" s="156"/>
      <c r="N287" s="156"/>
      <c r="O287" s="156"/>
    </row>
    <row r="288" spans="1:15" x14ac:dyDescent="0.25">
      <c r="A288" s="150" t="s">
        <v>622</v>
      </c>
      <c r="B288" s="150" t="s">
        <v>623</v>
      </c>
      <c r="C288" s="150"/>
      <c r="D288" s="150"/>
      <c r="E288" s="150"/>
      <c r="F288" s="150"/>
      <c r="G288" s="150"/>
      <c r="H288" s="150"/>
      <c r="I288" s="150"/>
      <c r="J288" s="150"/>
      <c r="K288" s="156"/>
      <c r="L288" s="156"/>
      <c r="M288" s="156"/>
      <c r="N288" s="156"/>
      <c r="O288" s="156"/>
    </row>
    <row r="289" spans="1:15" x14ac:dyDescent="0.25">
      <c r="A289" s="149" t="s">
        <v>624</v>
      </c>
      <c r="B289" s="149" t="s">
        <v>625</v>
      </c>
      <c r="C289" s="150"/>
      <c r="D289" s="150"/>
      <c r="E289" s="150"/>
      <c r="F289" s="150"/>
      <c r="G289" s="150"/>
      <c r="H289" s="150"/>
      <c r="I289" s="150"/>
      <c r="J289" s="150"/>
      <c r="K289" s="156"/>
      <c r="L289" s="156"/>
      <c r="M289" s="156"/>
      <c r="N289" s="156"/>
      <c r="O289" s="156"/>
    </row>
    <row r="290" spans="1:15" x14ac:dyDescent="0.25">
      <c r="A290" s="150" t="s">
        <v>626</v>
      </c>
      <c r="B290" s="150" t="s">
        <v>627</v>
      </c>
      <c r="C290" s="150"/>
      <c r="D290" s="150"/>
      <c r="E290" s="150"/>
      <c r="F290" s="150"/>
      <c r="G290" s="150"/>
      <c r="H290" s="150"/>
      <c r="I290" s="150"/>
      <c r="J290" s="150"/>
      <c r="K290" s="156"/>
      <c r="L290" s="156"/>
      <c r="M290" s="156"/>
      <c r="N290" s="156"/>
      <c r="O290" s="156"/>
    </row>
    <row r="291" spans="1:15" x14ac:dyDescent="0.25">
      <c r="A291" s="149" t="s">
        <v>628</v>
      </c>
      <c r="B291" s="149" t="s">
        <v>629</v>
      </c>
      <c r="C291" s="150"/>
      <c r="D291" s="150"/>
      <c r="E291" s="150"/>
      <c r="F291" s="150"/>
      <c r="G291" s="150"/>
      <c r="H291" s="150"/>
      <c r="I291" s="150"/>
      <c r="J291" s="150"/>
      <c r="K291" s="156"/>
      <c r="L291" s="156"/>
      <c r="M291" s="156"/>
      <c r="N291" s="156"/>
      <c r="O291" s="156"/>
    </row>
    <row r="292" spans="1:15" x14ac:dyDescent="0.25">
      <c r="A292" s="150" t="s">
        <v>630</v>
      </c>
      <c r="B292" s="150" t="s">
        <v>631</v>
      </c>
      <c r="C292" s="150"/>
      <c r="D292" s="150"/>
      <c r="E292" s="150"/>
      <c r="F292" s="150"/>
      <c r="G292" s="150"/>
      <c r="H292" s="150"/>
      <c r="I292" s="150"/>
      <c r="J292" s="150"/>
      <c r="K292" s="156"/>
      <c r="L292" s="156"/>
      <c r="M292" s="156"/>
      <c r="N292" s="156"/>
      <c r="O292" s="156"/>
    </row>
    <row r="293" spans="1:15" x14ac:dyDescent="0.25">
      <c r="A293" s="149" t="s">
        <v>632</v>
      </c>
      <c r="B293" s="149" t="s">
        <v>633</v>
      </c>
      <c r="C293" s="150"/>
      <c r="D293" s="150"/>
      <c r="E293" s="150"/>
      <c r="F293" s="150"/>
      <c r="G293" s="150"/>
      <c r="H293" s="150"/>
      <c r="I293" s="150"/>
      <c r="J293" s="150"/>
      <c r="K293" s="156"/>
      <c r="L293" s="156"/>
      <c r="M293" s="156"/>
      <c r="N293" s="156"/>
      <c r="O293" s="156"/>
    </row>
    <row r="294" spans="1:15" x14ac:dyDescent="0.25">
      <c r="A294" s="150" t="s">
        <v>5435</v>
      </c>
      <c r="B294" s="150" t="s">
        <v>8223</v>
      </c>
      <c r="C294" s="150"/>
      <c r="D294" s="150"/>
      <c r="E294" s="150"/>
      <c r="F294" s="150"/>
      <c r="G294" s="150"/>
      <c r="H294" s="150"/>
      <c r="I294" s="150"/>
      <c r="J294" s="150"/>
      <c r="K294" s="156"/>
      <c r="L294" s="156"/>
      <c r="M294" s="156"/>
      <c r="N294" s="156"/>
      <c r="O294" s="156"/>
    </row>
    <row r="295" spans="1:15" x14ac:dyDescent="0.25">
      <c r="A295" s="149" t="s">
        <v>634</v>
      </c>
      <c r="B295" s="149" t="s">
        <v>635</v>
      </c>
      <c r="C295" s="150"/>
      <c r="D295" s="150"/>
      <c r="E295" s="150"/>
      <c r="F295" s="150"/>
      <c r="G295" s="150"/>
      <c r="H295" s="150"/>
      <c r="I295" s="150"/>
      <c r="J295" s="150"/>
      <c r="K295" s="156"/>
      <c r="L295" s="156"/>
      <c r="M295" s="156"/>
      <c r="N295" s="156"/>
      <c r="O295" s="156"/>
    </row>
    <row r="296" spans="1:15" x14ac:dyDescent="0.25">
      <c r="A296" s="150" t="s">
        <v>636</v>
      </c>
      <c r="B296" s="150" t="s">
        <v>637</v>
      </c>
      <c r="C296" s="150"/>
      <c r="D296" s="150"/>
      <c r="E296" s="150"/>
      <c r="F296" s="150"/>
      <c r="G296" s="150"/>
      <c r="H296" s="150"/>
      <c r="I296" s="150"/>
      <c r="J296" s="150"/>
      <c r="K296" s="156"/>
      <c r="L296" s="156"/>
      <c r="M296" s="156"/>
      <c r="N296" s="156"/>
      <c r="O296" s="156"/>
    </row>
    <row r="297" spans="1:15" x14ac:dyDescent="0.25">
      <c r="A297" s="149" t="s">
        <v>5470</v>
      </c>
      <c r="B297" s="149" t="s">
        <v>8224</v>
      </c>
      <c r="C297" s="150"/>
      <c r="D297" s="150"/>
      <c r="E297" s="150"/>
      <c r="F297" s="150"/>
      <c r="G297" s="150"/>
      <c r="H297" s="150"/>
      <c r="I297" s="150"/>
      <c r="J297" s="150"/>
      <c r="K297" s="156"/>
      <c r="L297" s="156"/>
      <c r="M297" s="156"/>
      <c r="N297" s="156"/>
      <c r="O297" s="156"/>
    </row>
    <row r="298" spans="1:15" x14ac:dyDescent="0.25">
      <c r="A298" s="150" t="s">
        <v>8225</v>
      </c>
      <c r="B298" s="150" t="s">
        <v>8226</v>
      </c>
      <c r="C298" s="150"/>
      <c r="D298" s="150"/>
      <c r="E298" s="150"/>
      <c r="F298" s="150"/>
      <c r="G298" s="150"/>
      <c r="H298" s="150"/>
      <c r="I298" s="150"/>
      <c r="J298" s="150"/>
      <c r="K298" s="156"/>
      <c r="L298" s="156"/>
      <c r="M298" s="156"/>
      <c r="N298" s="156"/>
      <c r="O298" s="156"/>
    </row>
    <row r="299" spans="1:15" x14ac:dyDescent="0.25">
      <c r="A299" s="149" t="s">
        <v>638</v>
      </c>
      <c r="B299" s="149" t="s">
        <v>639</v>
      </c>
      <c r="C299" s="150"/>
      <c r="D299" s="150"/>
      <c r="E299" s="150"/>
      <c r="F299" s="150"/>
      <c r="G299" s="150"/>
      <c r="H299" s="150"/>
      <c r="I299" s="150"/>
      <c r="J299" s="150"/>
      <c r="K299" s="156"/>
      <c r="L299" s="156"/>
      <c r="M299" s="156"/>
      <c r="N299" s="156"/>
      <c r="O299" s="156"/>
    </row>
    <row r="300" spans="1:15" x14ac:dyDescent="0.25">
      <c r="A300" s="150" t="s">
        <v>640</v>
      </c>
      <c r="B300" s="150" t="s">
        <v>641</v>
      </c>
      <c r="C300" s="150"/>
      <c r="D300" s="150"/>
      <c r="E300" s="150"/>
      <c r="F300" s="150"/>
      <c r="G300" s="150"/>
      <c r="H300" s="150"/>
      <c r="I300" s="150"/>
      <c r="J300" s="150"/>
      <c r="K300" s="156"/>
      <c r="L300" s="156"/>
      <c r="M300" s="156"/>
      <c r="N300" s="156"/>
      <c r="O300" s="156"/>
    </row>
    <row r="301" spans="1:15" x14ac:dyDescent="0.25">
      <c r="A301" s="149" t="s">
        <v>642</v>
      </c>
      <c r="B301" s="149" t="s">
        <v>8227</v>
      </c>
      <c r="C301" s="150"/>
      <c r="D301" s="150"/>
      <c r="E301" s="150"/>
      <c r="F301" s="150"/>
      <c r="G301" s="150"/>
      <c r="H301" s="150"/>
      <c r="I301" s="150"/>
      <c r="J301" s="150"/>
      <c r="K301" s="156"/>
      <c r="L301" s="156"/>
      <c r="M301" s="156"/>
      <c r="N301" s="156"/>
      <c r="O301" s="156"/>
    </row>
    <row r="302" spans="1:15" x14ac:dyDescent="0.25">
      <c r="A302" s="150" t="s">
        <v>643</v>
      </c>
      <c r="B302" s="150" t="s">
        <v>8228</v>
      </c>
      <c r="C302" s="150"/>
      <c r="D302" s="150"/>
      <c r="E302" s="150"/>
      <c r="F302" s="150"/>
      <c r="G302" s="150"/>
      <c r="H302" s="150"/>
      <c r="I302" s="150"/>
      <c r="J302" s="150"/>
      <c r="K302" s="156"/>
      <c r="L302" s="156"/>
      <c r="M302" s="156"/>
      <c r="N302" s="156"/>
      <c r="O302" s="156"/>
    </row>
    <row r="303" spans="1:15" x14ac:dyDescent="0.25">
      <c r="A303" s="149" t="s">
        <v>644</v>
      </c>
      <c r="B303" s="149" t="s">
        <v>8229</v>
      </c>
      <c r="C303" s="150"/>
      <c r="D303" s="150"/>
      <c r="E303" s="150"/>
      <c r="F303" s="150"/>
      <c r="G303" s="150"/>
      <c r="H303" s="150"/>
      <c r="I303" s="150"/>
      <c r="J303" s="150"/>
      <c r="K303" s="156"/>
      <c r="L303" s="156"/>
      <c r="M303" s="156"/>
      <c r="N303" s="156"/>
      <c r="O303" s="156"/>
    </row>
    <row r="304" spans="1:15" x14ac:dyDescent="0.25">
      <c r="A304" s="150" t="s">
        <v>645</v>
      </c>
      <c r="B304" s="150" t="s">
        <v>646</v>
      </c>
      <c r="C304" s="150"/>
      <c r="D304" s="150"/>
      <c r="E304" s="150"/>
      <c r="F304" s="150"/>
      <c r="G304" s="150"/>
      <c r="H304" s="150"/>
      <c r="I304" s="150"/>
      <c r="J304" s="150"/>
      <c r="K304" s="156"/>
      <c r="L304" s="156"/>
      <c r="M304" s="156"/>
      <c r="N304" s="156"/>
      <c r="O304" s="156"/>
    </row>
    <row r="305" spans="1:15" x14ac:dyDescent="0.25">
      <c r="A305" s="149" t="s">
        <v>647</v>
      </c>
      <c r="B305" s="149" t="s">
        <v>648</v>
      </c>
      <c r="C305" s="150"/>
      <c r="D305" s="150"/>
      <c r="E305" s="150"/>
      <c r="F305" s="150"/>
      <c r="G305" s="150"/>
      <c r="H305" s="150"/>
      <c r="I305" s="150"/>
      <c r="J305" s="150"/>
      <c r="K305" s="156"/>
      <c r="L305" s="156"/>
      <c r="M305" s="156"/>
      <c r="N305" s="156"/>
      <c r="O305" s="156"/>
    </row>
    <row r="306" spans="1:15" x14ac:dyDescent="0.25">
      <c r="A306" s="150" t="s">
        <v>649</v>
      </c>
      <c r="B306" s="150" t="s">
        <v>650</v>
      </c>
      <c r="C306" s="150"/>
      <c r="D306" s="150"/>
      <c r="E306" s="150"/>
      <c r="F306" s="150"/>
      <c r="G306" s="150"/>
      <c r="H306" s="150"/>
      <c r="I306" s="150"/>
      <c r="J306" s="150"/>
      <c r="K306" s="156"/>
      <c r="L306" s="156"/>
      <c r="M306" s="156"/>
      <c r="N306" s="156"/>
      <c r="O306" s="156"/>
    </row>
    <row r="307" spans="1:15" x14ac:dyDescent="0.25">
      <c r="A307" s="149" t="s">
        <v>651</v>
      </c>
      <c r="B307" s="149" t="s">
        <v>652</v>
      </c>
      <c r="C307" s="150"/>
      <c r="D307" s="150"/>
      <c r="E307" s="150"/>
      <c r="F307" s="150"/>
      <c r="G307" s="150"/>
      <c r="H307" s="150"/>
      <c r="I307" s="150"/>
      <c r="J307" s="150"/>
      <c r="K307" s="156"/>
      <c r="L307" s="156"/>
      <c r="M307" s="156"/>
      <c r="N307" s="156"/>
      <c r="O307" s="156"/>
    </row>
    <row r="308" spans="1:15" x14ac:dyDescent="0.25">
      <c r="A308" s="150" t="s">
        <v>653</v>
      </c>
      <c r="B308" s="150" t="s">
        <v>654</v>
      </c>
      <c r="C308" s="150"/>
      <c r="D308" s="150"/>
      <c r="E308" s="150"/>
      <c r="F308" s="150"/>
      <c r="G308" s="150"/>
      <c r="H308" s="150"/>
      <c r="I308" s="150"/>
      <c r="J308" s="150"/>
      <c r="K308" s="156"/>
      <c r="L308" s="156"/>
      <c r="M308" s="156"/>
      <c r="N308" s="156"/>
      <c r="O308" s="156"/>
    </row>
    <row r="309" spans="1:15" x14ac:dyDescent="0.25">
      <c r="A309" s="149" t="s">
        <v>6244</v>
      </c>
      <c r="B309" s="149" t="s">
        <v>8230</v>
      </c>
      <c r="C309" s="150"/>
      <c r="D309" s="150"/>
      <c r="E309" s="150"/>
      <c r="F309" s="150"/>
      <c r="G309" s="150"/>
      <c r="H309" s="150"/>
      <c r="I309" s="150"/>
      <c r="J309" s="150"/>
      <c r="K309" s="156"/>
      <c r="L309" s="156"/>
      <c r="M309" s="156"/>
      <c r="N309" s="156"/>
      <c r="O309" s="156"/>
    </row>
    <row r="310" spans="1:15" x14ac:dyDescent="0.25">
      <c r="A310" s="150" t="s">
        <v>655</v>
      </c>
      <c r="B310" s="150" t="s">
        <v>656</v>
      </c>
      <c r="C310" s="150"/>
      <c r="D310" s="150"/>
      <c r="E310" s="150"/>
      <c r="F310" s="150"/>
      <c r="G310" s="150"/>
      <c r="H310" s="150"/>
      <c r="I310" s="150"/>
      <c r="J310" s="150"/>
      <c r="K310" s="156"/>
      <c r="L310" s="156"/>
      <c r="M310" s="156"/>
      <c r="N310" s="156"/>
      <c r="O310" s="156"/>
    </row>
    <row r="311" spans="1:15" x14ac:dyDescent="0.25">
      <c r="A311" s="149" t="s">
        <v>657</v>
      </c>
      <c r="B311" s="149" t="s">
        <v>658</v>
      </c>
      <c r="C311" s="150"/>
      <c r="D311" s="150"/>
      <c r="E311" s="150"/>
      <c r="F311" s="150"/>
      <c r="G311" s="150"/>
      <c r="H311" s="150"/>
      <c r="I311" s="150"/>
      <c r="J311" s="150"/>
      <c r="K311" s="156"/>
      <c r="L311" s="156"/>
      <c r="M311" s="156"/>
      <c r="N311" s="156"/>
      <c r="O311" s="156"/>
    </row>
    <row r="312" spans="1:15" x14ac:dyDescent="0.25">
      <c r="A312" s="150" t="s">
        <v>659</v>
      </c>
      <c r="B312" s="150" t="s">
        <v>660</v>
      </c>
      <c r="C312" s="150"/>
      <c r="D312" s="150"/>
      <c r="E312" s="150"/>
      <c r="F312" s="150"/>
      <c r="G312" s="150"/>
      <c r="H312" s="150"/>
      <c r="I312" s="150"/>
      <c r="J312" s="150"/>
      <c r="K312" s="156"/>
      <c r="L312" s="156"/>
      <c r="M312" s="156"/>
      <c r="N312" s="156"/>
      <c r="O312" s="156"/>
    </row>
    <row r="313" spans="1:15" x14ac:dyDescent="0.25">
      <c r="A313" s="149" t="s">
        <v>661</v>
      </c>
      <c r="B313" s="149" t="s">
        <v>662</v>
      </c>
      <c r="C313" s="150"/>
      <c r="D313" s="150"/>
      <c r="E313" s="150"/>
      <c r="F313" s="150"/>
      <c r="G313" s="150"/>
      <c r="H313" s="150"/>
      <c r="I313" s="150"/>
      <c r="J313" s="150"/>
      <c r="K313" s="156"/>
      <c r="L313" s="156"/>
      <c r="M313" s="156"/>
      <c r="N313" s="156"/>
      <c r="O313" s="156"/>
    </row>
    <row r="314" spans="1:15" x14ac:dyDescent="0.25">
      <c r="A314" s="150" t="s">
        <v>663</v>
      </c>
      <c r="B314" s="150" t="s">
        <v>664</v>
      </c>
      <c r="C314" s="150"/>
      <c r="D314" s="150"/>
      <c r="E314" s="150"/>
      <c r="F314" s="150"/>
      <c r="G314" s="150"/>
      <c r="H314" s="150"/>
      <c r="I314" s="150"/>
      <c r="J314" s="150"/>
      <c r="K314" s="156"/>
      <c r="L314" s="156"/>
      <c r="M314" s="156"/>
      <c r="N314" s="156"/>
      <c r="O314" s="156"/>
    </row>
    <row r="315" spans="1:15" x14ac:dyDescent="0.25">
      <c r="A315" s="149" t="s">
        <v>665</v>
      </c>
      <c r="B315" s="149" t="s">
        <v>666</v>
      </c>
      <c r="C315" s="150"/>
      <c r="D315" s="150"/>
      <c r="E315" s="150"/>
      <c r="F315" s="150"/>
      <c r="G315" s="150"/>
      <c r="H315" s="150"/>
      <c r="I315" s="150"/>
      <c r="J315" s="150"/>
      <c r="K315" s="156"/>
      <c r="L315" s="156"/>
      <c r="M315" s="156"/>
      <c r="N315" s="156"/>
      <c r="O315" s="156"/>
    </row>
    <row r="316" spans="1:15" x14ac:dyDescent="0.25">
      <c r="A316" s="150" t="s">
        <v>667</v>
      </c>
      <c r="B316" s="150" t="s">
        <v>668</v>
      </c>
      <c r="C316" s="150"/>
      <c r="D316" s="150"/>
      <c r="E316" s="150"/>
      <c r="F316" s="150"/>
      <c r="G316" s="150"/>
      <c r="H316" s="150"/>
      <c r="I316" s="150"/>
      <c r="J316" s="150"/>
      <c r="K316" s="156"/>
      <c r="L316" s="156"/>
      <c r="M316" s="156"/>
      <c r="N316" s="156"/>
      <c r="O316" s="156"/>
    </row>
    <row r="317" spans="1:15" x14ac:dyDescent="0.25">
      <c r="A317" s="149" t="s">
        <v>669</v>
      </c>
      <c r="B317" s="149" t="s">
        <v>670</v>
      </c>
      <c r="C317" s="150"/>
      <c r="D317" s="150"/>
      <c r="E317" s="150"/>
      <c r="F317" s="150"/>
      <c r="G317" s="150"/>
      <c r="H317" s="150"/>
      <c r="I317" s="150"/>
      <c r="J317" s="150"/>
      <c r="K317" s="156"/>
      <c r="L317" s="156"/>
      <c r="M317" s="156"/>
      <c r="N317" s="156"/>
      <c r="O317" s="156"/>
    </row>
    <row r="318" spans="1:15" x14ac:dyDescent="0.25">
      <c r="A318" s="150" t="s">
        <v>8231</v>
      </c>
      <c r="B318" s="150" t="s">
        <v>8232</v>
      </c>
      <c r="C318" s="150"/>
      <c r="D318" s="150"/>
      <c r="E318" s="150"/>
      <c r="F318" s="150"/>
      <c r="G318" s="150"/>
      <c r="H318" s="150"/>
      <c r="I318" s="150"/>
      <c r="J318" s="150"/>
      <c r="K318" s="156"/>
      <c r="L318" s="156"/>
      <c r="M318" s="156"/>
      <c r="N318" s="156"/>
      <c r="O318" s="156"/>
    </row>
    <row r="319" spans="1:15" x14ac:dyDescent="0.25">
      <c r="A319" s="149" t="s">
        <v>671</v>
      </c>
      <c r="B319" s="149" t="s">
        <v>672</v>
      </c>
      <c r="C319" s="150"/>
      <c r="D319" s="150"/>
      <c r="E319" s="150"/>
      <c r="F319" s="150"/>
      <c r="G319" s="150"/>
      <c r="H319" s="150"/>
      <c r="I319" s="150"/>
      <c r="J319" s="150"/>
      <c r="K319" s="156"/>
      <c r="L319" s="156"/>
      <c r="M319" s="156"/>
      <c r="N319" s="156"/>
      <c r="O319" s="156"/>
    </row>
    <row r="320" spans="1:15" x14ac:dyDescent="0.25">
      <c r="A320" s="150" t="s">
        <v>673</v>
      </c>
      <c r="B320" s="150" t="s">
        <v>674</v>
      </c>
      <c r="C320" s="150"/>
      <c r="D320" s="150"/>
      <c r="E320" s="150"/>
      <c r="F320" s="150"/>
      <c r="G320" s="150"/>
      <c r="H320" s="150"/>
      <c r="I320" s="150"/>
      <c r="J320" s="150"/>
      <c r="K320" s="156"/>
      <c r="L320" s="156"/>
      <c r="M320" s="156"/>
      <c r="N320" s="156"/>
      <c r="O320" s="156"/>
    </row>
    <row r="321" spans="1:15" x14ac:dyDescent="0.25">
      <c r="A321" s="149" t="s">
        <v>5695</v>
      </c>
      <c r="B321" s="149" t="s">
        <v>8233</v>
      </c>
      <c r="C321" s="150"/>
      <c r="D321" s="150"/>
      <c r="E321" s="150"/>
      <c r="F321" s="150"/>
      <c r="G321" s="150"/>
      <c r="H321" s="150"/>
      <c r="I321" s="150"/>
      <c r="J321" s="150"/>
      <c r="K321" s="156"/>
      <c r="L321" s="156"/>
      <c r="M321" s="156"/>
      <c r="N321" s="156"/>
      <c r="O321" s="156"/>
    </row>
    <row r="322" spans="1:15" x14ac:dyDescent="0.25">
      <c r="A322" s="150" t="s">
        <v>675</v>
      </c>
      <c r="B322" s="150" t="s">
        <v>676</v>
      </c>
      <c r="C322" s="150"/>
      <c r="D322" s="150"/>
      <c r="E322" s="150"/>
      <c r="F322" s="150"/>
      <c r="G322" s="150"/>
      <c r="H322" s="150"/>
      <c r="I322" s="150"/>
      <c r="J322" s="150"/>
      <c r="K322" s="156"/>
      <c r="L322" s="156"/>
      <c r="M322" s="156"/>
      <c r="N322" s="156"/>
      <c r="O322" s="156"/>
    </row>
    <row r="323" spans="1:15" x14ac:dyDescent="0.25">
      <c r="A323" s="149" t="s">
        <v>677</v>
      </c>
      <c r="B323" s="149" t="s">
        <v>678</v>
      </c>
      <c r="C323" s="150"/>
      <c r="D323" s="150"/>
      <c r="E323" s="150"/>
      <c r="F323" s="150"/>
      <c r="G323" s="150"/>
      <c r="H323" s="150"/>
      <c r="I323" s="150"/>
      <c r="J323" s="150"/>
      <c r="K323" s="156"/>
      <c r="L323" s="156"/>
      <c r="M323" s="156"/>
      <c r="N323" s="156"/>
      <c r="O323" s="156"/>
    </row>
    <row r="324" spans="1:15" x14ac:dyDescent="0.25">
      <c r="A324" s="150" t="s">
        <v>5723</v>
      </c>
      <c r="B324" s="150" t="s">
        <v>8234</v>
      </c>
      <c r="C324" s="150"/>
      <c r="D324" s="150"/>
      <c r="E324" s="150"/>
      <c r="F324" s="150"/>
      <c r="G324" s="150"/>
      <c r="H324" s="150"/>
      <c r="I324" s="150"/>
      <c r="J324" s="150"/>
      <c r="K324" s="156"/>
      <c r="L324" s="156"/>
      <c r="M324" s="156"/>
      <c r="N324" s="156"/>
      <c r="O324" s="156"/>
    </row>
    <row r="325" spans="1:15" x14ac:dyDescent="0.25">
      <c r="A325" s="149" t="s">
        <v>679</v>
      </c>
      <c r="B325" s="149" t="s">
        <v>680</v>
      </c>
      <c r="C325" s="150"/>
      <c r="D325" s="150"/>
      <c r="E325" s="150"/>
      <c r="F325" s="150"/>
      <c r="G325" s="150"/>
      <c r="H325" s="150"/>
      <c r="I325" s="150"/>
      <c r="J325" s="150"/>
      <c r="K325" s="156"/>
      <c r="L325" s="156"/>
      <c r="M325" s="156"/>
      <c r="N325" s="156"/>
      <c r="O325" s="156"/>
    </row>
    <row r="326" spans="1:15" x14ac:dyDescent="0.25">
      <c r="A326" s="150" t="s">
        <v>681</v>
      </c>
      <c r="B326" s="150" t="s">
        <v>682</v>
      </c>
      <c r="C326" s="150"/>
      <c r="D326" s="150"/>
      <c r="E326" s="150"/>
      <c r="F326" s="150"/>
      <c r="G326" s="150"/>
      <c r="H326" s="150"/>
      <c r="I326" s="150"/>
      <c r="J326" s="150"/>
      <c r="K326" s="156"/>
      <c r="L326" s="156"/>
      <c r="M326" s="156"/>
      <c r="N326" s="156"/>
      <c r="O326" s="156"/>
    </row>
    <row r="327" spans="1:15" x14ac:dyDescent="0.25">
      <c r="A327" s="149" t="s">
        <v>683</v>
      </c>
      <c r="B327" s="149" t="s">
        <v>684</v>
      </c>
      <c r="C327" s="150"/>
      <c r="D327" s="150"/>
      <c r="E327" s="150"/>
      <c r="F327" s="150"/>
      <c r="G327" s="150"/>
      <c r="H327" s="150"/>
      <c r="I327" s="150"/>
      <c r="J327" s="150"/>
      <c r="K327" s="156"/>
      <c r="L327" s="156"/>
      <c r="M327" s="156"/>
      <c r="N327" s="156"/>
      <c r="O327" s="156"/>
    </row>
    <row r="328" spans="1:15" x14ac:dyDescent="0.25">
      <c r="A328" s="150" t="s">
        <v>685</v>
      </c>
      <c r="B328" s="150" t="s">
        <v>686</v>
      </c>
      <c r="C328" s="150"/>
      <c r="D328" s="150"/>
      <c r="E328" s="150"/>
      <c r="F328" s="150"/>
      <c r="G328" s="150"/>
      <c r="H328" s="150"/>
      <c r="I328" s="150"/>
      <c r="J328" s="150"/>
      <c r="K328" s="156"/>
      <c r="L328" s="156"/>
      <c r="M328" s="156"/>
      <c r="N328" s="156"/>
      <c r="O328" s="156"/>
    </row>
    <row r="329" spans="1:15" x14ac:dyDescent="0.25">
      <c r="A329" s="149" t="s">
        <v>687</v>
      </c>
      <c r="B329" s="149" t="s">
        <v>688</v>
      </c>
      <c r="C329" s="150"/>
      <c r="D329" s="150"/>
      <c r="E329" s="150"/>
      <c r="F329" s="150"/>
      <c r="G329" s="150"/>
      <c r="H329" s="150"/>
      <c r="I329" s="150"/>
      <c r="J329" s="150"/>
      <c r="K329" s="156"/>
      <c r="L329" s="156"/>
      <c r="M329" s="156"/>
      <c r="N329" s="156"/>
      <c r="O329" s="156"/>
    </row>
    <row r="330" spans="1:15" x14ac:dyDescent="0.25">
      <c r="A330" s="150" t="s">
        <v>689</v>
      </c>
      <c r="B330" s="150" t="s">
        <v>690</v>
      </c>
      <c r="C330" s="150"/>
      <c r="D330" s="150"/>
      <c r="E330" s="150"/>
      <c r="F330" s="150"/>
      <c r="G330" s="150"/>
      <c r="H330" s="150"/>
      <c r="I330" s="150"/>
      <c r="J330" s="150"/>
      <c r="K330" s="156"/>
      <c r="L330" s="156"/>
      <c r="M330" s="156"/>
      <c r="N330" s="156"/>
      <c r="O330" s="156"/>
    </row>
    <row r="331" spans="1:15" x14ac:dyDescent="0.25">
      <c r="A331" s="149" t="s">
        <v>691</v>
      </c>
      <c r="B331" s="149" t="s">
        <v>692</v>
      </c>
      <c r="C331" s="150"/>
      <c r="D331" s="150"/>
      <c r="E331" s="150"/>
      <c r="F331" s="150"/>
      <c r="G331" s="150"/>
      <c r="H331" s="150"/>
      <c r="I331" s="150"/>
      <c r="J331" s="150"/>
      <c r="K331" s="156"/>
      <c r="L331" s="156"/>
      <c r="M331" s="156"/>
      <c r="N331" s="156"/>
      <c r="O331" s="156"/>
    </row>
    <row r="332" spans="1:15" x14ac:dyDescent="0.25">
      <c r="A332" s="150" t="s">
        <v>693</v>
      </c>
      <c r="B332" s="150" t="s">
        <v>694</v>
      </c>
      <c r="C332" s="150"/>
      <c r="D332" s="150"/>
      <c r="E332" s="150"/>
      <c r="F332" s="150"/>
      <c r="G332" s="150"/>
      <c r="H332" s="150"/>
      <c r="I332" s="150"/>
      <c r="J332" s="150"/>
      <c r="K332" s="156"/>
      <c r="L332" s="156"/>
      <c r="M332" s="156"/>
      <c r="N332" s="156"/>
      <c r="O332" s="156"/>
    </row>
    <row r="333" spans="1:15" x14ac:dyDescent="0.25">
      <c r="A333" s="149" t="s">
        <v>695</v>
      </c>
      <c r="B333" s="149" t="s">
        <v>696</v>
      </c>
      <c r="C333" s="150"/>
      <c r="D333" s="150"/>
      <c r="E333" s="150"/>
      <c r="F333" s="150"/>
      <c r="G333" s="150"/>
      <c r="H333" s="150"/>
      <c r="I333" s="150"/>
      <c r="J333" s="150"/>
      <c r="K333" s="156"/>
      <c r="L333" s="156"/>
      <c r="M333" s="156"/>
      <c r="N333" s="156"/>
      <c r="O333" s="156"/>
    </row>
    <row r="334" spans="1:15" x14ac:dyDescent="0.25">
      <c r="A334" s="150" t="s">
        <v>697</v>
      </c>
      <c r="B334" s="150" t="s">
        <v>698</v>
      </c>
      <c r="C334" s="150"/>
      <c r="D334" s="150"/>
      <c r="E334" s="150"/>
      <c r="F334" s="150"/>
      <c r="G334" s="150"/>
      <c r="H334" s="150"/>
      <c r="I334" s="150"/>
      <c r="J334" s="150"/>
      <c r="K334" s="156"/>
      <c r="L334" s="156"/>
      <c r="M334" s="156"/>
      <c r="N334" s="156"/>
      <c r="O334" s="156"/>
    </row>
    <row r="335" spans="1:15" x14ac:dyDescent="0.25">
      <c r="A335" s="149" t="s">
        <v>699</v>
      </c>
      <c r="B335" s="149" t="s">
        <v>700</v>
      </c>
      <c r="C335" s="150"/>
      <c r="D335" s="150"/>
      <c r="E335" s="150"/>
      <c r="F335" s="150"/>
      <c r="G335" s="150"/>
      <c r="H335" s="150"/>
      <c r="I335" s="150"/>
      <c r="J335" s="150"/>
      <c r="K335" s="156"/>
      <c r="L335" s="156"/>
      <c r="M335" s="156"/>
      <c r="N335" s="156"/>
      <c r="O335" s="156"/>
    </row>
    <row r="336" spans="1:15" x14ac:dyDescent="0.25">
      <c r="A336" s="150" t="s">
        <v>701</v>
      </c>
      <c r="B336" s="150" t="s">
        <v>702</v>
      </c>
      <c r="C336" s="150"/>
      <c r="D336" s="150"/>
      <c r="E336" s="150"/>
      <c r="F336" s="150"/>
      <c r="G336" s="150"/>
      <c r="H336" s="150"/>
      <c r="I336" s="150"/>
      <c r="J336" s="150"/>
      <c r="K336" s="156"/>
      <c r="L336" s="156"/>
      <c r="M336" s="156"/>
      <c r="N336" s="156"/>
      <c r="O336" s="156"/>
    </row>
    <row r="337" spans="1:15" x14ac:dyDescent="0.25">
      <c r="A337" s="149" t="s">
        <v>703</v>
      </c>
      <c r="B337" s="149" t="s">
        <v>704</v>
      </c>
      <c r="C337" s="150"/>
      <c r="D337" s="150"/>
      <c r="E337" s="150"/>
      <c r="F337" s="150"/>
      <c r="G337" s="150"/>
      <c r="H337" s="150"/>
      <c r="I337" s="150"/>
      <c r="J337" s="150"/>
      <c r="K337" s="156"/>
      <c r="L337" s="156"/>
      <c r="M337" s="156"/>
      <c r="N337" s="156"/>
      <c r="O337" s="156"/>
    </row>
    <row r="338" spans="1:15" x14ac:dyDescent="0.25">
      <c r="A338" s="150" t="s">
        <v>705</v>
      </c>
      <c r="B338" s="150" t="s">
        <v>706</v>
      </c>
      <c r="C338" s="150"/>
      <c r="D338" s="150"/>
      <c r="E338" s="150"/>
      <c r="F338" s="150"/>
      <c r="G338" s="150"/>
      <c r="H338" s="150"/>
      <c r="I338" s="150"/>
      <c r="J338" s="150"/>
      <c r="K338" s="156"/>
      <c r="L338" s="156"/>
      <c r="M338" s="156"/>
      <c r="N338" s="156"/>
      <c r="O338" s="156"/>
    </row>
    <row r="339" spans="1:15" x14ac:dyDescent="0.25">
      <c r="A339" s="149" t="s">
        <v>707</v>
      </c>
      <c r="B339" s="149" t="s">
        <v>8235</v>
      </c>
      <c r="C339" s="150"/>
      <c r="D339" s="150"/>
      <c r="E339" s="150"/>
      <c r="F339" s="150"/>
      <c r="G339" s="150"/>
      <c r="H339" s="150"/>
      <c r="I339" s="150"/>
      <c r="J339" s="150"/>
      <c r="K339" s="156"/>
      <c r="L339" s="156"/>
      <c r="M339" s="156"/>
      <c r="N339" s="156"/>
      <c r="O339" s="156"/>
    </row>
    <row r="340" spans="1:15" x14ac:dyDescent="0.25">
      <c r="A340" s="150" t="s">
        <v>5867</v>
      </c>
      <c r="B340" s="150" t="s">
        <v>8236</v>
      </c>
      <c r="C340" s="150"/>
      <c r="D340" s="150"/>
      <c r="E340" s="150"/>
      <c r="F340" s="150"/>
      <c r="G340" s="150"/>
      <c r="H340" s="150"/>
      <c r="I340" s="150"/>
      <c r="J340" s="150"/>
      <c r="K340" s="156"/>
      <c r="L340" s="156"/>
      <c r="M340" s="156"/>
      <c r="N340" s="161" t="s">
        <v>8847</v>
      </c>
      <c r="O340" s="161" t="s">
        <v>2502</v>
      </c>
    </row>
    <row r="341" spans="1:15" x14ac:dyDescent="0.25">
      <c r="A341" s="149" t="s">
        <v>708</v>
      </c>
      <c r="B341" s="149" t="s">
        <v>709</v>
      </c>
      <c r="C341" s="150"/>
      <c r="D341" s="150"/>
      <c r="E341" s="150"/>
      <c r="F341" s="150"/>
      <c r="G341" s="150"/>
      <c r="H341" s="150"/>
      <c r="I341" s="150"/>
      <c r="J341" s="150"/>
      <c r="K341" s="156"/>
      <c r="L341" s="156"/>
      <c r="M341" s="156"/>
      <c r="N341" s="156"/>
      <c r="O341" s="156"/>
    </row>
    <row r="342" spans="1:15" x14ac:dyDescent="0.25">
      <c r="A342" s="150" t="s">
        <v>710</v>
      </c>
      <c r="B342" s="150" t="s">
        <v>711</v>
      </c>
      <c r="C342" s="150"/>
      <c r="D342" s="150"/>
      <c r="E342" s="150"/>
      <c r="F342" s="150"/>
      <c r="G342" s="150"/>
      <c r="H342" s="150"/>
      <c r="I342" s="150"/>
      <c r="J342" s="150"/>
      <c r="K342" s="156"/>
      <c r="L342" s="156"/>
      <c r="M342" s="156"/>
      <c r="N342" s="156"/>
      <c r="O342" s="156"/>
    </row>
    <row r="343" spans="1:15" x14ac:dyDescent="0.25">
      <c r="A343" s="149" t="s">
        <v>712</v>
      </c>
      <c r="B343" s="149" t="s">
        <v>713</v>
      </c>
      <c r="C343" s="150"/>
      <c r="D343" s="150"/>
      <c r="E343" s="150"/>
      <c r="F343" s="150"/>
      <c r="G343" s="150"/>
      <c r="H343" s="150"/>
      <c r="I343" s="150"/>
      <c r="J343" s="150"/>
      <c r="K343" s="156"/>
      <c r="L343" s="156"/>
      <c r="M343" s="156"/>
      <c r="N343" s="156"/>
      <c r="O343" s="156"/>
    </row>
    <row r="344" spans="1:15" x14ac:dyDescent="0.25">
      <c r="A344" s="150" t="s">
        <v>714</v>
      </c>
      <c r="B344" s="150" t="s">
        <v>715</v>
      </c>
      <c r="C344" s="150"/>
      <c r="D344" s="150"/>
      <c r="E344" s="150"/>
      <c r="F344" s="150"/>
      <c r="G344" s="150"/>
      <c r="H344" s="150"/>
      <c r="I344" s="150"/>
      <c r="J344" s="150"/>
      <c r="K344" s="156"/>
      <c r="L344" s="156"/>
      <c r="M344" s="156"/>
      <c r="N344" s="156"/>
      <c r="O344" s="156"/>
    </row>
    <row r="345" spans="1:15" x14ac:dyDescent="0.25">
      <c r="A345" s="149" t="s">
        <v>716</v>
      </c>
      <c r="B345" s="149" t="s">
        <v>717</v>
      </c>
      <c r="C345" s="150"/>
      <c r="D345" s="150"/>
      <c r="E345" s="150"/>
      <c r="F345" s="150"/>
      <c r="G345" s="150"/>
      <c r="H345" s="150"/>
      <c r="I345" s="150"/>
      <c r="J345" s="150"/>
      <c r="K345" s="156"/>
      <c r="L345" s="156"/>
      <c r="M345" s="156"/>
      <c r="N345" s="156"/>
      <c r="O345" s="156"/>
    </row>
    <row r="346" spans="1:15" x14ac:dyDescent="0.25">
      <c r="A346" s="150" t="s">
        <v>8237</v>
      </c>
      <c r="B346" s="150" t="s">
        <v>8238</v>
      </c>
      <c r="C346" s="150"/>
      <c r="D346" s="150"/>
      <c r="E346" s="150"/>
      <c r="F346" s="150"/>
      <c r="G346" s="150"/>
      <c r="H346" s="150"/>
      <c r="I346" s="150"/>
      <c r="J346" s="150"/>
      <c r="K346" s="156"/>
      <c r="L346" s="156"/>
      <c r="M346" s="156"/>
      <c r="N346" s="156"/>
      <c r="O346" s="156"/>
    </row>
    <row r="347" spans="1:15" x14ac:dyDescent="0.25">
      <c r="A347" s="149" t="s">
        <v>718</v>
      </c>
      <c r="B347" s="149" t="s">
        <v>719</v>
      </c>
      <c r="C347" s="150"/>
      <c r="D347" s="150"/>
      <c r="E347" s="150"/>
      <c r="F347" s="150"/>
      <c r="G347" s="150"/>
      <c r="H347" s="150"/>
      <c r="I347" s="150"/>
      <c r="J347" s="150"/>
      <c r="K347" s="156"/>
      <c r="L347" s="156"/>
      <c r="M347" s="156"/>
      <c r="N347" s="156"/>
      <c r="O347" s="156"/>
    </row>
    <row r="348" spans="1:15" x14ac:dyDescent="0.25">
      <c r="A348" s="150" t="s">
        <v>720</v>
      </c>
      <c r="B348" s="150" t="s">
        <v>721</v>
      </c>
      <c r="C348" s="150"/>
      <c r="D348" s="150"/>
      <c r="E348" s="150"/>
      <c r="F348" s="150"/>
      <c r="G348" s="150"/>
      <c r="H348" s="150"/>
      <c r="I348" s="150"/>
      <c r="J348" s="150"/>
      <c r="K348" s="156"/>
      <c r="L348" s="156"/>
      <c r="M348" s="156"/>
      <c r="N348" s="156"/>
      <c r="O348" s="156"/>
    </row>
    <row r="349" spans="1:15" x14ac:dyDescent="0.25">
      <c r="A349" s="149" t="s">
        <v>722</v>
      </c>
      <c r="B349" s="149" t="s">
        <v>8239</v>
      </c>
      <c r="C349" s="150"/>
      <c r="D349" s="150"/>
      <c r="E349" s="150"/>
      <c r="F349" s="150"/>
      <c r="G349" s="150"/>
      <c r="H349" s="150"/>
      <c r="I349" s="150"/>
      <c r="J349" s="150"/>
      <c r="K349" s="156"/>
      <c r="L349" s="156"/>
      <c r="M349" s="156"/>
      <c r="N349" s="156"/>
      <c r="O349" s="156"/>
    </row>
    <row r="350" spans="1:15" x14ac:dyDescent="0.25">
      <c r="A350" s="150" t="s">
        <v>723</v>
      </c>
      <c r="B350" s="150" t="s">
        <v>724</v>
      </c>
      <c r="C350" s="150"/>
      <c r="D350" s="150"/>
      <c r="E350" s="150"/>
      <c r="F350" s="150"/>
      <c r="G350" s="150"/>
      <c r="H350" s="150"/>
      <c r="I350" s="150"/>
      <c r="J350" s="150"/>
      <c r="K350" s="156"/>
      <c r="L350" s="156"/>
      <c r="M350" s="156"/>
      <c r="N350" s="156"/>
      <c r="O350" s="156"/>
    </row>
    <row r="351" spans="1:15" x14ac:dyDescent="0.25">
      <c r="A351" s="149" t="s">
        <v>725</v>
      </c>
      <c r="B351" s="149" t="s">
        <v>726</v>
      </c>
      <c r="C351" s="150"/>
      <c r="D351" s="150"/>
      <c r="E351" s="150"/>
      <c r="F351" s="150"/>
      <c r="G351" s="150"/>
      <c r="H351" s="150"/>
      <c r="I351" s="150"/>
      <c r="J351" s="150"/>
      <c r="K351" s="156"/>
      <c r="L351" s="156"/>
      <c r="M351" s="156"/>
      <c r="N351" s="156"/>
      <c r="O351" s="156"/>
    </row>
    <row r="352" spans="1:15" x14ac:dyDescent="0.25">
      <c r="A352" s="150" t="s">
        <v>727</v>
      </c>
      <c r="B352" s="150" t="s">
        <v>728</v>
      </c>
      <c r="C352" s="150"/>
      <c r="D352" s="150"/>
      <c r="E352" s="150"/>
      <c r="F352" s="150"/>
      <c r="G352" s="150"/>
      <c r="H352" s="150"/>
      <c r="I352" s="150"/>
      <c r="J352" s="150"/>
      <c r="K352" s="156"/>
      <c r="L352" s="156"/>
      <c r="M352" s="156"/>
      <c r="N352" s="156"/>
      <c r="O352" s="156"/>
    </row>
    <row r="353" spans="1:15" x14ac:dyDescent="0.25">
      <c r="A353" s="149" t="s">
        <v>8240</v>
      </c>
      <c r="B353" s="149" t="s">
        <v>8241</v>
      </c>
      <c r="C353" s="150"/>
      <c r="D353" s="150"/>
      <c r="E353" s="150"/>
      <c r="F353" s="150"/>
      <c r="G353" s="150"/>
      <c r="H353" s="150"/>
      <c r="I353" s="150"/>
      <c r="J353" s="150"/>
      <c r="K353" s="156"/>
      <c r="L353" s="156"/>
      <c r="M353" s="156"/>
      <c r="N353" s="156"/>
      <c r="O353" s="156"/>
    </row>
    <row r="354" spans="1:15" x14ac:dyDescent="0.25">
      <c r="A354" s="150" t="s">
        <v>729</v>
      </c>
      <c r="B354" s="150" t="s">
        <v>730</v>
      </c>
      <c r="C354" s="150"/>
      <c r="D354" s="150"/>
      <c r="E354" s="150"/>
      <c r="F354" s="150"/>
      <c r="G354" s="150"/>
      <c r="H354" s="150"/>
      <c r="I354" s="150"/>
      <c r="J354" s="150"/>
      <c r="K354" s="156"/>
      <c r="L354" s="156"/>
      <c r="M354" s="156"/>
      <c r="N354" s="156"/>
      <c r="O354" s="156"/>
    </row>
    <row r="355" spans="1:15" x14ac:dyDescent="0.25">
      <c r="A355" s="149" t="s">
        <v>731</v>
      </c>
      <c r="B355" s="149" t="s">
        <v>732</v>
      </c>
      <c r="C355" s="150"/>
      <c r="D355" s="150"/>
      <c r="E355" s="150"/>
      <c r="F355" s="150"/>
      <c r="G355" s="150"/>
      <c r="H355" s="150"/>
      <c r="I355" s="150"/>
      <c r="J355" s="150"/>
      <c r="K355" s="156"/>
      <c r="L355" s="156"/>
      <c r="M355" s="156"/>
      <c r="N355" s="156"/>
      <c r="O355" s="156"/>
    </row>
    <row r="356" spans="1:15" x14ac:dyDescent="0.25">
      <c r="A356" s="150" t="s">
        <v>733</v>
      </c>
      <c r="B356" s="150" t="s">
        <v>734</v>
      </c>
      <c r="C356" s="150"/>
      <c r="D356" s="150"/>
      <c r="E356" s="150"/>
      <c r="F356" s="150"/>
      <c r="G356" s="150"/>
      <c r="H356" s="150"/>
      <c r="I356" s="150"/>
      <c r="J356" s="150"/>
      <c r="K356" s="156"/>
      <c r="L356" s="156"/>
      <c r="M356" s="156"/>
      <c r="N356" s="156"/>
      <c r="O356" s="156"/>
    </row>
    <row r="357" spans="1:15" x14ac:dyDescent="0.25">
      <c r="A357" s="149" t="s">
        <v>735</v>
      </c>
      <c r="B357" s="149" t="s">
        <v>736</v>
      </c>
      <c r="C357" s="150"/>
      <c r="D357" s="150"/>
      <c r="E357" s="150"/>
      <c r="F357" s="150"/>
      <c r="G357" s="150"/>
      <c r="H357" s="150"/>
      <c r="I357" s="150"/>
      <c r="J357" s="150"/>
      <c r="K357" s="156"/>
      <c r="L357" s="156"/>
      <c r="M357" s="156"/>
      <c r="N357" s="156"/>
      <c r="O357" s="156"/>
    </row>
    <row r="358" spans="1:15" x14ac:dyDescent="0.25">
      <c r="A358" s="150" t="s">
        <v>737</v>
      </c>
      <c r="B358" s="150" t="s">
        <v>738</v>
      </c>
      <c r="C358" s="150"/>
      <c r="D358" s="150"/>
      <c r="E358" s="150"/>
      <c r="F358" s="150"/>
      <c r="G358" s="150"/>
      <c r="H358" s="150"/>
      <c r="I358" s="150"/>
      <c r="J358" s="150"/>
      <c r="K358" s="156"/>
      <c r="L358" s="156"/>
      <c r="M358" s="156"/>
      <c r="N358" s="156"/>
      <c r="O358" s="156"/>
    </row>
    <row r="359" spans="1:15" x14ac:dyDescent="0.25">
      <c r="A359" s="149" t="s">
        <v>739</v>
      </c>
      <c r="B359" s="149" t="s">
        <v>740</v>
      </c>
      <c r="C359" s="150"/>
      <c r="D359" s="150"/>
      <c r="E359" s="150"/>
      <c r="F359" s="150"/>
      <c r="G359" s="150"/>
      <c r="H359" s="150"/>
      <c r="I359" s="150"/>
      <c r="J359" s="150"/>
      <c r="K359" s="156"/>
      <c r="L359" s="156"/>
      <c r="M359" s="156"/>
      <c r="N359" s="156"/>
      <c r="O359" s="156"/>
    </row>
    <row r="360" spans="1:15" x14ac:dyDescent="0.25">
      <c r="A360" s="150" t="s">
        <v>741</v>
      </c>
      <c r="B360" s="150" t="s">
        <v>742</v>
      </c>
      <c r="C360" s="150"/>
      <c r="D360" s="150"/>
      <c r="E360" s="150"/>
      <c r="F360" s="150"/>
      <c r="G360" s="150"/>
      <c r="H360" s="150"/>
      <c r="I360" s="150"/>
      <c r="J360" s="150"/>
      <c r="K360" s="156"/>
      <c r="L360" s="156"/>
      <c r="M360" s="156"/>
      <c r="N360" s="156"/>
      <c r="O360" s="156"/>
    </row>
    <row r="361" spans="1:15" x14ac:dyDescent="0.25">
      <c r="A361" s="149" t="s">
        <v>743</v>
      </c>
      <c r="B361" s="149" t="s">
        <v>744</v>
      </c>
      <c r="C361" s="150"/>
      <c r="D361" s="150"/>
      <c r="E361" s="150"/>
      <c r="F361" s="150"/>
      <c r="G361" s="150"/>
      <c r="H361" s="150"/>
      <c r="I361" s="150"/>
      <c r="J361" s="150"/>
      <c r="K361" s="156"/>
      <c r="L361" s="156"/>
      <c r="M361" s="156"/>
      <c r="N361" s="156"/>
      <c r="O361" s="156"/>
    </row>
    <row r="362" spans="1:15" x14ac:dyDescent="0.25">
      <c r="A362" s="150" t="s">
        <v>745</v>
      </c>
      <c r="B362" s="150" t="s">
        <v>746</v>
      </c>
      <c r="C362" s="150"/>
      <c r="D362" s="150"/>
      <c r="E362" s="150"/>
      <c r="F362" s="150"/>
      <c r="G362" s="150"/>
      <c r="H362" s="150"/>
      <c r="I362" s="150"/>
      <c r="J362" s="150"/>
      <c r="K362" s="156"/>
      <c r="L362" s="156"/>
      <c r="M362" s="156"/>
      <c r="N362" s="156"/>
      <c r="O362" s="156"/>
    </row>
    <row r="363" spans="1:15" x14ac:dyDescent="0.25">
      <c r="A363" s="149" t="s">
        <v>747</v>
      </c>
      <c r="B363" s="149" t="s">
        <v>748</v>
      </c>
      <c r="C363" s="150"/>
      <c r="D363" s="150"/>
      <c r="E363" s="150"/>
      <c r="F363" s="150"/>
      <c r="G363" s="150"/>
      <c r="H363" s="150"/>
      <c r="I363" s="150"/>
      <c r="J363" s="150"/>
      <c r="K363" s="156"/>
      <c r="L363" s="156"/>
      <c r="M363" s="156"/>
      <c r="N363" s="156"/>
      <c r="O363" s="156"/>
    </row>
    <row r="364" spans="1:15" x14ac:dyDescent="0.25">
      <c r="A364" s="150" t="s">
        <v>749</v>
      </c>
      <c r="B364" s="150" t="s">
        <v>8242</v>
      </c>
      <c r="C364" s="150"/>
      <c r="D364" s="150"/>
      <c r="E364" s="150"/>
      <c r="F364" s="150"/>
      <c r="G364" s="150"/>
      <c r="H364" s="150"/>
      <c r="I364" s="150"/>
      <c r="J364" s="150"/>
      <c r="K364" s="156"/>
      <c r="L364" s="156"/>
      <c r="M364" s="156"/>
      <c r="N364" s="156"/>
      <c r="O364" s="156"/>
    </row>
    <row r="365" spans="1:15" x14ac:dyDescent="0.25">
      <c r="A365" s="149" t="s">
        <v>750</v>
      </c>
      <c r="B365" s="149" t="s">
        <v>8243</v>
      </c>
      <c r="C365" s="150"/>
      <c r="D365" s="150"/>
      <c r="E365" s="150"/>
      <c r="F365" s="150"/>
      <c r="G365" s="150"/>
      <c r="H365" s="150"/>
      <c r="I365" s="150"/>
      <c r="J365" s="150"/>
      <c r="K365" s="156"/>
      <c r="L365" s="156"/>
      <c r="M365" s="156"/>
      <c r="N365" s="156"/>
      <c r="O365" s="156"/>
    </row>
    <row r="366" spans="1:15" x14ac:dyDescent="0.25">
      <c r="A366" s="150" t="s">
        <v>751</v>
      </c>
      <c r="B366" s="150" t="s">
        <v>752</v>
      </c>
      <c r="C366" s="150"/>
      <c r="D366" s="150"/>
      <c r="E366" s="150"/>
      <c r="F366" s="150"/>
      <c r="G366" s="150"/>
      <c r="H366" s="150"/>
      <c r="I366" s="150"/>
      <c r="J366" s="150"/>
      <c r="K366" s="156"/>
      <c r="L366" s="156"/>
      <c r="M366" s="156"/>
      <c r="N366" s="156"/>
      <c r="O366" s="156"/>
    </row>
    <row r="367" spans="1:15" x14ac:dyDescent="0.25">
      <c r="A367" s="149" t="s">
        <v>753</v>
      </c>
      <c r="B367" s="149" t="s">
        <v>754</v>
      </c>
      <c r="C367" s="150"/>
      <c r="D367" s="150"/>
      <c r="E367" s="150"/>
      <c r="F367" s="150"/>
      <c r="G367" s="150"/>
      <c r="H367" s="150"/>
      <c r="I367" s="150"/>
      <c r="J367" s="150"/>
      <c r="K367" s="156"/>
      <c r="L367" s="156"/>
      <c r="M367" s="156"/>
      <c r="N367" s="156"/>
      <c r="O367" s="156"/>
    </row>
    <row r="368" spans="1:15" x14ac:dyDescent="0.25">
      <c r="A368" s="150" t="s">
        <v>755</v>
      </c>
      <c r="B368" s="150" t="s">
        <v>8244</v>
      </c>
      <c r="C368" s="150"/>
      <c r="D368" s="150"/>
      <c r="E368" s="150"/>
      <c r="F368" s="150"/>
      <c r="G368" s="150"/>
      <c r="H368" s="150"/>
      <c r="I368" s="150"/>
      <c r="J368" s="150"/>
      <c r="K368" s="156"/>
      <c r="L368" s="156"/>
      <c r="M368" s="156"/>
      <c r="N368" s="156"/>
      <c r="O368" s="156"/>
    </row>
    <row r="369" spans="1:15" x14ac:dyDescent="0.25">
      <c r="A369" s="149" t="s">
        <v>756</v>
      </c>
      <c r="B369" s="149" t="s">
        <v>8245</v>
      </c>
      <c r="C369" s="150"/>
      <c r="D369" s="150"/>
      <c r="E369" s="150"/>
      <c r="F369" s="150"/>
      <c r="G369" s="150"/>
      <c r="H369" s="150"/>
      <c r="I369" s="150"/>
      <c r="J369" s="150"/>
      <c r="K369" s="156"/>
      <c r="L369" s="156"/>
      <c r="M369" s="156"/>
      <c r="N369" s="156"/>
      <c r="O369" s="156"/>
    </row>
    <row r="370" spans="1:15" x14ac:dyDescent="0.25">
      <c r="A370" s="150" t="s">
        <v>757</v>
      </c>
      <c r="B370" s="150" t="s">
        <v>758</v>
      </c>
      <c r="C370" s="150"/>
      <c r="D370" s="150"/>
      <c r="E370" s="150"/>
      <c r="F370" s="150"/>
      <c r="G370" s="150"/>
      <c r="H370" s="150"/>
      <c r="I370" s="150"/>
      <c r="J370" s="150"/>
      <c r="K370" s="156"/>
      <c r="L370" s="156"/>
      <c r="M370" s="156"/>
      <c r="N370" s="156"/>
      <c r="O370" s="156"/>
    </row>
    <row r="371" spans="1:15" x14ac:dyDescent="0.25">
      <c r="A371" s="149" t="s">
        <v>759</v>
      </c>
      <c r="B371" s="149" t="s">
        <v>760</v>
      </c>
      <c r="C371" s="150"/>
      <c r="D371" s="150"/>
      <c r="E371" s="150"/>
      <c r="F371" s="150"/>
      <c r="G371" s="150"/>
      <c r="H371" s="150"/>
      <c r="I371" s="150"/>
      <c r="J371" s="150"/>
      <c r="K371" s="156"/>
      <c r="L371" s="156"/>
      <c r="M371" s="156"/>
      <c r="N371" s="156"/>
      <c r="O371" s="156"/>
    </row>
    <row r="372" spans="1:15" x14ac:dyDescent="0.25">
      <c r="A372" s="150" t="s">
        <v>761</v>
      </c>
      <c r="B372" s="150" t="s">
        <v>762</v>
      </c>
      <c r="C372" s="150"/>
      <c r="D372" s="150"/>
      <c r="E372" s="150"/>
      <c r="F372" s="150"/>
      <c r="G372" s="150"/>
      <c r="H372" s="150"/>
      <c r="I372" s="150"/>
      <c r="J372" s="150"/>
      <c r="K372" s="156"/>
      <c r="L372" s="156"/>
      <c r="M372" s="156"/>
      <c r="N372" s="156"/>
      <c r="O372" s="156"/>
    </row>
    <row r="373" spans="1:15" x14ac:dyDescent="0.25">
      <c r="A373" s="149" t="s">
        <v>763</v>
      </c>
      <c r="B373" s="149" t="s">
        <v>764</v>
      </c>
      <c r="C373" s="150"/>
      <c r="D373" s="150"/>
      <c r="E373" s="150"/>
      <c r="F373" s="150"/>
      <c r="G373" s="150"/>
      <c r="H373" s="150"/>
      <c r="I373" s="150"/>
      <c r="J373" s="150"/>
      <c r="K373" s="156"/>
      <c r="L373" s="156"/>
      <c r="M373" s="156"/>
      <c r="N373" s="156"/>
      <c r="O373" s="156"/>
    </row>
    <row r="374" spans="1:15" x14ac:dyDescent="0.25">
      <c r="A374" s="150" t="s">
        <v>765</v>
      </c>
      <c r="B374" s="150" t="s">
        <v>766</v>
      </c>
      <c r="C374" s="150"/>
      <c r="D374" s="150"/>
      <c r="E374" s="150"/>
      <c r="F374" s="150"/>
      <c r="G374" s="150"/>
      <c r="H374" s="150"/>
      <c r="I374" s="150"/>
      <c r="J374" s="150"/>
      <c r="K374" s="156"/>
      <c r="L374" s="156"/>
      <c r="M374" s="156"/>
      <c r="N374" s="156"/>
      <c r="O374" s="156"/>
    </row>
    <row r="375" spans="1:15" x14ac:dyDescent="0.25">
      <c r="A375" s="149" t="s">
        <v>767</v>
      </c>
      <c r="B375" s="149" t="s">
        <v>768</v>
      </c>
      <c r="C375" s="150"/>
      <c r="D375" s="150"/>
      <c r="E375" s="150"/>
      <c r="F375" s="150"/>
      <c r="G375" s="150"/>
      <c r="H375" s="150"/>
      <c r="I375" s="150"/>
      <c r="J375" s="150"/>
      <c r="K375" s="156"/>
      <c r="L375" s="156"/>
      <c r="M375" s="156"/>
      <c r="N375" s="156"/>
      <c r="O375" s="156"/>
    </row>
    <row r="376" spans="1:15" x14ac:dyDescent="0.25">
      <c r="A376" s="150" t="s">
        <v>769</v>
      </c>
      <c r="B376" s="150" t="s">
        <v>770</v>
      </c>
      <c r="C376" s="150"/>
      <c r="D376" s="150"/>
      <c r="E376" s="150"/>
      <c r="F376" s="150"/>
      <c r="G376" s="150"/>
      <c r="H376" s="150"/>
      <c r="I376" s="150"/>
      <c r="J376" s="150"/>
      <c r="K376" s="156"/>
      <c r="L376" s="156"/>
      <c r="M376" s="156"/>
      <c r="N376" s="156"/>
      <c r="O376" s="156"/>
    </row>
    <row r="377" spans="1:15" x14ac:dyDescent="0.25">
      <c r="A377" s="149" t="s">
        <v>771</v>
      </c>
      <c r="B377" s="149" t="s">
        <v>772</v>
      </c>
      <c r="C377" s="150"/>
      <c r="D377" s="150"/>
      <c r="E377" s="150"/>
      <c r="F377" s="150"/>
      <c r="G377" s="150"/>
      <c r="H377" s="150"/>
      <c r="I377" s="150"/>
      <c r="J377" s="150"/>
      <c r="K377" s="156"/>
      <c r="L377" s="156"/>
      <c r="M377" s="156"/>
      <c r="N377" s="156"/>
      <c r="O377" s="156"/>
    </row>
    <row r="378" spans="1:15" x14ac:dyDescent="0.25">
      <c r="A378" s="150" t="s">
        <v>773</v>
      </c>
      <c r="B378" s="150" t="s">
        <v>774</v>
      </c>
      <c r="C378" s="150"/>
      <c r="D378" s="150"/>
      <c r="E378" s="150"/>
      <c r="F378" s="150"/>
      <c r="G378" s="150"/>
      <c r="H378" s="150"/>
      <c r="I378" s="150"/>
      <c r="J378" s="150"/>
      <c r="K378" s="156"/>
      <c r="L378" s="156"/>
      <c r="M378" s="156"/>
      <c r="N378" s="156"/>
      <c r="O378" s="156"/>
    </row>
    <row r="379" spans="1:15" x14ac:dyDescent="0.25">
      <c r="A379" s="149" t="s">
        <v>775</v>
      </c>
      <c r="B379" s="149" t="s">
        <v>776</v>
      </c>
      <c r="C379" s="150"/>
      <c r="D379" s="150"/>
      <c r="E379" s="150"/>
      <c r="F379" s="150"/>
      <c r="G379" s="150"/>
      <c r="H379" s="150"/>
      <c r="I379" s="150"/>
      <c r="J379" s="150"/>
      <c r="K379" s="156"/>
      <c r="L379" s="156"/>
      <c r="M379" s="156"/>
      <c r="N379" s="156"/>
      <c r="O379" s="156"/>
    </row>
    <row r="380" spans="1:15" x14ac:dyDescent="0.25">
      <c r="A380" s="150" t="s">
        <v>5396</v>
      </c>
      <c r="B380" s="150" t="s">
        <v>8246</v>
      </c>
      <c r="C380" s="150"/>
      <c r="D380" s="150"/>
      <c r="E380" s="150"/>
      <c r="F380" s="150"/>
      <c r="G380" s="150"/>
      <c r="H380" s="150"/>
      <c r="I380" s="150"/>
      <c r="J380" s="150"/>
      <c r="K380" s="156"/>
      <c r="L380" s="156"/>
      <c r="M380" s="156"/>
      <c r="N380" s="156"/>
      <c r="O380" s="156"/>
    </row>
    <row r="381" spans="1:15" x14ac:dyDescent="0.25">
      <c r="A381" s="149" t="s">
        <v>5398</v>
      </c>
      <c r="B381" s="149" t="s">
        <v>8247</v>
      </c>
      <c r="C381" s="150"/>
      <c r="D381" s="150"/>
      <c r="E381" s="150"/>
      <c r="F381" s="150"/>
      <c r="G381" s="150"/>
      <c r="H381" s="150"/>
      <c r="I381" s="150"/>
      <c r="J381" s="150"/>
      <c r="K381" s="156"/>
      <c r="L381" s="156"/>
      <c r="M381" s="156"/>
      <c r="N381" s="156"/>
      <c r="O381" s="156"/>
    </row>
    <row r="382" spans="1:15" x14ac:dyDescent="0.25">
      <c r="A382" s="150" t="s">
        <v>5400</v>
      </c>
      <c r="B382" s="150" t="s">
        <v>8248</v>
      </c>
      <c r="C382" s="150"/>
      <c r="D382" s="150"/>
      <c r="E382" s="150"/>
      <c r="F382" s="150"/>
      <c r="G382" s="150"/>
      <c r="H382" s="150"/>
      <c r="I382" s="150"/>
      <c r="J382" s="150"/>
      <c r="K382" s="156"/>
      <c r="L382" s="156"/>
      <c r="M382" s="156"/>
      <c r="N382" s="156"/>
      <c r="O382" s="156"/>
    </row>
    <row r="383" spans="1:15" x14ac:dyDescent="0.25">
      <c r="A383" s="149" t="s">
        <v>777</v>
      </c>
      <c r="B383" s="149" t="s">
        <v>778</v>
      </c>
      <c r="C383" s="150"/>
      <c r="D383" s="150"/>
      <c r="E383" s="150"/>
      <c r="F383" s="150"/>
      <c r="G383" s="150"/>
      <c r="H383" s="150"/>
      <c r="I383" s="150"/>
      <c r="J383" s="150"/>
      <c r="K383" s="156"/>
      <c r="L383" s="156"/>
      <c r="M383" s="156"/>
      <c r="N383" s="156"/>
      <c r="O383" s="156"/>
    </row>
    <row r="384" spans="1:15" x14ac:dyDescent="0.25">
      <c r="A384" s="150" t="s">
        <v>779</v>
      </c>
      <c r="B384" s="150" t="s">
        <v>780</v>
      </c>
      <c r="C384" s="150"/>
      <c r="D384" s="150"/>
      <c r="E384" s="150"/>
      <c r="F384" s="150"/>
      <c r="G384" s="150"/>
      <c r="H384" s="150"/>
      <c r="I384" s="150"/>
      <c r="J384" s="150"/>
      <c r="K384" s="156"/>
      <c r="L384" s="156"/>
      <c r="M384" s="156"/>
      <c r="N384" s="156"/>
      <c r="O384" s="156"/>
    </row>
    <row r="385" spans="1:15" x14ac:dyDescent="0.25">
      <c r="A385" s="149" t="s">
        <v>781</v>
      </c>
      <c r="B385" s="149" t="s">
        <v>782</v>
      </c>
      <c r="C385" s="150"/>
      <c r="D385" s="150"/>
      <c r="E385" s="150"/>
      <c r="F385" s="150"/>
      <c r="G385" s="150"/>
      <c r="H385" s="150"/>
      <c r="I385" s="150"/>
      <c r="J385" s="150"/>
      <c r="K385" s="156"/>
      <c r="L385" s="156"/>
      <c r="M385" s="156"/>
      <c r="N385" s="156"/>
      <c r="O385" s="156"/>
    </row>
    <row r="386" spans="1:15" x14ac:dyDescent="0.25">
      <c r="A386" s="150" t="s">
        <v>783</v>
      </c>
      <c r="B386" s="150" t="s">
        <v>784</v>
      </c>
      <c r="C386" s="150"/>
      <c r="D386" s="150"/>
      <c r="E386" s="150"/>
      <c r="F386" s="150"/>
      <c r="G386" s="150"/>
      <c r="H386" s="150"/>
      <c r="I386" s="150"/>
      <c r="J386" s="150"/>
      <c r="K386" s="156"/>
      <c r="L386" s="156"/>
      <c r="M386" s="156"/>
      <c r="N386" s="156"/>
      <c r="O386" s="156"/>
    </row>
    <row r="387" spans="1:15" x14ac:dyDescent="0.25">
      <c r="A387" s="149" t="s">
        <v>785</v>
      </c>
      <c r="B387" s="149" t="s">
        <v>786</v>
      </c>
      <c r="C387" s="150"/>
      <c r="D387" s="150"/>
      <c r="E387" s="150"/>
      <c r="F387" s="150"/>
      <c r="G387" s="150"/>
      <c r="H387" s="150"/>
      <c r="I387" s="150"/>
      <c r="J387" s="150"/>
      <c r="K387" s="156"/>
      <c r="L387" s="156"/>
      <c r="M387" s="156"/>
      <c r="N387" s="156"/>
      <c r="O387" s="156"/>
    </row>
    <row r="388" spans="1:15" x14ac:dyDescent="0.25">
      <c r="A388" s="150" t="s">
        <v>787</v>
      </c>
      <c r="B388" s="150" t="s">
        <v>788</v>
      </c>
      <c r="C388" s="150"/>
      <c r="D388" s="150"/>
      <c r="E388" s="150"/>
      <c r="F388" s="150"/>
      <c r="G388" s="150"/>
      <c r="H388" s="150"/>
      <c r="I388" s="150"/>
      <c r="J388" s="150"/>
      <c r="K388" s="156"/>
      <c r="L388" s="156"/>
      <c r="M388" s="156"/>
      <c r="N388" s="156"/>
      <c r="O388" s="156"/>
    </row>
    <row r="389" spans="1:15" x14ac:dyDescent="0.25">
      <c r="A389" s="149" t="s">
        <v>789</v>
      </c>
      <c r="B389" s="149" t="s">
        <v>8249</v>
      </c>
      <c r="C389" s="150"/>
      <c r="D389" s="150"/>
      <c r="E389" s="150"/>
      <c r="F389" s="150"/>
      <c r="G389" s="150"/>
      <c r="H389" s="150"/>
      <c r="I389" s="150"/>
      <c r="J389" s="150"/>
      <c r="K389" s="156"/>
      <c r="L389" s="156"/>
      <c r="M389" s="156"/>
      <c r="N389" s="156"/>
      <c r="O389" s="156"/>
    </row>
    <row r="390" spans="1:15" x14ac:dyDescent="0.25">
      <c r="A390" s="150" t="s">
        <v>790</v>
      </c>
      <c r="B390" s="150" t="s">
        <v>791</v>
      </c>
      <c r="C390" s="150"/>
      <c r="D390" s="150"/>
      <c r="E390" s="150"/>
      <c r="F390" s="150"/>
      <c r="G390" s="150"/>
      <c r="H390" s="150"/>
      <c r="I390" s="150"/>
      <c r="J390" s="150"/>
      <c r="K390" s="156"/>
      <c r="L390" s="156"/>
      <c r="M390" s="156"/>
      <c r="N390" s="156"/>
      <c r="O390" s="156"/>
    </row>
    <row r="391" spans="1:15" x14ac:dyDescent="0.25">
      <c r="A391" s="149" t="s">
        <v>792</v>
      </c>
      <c r="B391" s="149" t="s">
        <v>793</v>
      </c>
      <c r="C391" s="150"/>
      <c r="D391" s="150"/>
      <c r="E391" s="150"/>
      <c r="F391" s="150"/>
      <c r="G391" s="150"/>
      <c r="H391" s="150"/>
      <c r="I391" s="150"/>
      <c r="J391" s="150"/>
      <c r="K391" s="156"/>
      <c r="L391" s="156"/>
      <c r="M391" s="156"/>
      <c r="N391" s="156"/>
      <c r="O391" s="156"/>
    </row>
    <row r="392" spans="1:15" x14ac:dyDescent="0.25">
      <c r="A392" s="150" t="s">
        <v>794</v>
      </c>
      <c r="B392" s="150" t="s">
        <v>795</v>
      </c>
      <c r="C392" s="150"/>
      <c r="D392" s="150"/>
      <c r="E392" s="150"/>
      <c r="F392" s="150"/>
      <c r="G392" s="150"/>
      <c r="H392" s="150"/>
      <c r="I392" s="150"/>
      <c r="J392" s="150"/>
      <c r="K392" s="156"/>
      <c r="L392" s="156"/>
      <c r="M392" s="156"/>
      <c r="N392" s="156"/>
      <c r="O392" s="156"/>
    </row>
    <row r="393" spans="1:15" x14ac:dyDescent="0.25">
      <c r="A393" s="149" t="s">
        <v>796</v>
      </c>
      <c r="B393" s="149" t="s">
        <v>797</v>
      </c>
      <c r="C393" s="150"/>
      <c r="D393" s="150"/>
      <c r="E393" s="150"/>
      <c r="F393" s="150"/>
      <c r="G393" s="150"/>
      <c r="H393" s="150"/>
      <c r="I393" s="150"/>
      <c r="J393" s="150"/>
      <c r="K393" s="156"/>
      <c r="L393" s="156"/>
      <c r="M393" s="156"/>
      <c r="N393" s="156"/>
      <c r="O393" s="156"/>
    </row>
    <row r="394" spans="1:15" x14ac:dyDescent="0.25">
      <c r="A394" s="150" t="s">
        <v>798</v>
      </c>
      <c r="B394" s="150" t="s">
        <v>799</v>
      </c>
      <c r="C394" s="150"/>
      <c r="D394" s="150"/>
      <c r="E394" s="150"/>
      <c r="F394" s="150"/>
      <c r="G394" s="150"/>
      <c r="H394" s="150"/>
      <c r="I394" s="150"/>
      <c r="J394" s="150"/>
      <c r="K394" s="156"/>
      <c r="L394" s="156"/>
      <c r="M394" s="156"/>
      <c r="N394" s="156"/>
      <c r="O394" s="156"/>
    </row>
    <row r="395" spans="1:15" x14ac:dyDescent="0.25">
      <c r="A395" s="149" t="s">
        <v>800</v>
      </c>
      <c r="B395" s="149" t="s">
        <v>801</v>
      </c>
      <c r="C395" s="150"/>
      <c r="D395" s="150"/>
      <c r="E395" s="150"/>
      <c r="F395" s="150"/>
      <c r="G395" s="150"/>
      <c r="H395" s="150"/>
      <c r="I395" s="150"/>
      <c r="J395" s="150"/>
      <c r="K395" s="156"/>
      <c r="L395" s="156"/>
      <c r="M395" s="156"/>
      <c r="N395" s="156"/>
      <c r="O395" s="156"/>
    </row>
    <row r="396" spans="1:15" x14ac:dyDescent="0.25">
      <c r="A396" s="150" t="s">
        <v>802</v>
      </c>
      <c r="B396" s="150" t="s">
        <v>8250</v>
      </c>
      <c r="C396" s="150"/>
      <c r="D396" s="150"/>
      <c r="E396" s="150"/>
      <c r="F396" s="150"/>
      <c r="G396" s="150"/>
      <c r="H396" s="150"/>
      <c r="I396" s="150"/>
      <c r="J396" s="150"/>
      <c r="K396" s="156"/>
      <c r="L396" s="156"/>
      <c r="M396" s="156"/>
      <c r="N396" s="156"/>
      <c r="O396" s="156"/>
    </row>
    <row r="397" spans="1:15" x14ac:dyDescent="0.25">
      <c r="A397" s="149" t="s">
        <v>803</v>
      </c>
      <c r="B397" s="149" t="s">
        <v>804</v>
      </c>
      <c r="C397" s="150"/>
      <c r="D397" s="150"/>
      <c r="E397" s="150"/>
      <c r="F397" s="150"/>
      <c r="G397" s="150"/>
      <c r="H397" s="150"/>
      <c r="I397" s="150"/>
      <c r="J397" s="150"/>
      <c r="K397" s="156"/>
      <c r="L397" s="156"/>
      <c r="M397" s="156"/>
      <c r="N397" s="156"/>
      <c r="O397" s="156"/>
    </row>
    <row r="398" spans="1:15" x14ac:dyDescent="0.25">
      <c r="A398" s="150" t="s">
        <v>805</v>
      </c>
      <c r="B398" s="150" t="s">
        <v>806</v>
      </c>
      <c r="C398" s="150"/>
      <c r="D398" s="150"/>
      <c r="E398" s="150"/>
      <c r="F398" s="150"/>
      <c r="G398" s="150"/>
      <c r="H398" s="150"/>
      <c r="I398" s="150"/>
      <c r="J398" s="150"/>
      <c r="K398" s="156"/>
      <c r="L398" s="156"/>
      <c r="M398" s="156"/>
      <c r="N398" s="156"/>
      <c r="O398" s="156"/>
    </row>
    <row r="399" spans="1:15" x14ac:dyDescent="0.25">
      <c r="A399" s="149" t="s">
        <v>807</v>
      </c>
      <c r="B399" s="149" t="s">
        <v>808</v>
      </c>
      <c r="C399" s="150"/>
      <c r="D399" s="150"/>
      <c r="E399" s="150"/>
      <c r="F399" s="150"/>
      <c r="G399" s="150"/>
      <c r="H399" s="150"/>
      <c r="I399" s="150"/>
      <c r="J399" s="150"/>
      <c r="K399" s="156"/>
      <c r="L399" s="156"/>
      <c r="M399" s="156"/>
      <c r="N399" s="156"/>
      <c r="O399" s="156"/>
    </row>
    <row r="400" spans="1:15" x14ac:dyDescent="0.25">
      <c r="A400" s="150" t="s">
        <v>809</v>
      </c>
      <c r="B400" s="150" t="s">
        <v>810</v>
      </c>
      <c r="C400" s="150"/>
      <c r="D400" s="150"/>
      <c r="E400" s="150"/>
      <c r="F400" s="150"/>
      <c r="G400" s="150"/>
      <c r="H400" s="150"/>
      <c r="I400" s="150"/>
      <c r="J400" s="150"/>
      <c r="K400" s="156"/>
      <c r="L400" s="156"/>
      <c r="M400" s="156"/>
      <c r="N400" s="156"/>
      <c r="O400" s="156"/>
    </row>
    <row r="401" spans="1:15" x14ac:dyDescent="0.25">
      <c r="A401" s="149" t="s">
        <v>811</v>
      </c>
      <c r="B401" s="149" t="s">
        <v>812</v>
      </c>
      <c r="C401" s="150"/>
      <c r="D401" s="150"/>
      <c r="E401" s="150"/>
      <c r="F401" s="150"/>
      <c r="G401" s="150"/>
      <c r="H401" s="150"/>
      <c r="I401" s="150"/>
      <c r="J401" s="150"/>
      <c r="K401" s="156"/>
      <c r="L401" s="156"/>
      <c r="M401" s="156"/>
      <c r="N401" s="156"/>
      <c r="O401" s="156"/>
    </row>
    <row r="402" spans="1:15" x14ac:dyDescent="0.25">
      <c r="A402" s="150" t="s">
        <v>813</v>
      </c>
      <c r="B402" s="150" t="s">
        <v>814</v>
      </c>
      <c r="C402" s="150"/>
      <c r="D402" s="150"/>
      <c r="E402" s="150"/>
      <c r="F402" s="150"/>
      <c r="G402" s="150"/>
      <c r="H402" s="150"/>
      <c r="I402" s="150"/>
      <c r="J402" s="150"/>
      <c r="K402" s="156"/>
      <c r="L402" s="156"/>
      <c r="M402" s="156"/>
      <c r="N402" s="156"/>
      <c r="O402" s="156"/>
    </row>
    <row r="403" spans="1:15" x14ac:dyDescent="0.25">
      <c r="A403" s="149" t="s">
        <v>815</v>
      </c>
      <c r="B403" s="149" t="s">
        <v>8251</v>
      </c>
      <c r="C403" s="150"/>
      <c r="D403" s="150"/>
      <c r="E403" s="150"/>
      <c r="F403" s="150"/>
      <c r="G403" s="150"/>
      <c r="H403" s="150"/>
      <c r="I403" s="150"/>
      <c r="J403" s="150"/>
      <c r="K403" s="156"/>
      <c r="L403" s="156"/>
      <c r="M403" s="156"/>
      <c r="N403" s="156"/>
      <c r="O403" s="156"/>
    </row>
    <row r="404" spans="1:15" x14ac:dyDescent="0.25">
      <c r="A404" s="150" t="s">
        <v>816</v>
      </c>
      <c r="B404" s="150" t="s">
        <v>817</v>
      </c>
      <c r="C404" s="150"/>
      <c r="D404" s="150"/>
      <c r="E404" s="150"/>
      <c r="F404" s="150"/>
      <c r="G404" s="150"/>
      <c r="H404" s="150"/>
      <c r="I404" s="150"/>
      <c r="J404" s="150"/>
      <c r="K404" s="156"/>
      <c r="L404" s="156"/>
      <c r="M404" s="156"/>
      <c r="N404" s="156"/>
      <c r="O404" s="156"/>
    </row>
    <row r="405" spans="1:15" x14ac:dyDescent="0.25">
      <c r="A405" s="149" t="s">
        <v>818</v>
      </c>
      <c r="B405" s="149" t="s">
        <v>819</v>
      </c>
      <c r="C405" s="150"/>
      <c r="D405" s="150"/>
      <c r="E405" s="150"/>
      <c r="F405" s="150"/>
      <c r="G405" s="150"/>
      <c r="H405" s="150"/>
      <c r="I405" s="150"/>
      <c r="J405" s="150"/>
      <c r="K405" s="156"/>
      <c r="L405" s="156"/>
      <c r="M405" s="156"/>
      <c r="N405" s="156"/>
      <c r="O405" s="156"/>
    </row>
    <row r="406" spans="1:15" x14ac:dyDescent="0.25">
      <c r="A406" s="150" t="s">
        <v>820</v>
      </c>
      <c r="B406" s="150" t="s">
        <v>821</v>
      </c>
      <c r="C406" s="150"/>
      <c r="D406" s="150"/>
      <c r="E406" s="150"/>
      <c r="F406" s="150"/>
      <c r="G406" s="150"/>
      <c r="H406" s="150"/>
      <c r="I406" s="150"/>
      <c r="J406" s="150"/>
      <c r="K406" s="156"/>
      <c r="L406" s="156"/>
      <c r="M406" s="156"/>
      <c r="N406" s="156"/>
      <c r="O406" s="156"/>
    </row>
    <row r="407" spans="1:15" x14ac:dyDescent="0.25">
      <c r="A407" s="149" t="s">
        <v>822</v>
      </c>
      <c r="B407" s="149" t="s">
        <v>823</v>
      </c>
      <c r="C407" s="150"/>
      <c r="D407" s="150"/>
      <c r="E407" s="150"/>
      <c r="F407" s="150"/>
      <c r="G407" s="150"/>
      <c r="H407" s="150"/>
      <c r="I407" s="150"/>
      <c r="J407" s="150"/>
      <c r="K407" s="156"/>
      <c r="L407" s="156"/>
      <c r="M407" s="156"/>
      <c r="N407" s="156"/>
      <c r="O407" s="156"/>
    </row>
    <row r="408" spans="1:15" x14ac:dyDescent="0.25">
      <c r="A408" s="150" t="s">
        <v>824</v>
      </c>
      <c r="B408" s="150" t="s">
        <v>825</v>
      </c>
      <c r="C408" s="150"/>
      <c r="D408" s="150"/>
      <c r="E408" s="150"/>
      <c r="F408" s="150"/>
      <c r="G408" s="150"/>
      <c r="H408" s="150"/>
      <c r="I408" s="150"/>
      <c r="J408" s="150"/>
      <c r="K408" s="156"/>
      <c r="L408" s="156"/>
      <c r="M408" s="156"/>
      <c r="N408" s="156"/>
      <c r="O408" s="156"/>
    </row>
    <row r="409" spans="1:15" x14ac:dyDescent="0.25">
      <c r="A409" s="149" t="s">
        <v>826</v>
      </c>
      <c r="B409" s="149" t="s">
        <v>827</v>
      </c>
      <c r="C409" s="150"/>
      <c r="D409" s="150"/>
      <c r="E409" s="150"/>
      <c r="F409" s="150"/>
      <c r="G409" s="150"/>
      <c r="H409" s="150"/>
      <c r="I409" s="150"/>
      <c r="J409" s="150"/>
      <c r="K409" s="156"/>
      <c r="L409" s="156"/>
      <c r="M409" s="156"/>
      <c r="N409" s="156"/>
      <c r="O409" s="156"/>
    </row>
    <row r="410" spans="1:15" x14ac:dyDescent="0.25">
      <c r="A410" s="150" t="s">
        <v>828</v>
      </c>
      <c r="B410" s="150" t="s">
        <v>829</v>
      </c>
      <c r="C410" s="150"/>
      <c r="D410" s="150"/>
      <c r="E410" s="150"/>
      <c r="F410" s="150"/>
      <c r="G410" s="150"/>
      <c r="H410" s="150"/>
      <c r="I410" s="150"/>
      <c r="J410" s="150"/>
      <c r="K410" s="156"/>
      <c r="L410" s="156"/>
      <c r="M410" s="156"/>
      <c r="N410" s="156"/>
      <c r="O410" s="156"/>
    </row>
    <row r="411" spans="1:15" x14ac:dyDescent="0.25">
      <c r="A411" s="149" t="s">
        <v>830</v>
      </c>
      <c r="B411" s="149" t="s">
        <v>831</v>
      </c>
      <c r="C411" s="150"/>
      <c r="D411" s="150"/>
      <c r="E411" s="150"/>
      <c r="F411" s="150"/>
      <c r="G411" s="150"/>
      <c r="H411" s="150"/>
      <c r="I411" s="150"/>
      <c r="J411" s="150"/>
      <c r="K411" s="156"/>
      <c r="L411" s="156"/>
      <c r="M411" s="156"/>
      <c r="N411" s="156"/>
      <c r="O411" s="156"/>
    </row>
    <row r="412" spans="1:15" x14ac:dyDescent="0.25">
      <c r="A412" s="150" t="s">
        <v>832</v>
      </c>
      <c r="B412" s="150" t="s">
        <v>8252</v>
      </c>
      <c r="C412" s="150"/>
      <c r="D412" s="150"/>
      <c r="E412" s="150"/>
      <c r="F412" s="150"/>
      <c r="G412" s="150"/>
      <c r="H412" s="150"/>
      <c r="I412" s="150"/>
      <c r="J412" s="150"/>
      <c r="K412" s="156"/>
      <c r="L412" s="156"/>
      <c r="M412" s="156"/>
      <c r="N412" s="156"/>
      <c r="O412" s="156"/>
    </row>
    <row r="413" spans="1:15" x14ac:dyDescent="0.25">
      <c r="A413" s="149" t="s">
        <v>833</v>
      </c>
      <c r="B413" s="149" t="s">
        <v>8253</v>
      </c>
      <c r="C413" s="150"/>
      <c r="D413" s="150"/>
      <c r="E413" s="150"/>
      <c r="F413" s="150"/>
      <c r="G413" s="150"/>
      <c r="H413" s="150"/>
      <c r="I413" s="150"/>
      <c r="J413" s="150"/>
      <c r="K413" s="156"/>
      <c r="L413" s="156"/>
      <c r="M413" s="156"/>
      <c r="N413" s="156"/>
      <c r="O413" s="156"/>
    </row>
    <row r="414" spans="1:15" x14ac:dyDescent="0.25">
      <c r="A414" s="150" t="s">
        <v>834</v>
      </c>
      <c r="B414" s="150" t="s">
        <v>8254</v>
      </c>
      <c r="C414" s="150"/>
      <c r="D414" s="150"/>
      <c r="E414" s="150"/>
      <c r="F414" s="150"/>
      <c r="G414" s="150"/>
      <c r="H414" s="150"/>
      <c r="I414" s="150"/>
      <c r="J414" s="150"/>
      <c r="K414" s="156"/>
      <c r="L414" s="156"/>
      <c r="M414" s="156"/>
      <c r="N414" s="156"/>
      <c r="O414" s="156"/>
    </row>
    <row r="415" spans="1:15" x14ac:dyDescent="0.25">
      <c r="A415" s="149" t="s">
        <v>835</v>
      </c>
      <c r="B415" s="149" t="s">
        <v>836</v>
      </c>
      <c r="C415" s="150"/>
      <c r="D415" s="150"/>
      <c r="E415" s="150"/>
      <c r="F415" s="150"/>
      <c r="G415" s="150"/>
      <c r="H415" s="150"/>
      <c r="I415" s="150"/>
      <c r="J415" s="150"/>
      <c r="K415" s="156"/>
      <c r="L415" s="156"/>
      <c r="M415" s="156"/>
      <c r="N415" s="156"/>
      <c r="O415" s="156"/>
    </row>
    <row r="416" spans="1:15" x14ac:dyDescent="0.25">
      <c r="A416" s="150" t="s">
        <v>837</v>
      </c>
      <c r="B416" s="150" t="s">
        <v>8255</v>
      </c>
      <c r="C416" s="150"/>
      <c r="D416" s="150"/>
      <c r="E416" s="150"/>
      <c r="F416" s="150"/>
      <c r="G416" s="150"/>
      <c r="H416" s="150"/>
      <c r="I416" s="150"/>
      <c r="J416" s="150"/>
      <c r="K416" s="156"/>
      <c r="L416" s="156"/>
      <c r="M416" s="156"/>
      <c r="N416" s="156"/>
      <c r="O416" s="156"/>
    </row>
    <row r="417" spans="1:15" x14ac:dyDescent="0.25">
      <c r="A417" s="149" t="s">
        <v>838</v>
      </c>
      <c r="B417" s="149" t="s">
        <v>8256</v>
      </c>
      <c r="C417" s="150"/>
      <c r="D417" s="150"/>
      <c r="E417" s="150"/>
      <c r="F417" s="150"/>
      <c r="G417" s="150"/>
      <c r="H417" s="150"/>
      <c r="I417" s="150"/>
      <c r="J417" s="150"/>
      <c r="K417" s="156"/>
      <c r="L417" s="156"/>
      <c r="M417" s="156"/>
      <c r="N417" s="156"/>
      <c r="O417" s="156"/>
    </row>
    <row r="418" spans="1:15" x14ac:dyDescent="0.25">
      <c r="A418" s="150" t="s">
        <v>839</v>
      </c>
      <c r="B418" s="150" t="s">
        <v>8257</v>
      </c>
      <c r="C418" s="150"/>
      <c r="D418" s="150"/>
      <c r="E418" s="150"/>
      <c r="F418" s="150"/>
      <c r="G418" s="150"/>
      <c r="H418" s="150"/>
      <c r="I418" s="150"/>
      <c r="J418" s="150"/>
      <c r="K418" s="156"/>
      <c r="L418" s="156"/>
      <c r="M418" s="156"/>
      <c r="N418" s="156"/>
      <c r="O418" s="156"/>
    </row>
    <row r="419" spans="1:15" x14ac:dyDescent="0.25">
      <c r="A419" s="149" t="s">
        <v>840</v>
      </c>
      <c r="B419" s="149" t="s">
        <v>8258</v>
      </c>
      <c r="C419" s="150"/>
      <c r="D419" s="150"/>
      <c r="E419" s="150"/>
      <c r="F419" s="150"/>
      <c r="G419" s="150"/>
      <c r="H419" s="150"/>
      <c r="I419" s="150"/>
      <c r="J419" s="150"/>
      <c r="K419" s="156"/>
      <c r="L419" s="156"/>
      <c r="M419" s="156"/>
      <c r="N419" s="156"/>
      <c r="O419" s="156"/>
    </row>
    <row r="420" spans="1:15" x14ac:dyDescent="0.25">
      <c r="A420" s="150" t="s">
        <v>841</v>
      </c>
      <c r="B420" s="150" t="s">
        <v>8259</v>
      </c>
      <c r="C420" s="150"/>
      <c r="D420" s="150"/>
      <c r="E420" s="150"/>
      <c r="F420" s="150"/>
      <c r="G420" s="150"/>
      <c r="H420" s="150"/>
      <c r="I420" s="150"/>
      <c r="J420" s="150"/>
      <c r="K420" s="156"/>
      <c r="L420" s="156"/>
      <c r="M420" s="156"/>
      <c r="N420" s="156"/>
      <c r="O420" s="156"/>
    </row>
    <row r="421" spans="1:15" x14ac:dyDescent="0.25">
      <c r="A421" s="149" t="s">
        <v>842</v>
      </c>
      <c r="B421" s="149" t="s">
        <v>843</v>
      </c>
      <c r="C421" s="150"/>
      <c r="D421" s="150"/>
      <c r="E421" s="150"/>
      <c r="F421" s="150"/>
      <c r="G421" s="150"/>
      <c r="H421" s="150"/>
      <c r="I421" s="150"/>
      <c r="J421" s="150"/>
      <c r="K421" s="156"/>
      <c r="L421" s="156"/>
      <c r="M421" s="156"/>
      <c r="N421" s="156"/>
      <c r="O421" s="156"/>
    </row>
    <row r="422" spans="1:15" x14ac:dyDescent="0.25">
      <c r="A422" s="150" t="s">
        <v>844</v>
      </c>
      <c r="B422" s="150" t="s">
        <v>845</v>
      </c>
      <c r="C422" s="150"/>
      <c r="D422" s="150"/>
      <c r="E422" s="150"/>
      <c r="F422" s="150"/>
      <c r="G422" s="150"/>
      <c r="H422" s="150"/>
      <c r="I422" s="150"/>
      <c r="J422" s="150"/>
      <c r="K422" s="156"/>
      <c r="L422" s="156"/>
      <c r="M422" s="156"/>
      <c r="N422" s="156"/>
      <c r="O422" s="156"/>
    </row>
    <row r="423" spans="1:15" x14ac:dyDescent="0.25">
      <c r="A423" s="149" t="s">
        <v>846</v>
      </c>
      <c r="B423" s="149" t="s">
        <v>847</v>
      </c>
      <c r="C423" s="150"/>
      <c r="D423" s="150"/>
      <c r="E423" s="150"/>
      <c r="F423" s="150"/>
      <c r="G423" s="150"/>
      <c r="H423" s="150"/>
      <c r="I423" s="150"/>
      <c r="J423" s="150"/>
      <c r="K423" s="156"/>
      <c r="L423" s="156"/>
      <c r="M423" s="156"/>
      <c r="N423" s="156"/>
      <c r="O423" s="156"/>
    </row>
    <row r="424" spans="1:15" x14ac:dyDescent="0.25">
      <c r="A424" s="150" t="s">
        <v>848</v>
      </c>
      <c r="B424" s="150" t="s">
        <v>849</v>
      </c>
      <c r="C424" s="150"/>
      <c r="D424" s="150"/>
      <c r="E424" s="150"/>
      <c r="F424" s="150"/>
      <c r="G424" s="150"/>
      <c r="H424" s="150"/>
      <c r="I424" s="150"/>
      <c r="J424" s="150"/>
      <c r="K424" s="156"/>
      <c r="L424" s="156"/>
      <c r="M424" s="156"/>
      <c r="N424" s="156"/>
      <c r="O424" s="156"/>
    </row>
    <row r="425" spans="1:15" x14ac:dyDescent="0.25">
      <c r="A425" s="149" t="s">
        <v>5441</v>
      </c>
      <c r="B425" s="149" t="s">
        <v>8260</v>
      </c>
      <c r="C425" s="150"/>
      <c r="D425" s="150"/>
      <c r="E425" s="150"/>
      <c r="F425" s="150"/>
      <c r="G425" s="150"/>
      <c r="H425" s="150"/>
      <c r="I425" s="150"/>
      <c r="J425" s="150"/>
      <c r="K425" s="156"/>
      <c r="L425" s="156"/>
      <c r="M425" s="156"/>
      <c r="N425" s="156"/>
      <c r="O425" s="156"/>
    </row>
    <row r="426" spans="1:15" x14ac:dyDescent="0.25">
      <c r="A426" s="150" t="s">
        <v>850</v>
      </c>
      <c r="B426" s="150" t="s">
        <v>851</v>
      </c>
      <c r="C426" s="150"/>
      <c r="D426" s="150"/>
      <c r="E426" s="150"/>
      <c r="F426" s="150"/>
      <c r="G426" s="150"/>
      <c r="H426" s="150"/>
      <c r="I426" s="150"/>
      <c r="J426" s="150"/>
      <c r="K426" s="156"/>
      <c r="L426" s="156"/>
      <c r="M426" s="156"/>
      <c r="N426" s="156"/>
      <c r="O426" s="156"/>
    </row>
    <row r="427" spans="1:15" x14ac:dyDescent="0.25">
      <c r="A427" s="149" t="s">
        <v>852</v>
      </c>
      <c r="B427" s="149" t="s">
        <v>853</v>
      </c>
      <c r="C427" s="150"/>
      <c r="D427" s="150"/>
      <c r="E427" s="150"/>
      <c r="F427" s="150"/>
      <c r="G427" s="150"/>
      <c r="H427" s="150"/>
      <c r="I427" s="150"/>
      <c r="J427" s="150"/>
      <c r="K427" s="156"/>
      <c r="L427" s="156"/>
      <c r="M427" s="156"/>
      <c r="N427" s="156"/>
      <c r="O427" s="156"/>
    </row>
    <row r="428" spans="1:15" x14ac:dyDescent="0.25">
      <c r="A428" s="150" t="s">
        <v>854</v>
      </c>
      <c r="B428" s="150" t="s">
        <v>855</v>
      </c>
      <c r="C428" s="150"/>
      <c r="D428" s="150"/>
      <c r="E428" s="150"/>
      <c r="F428" s="150"/>
      <c r="G428" s="150"/>
      <c r="H428" s="150"/>
      <c r="I428" s="150"/>
      <c r="J428" s="150"/>
      <c r="K428" s="156"/>
      <c r="L428" s="156"/>
      <c r="M428" s="156"/>
      <c r="N428" s="156"/>
      <c r="O428" s="156"/>
    </row>
    <row r="429" spans="1:15" x14ac:dyDescent="0.25">
      <c r="A429" s="149" t="s">
        <v>856</v>
      </c>
      <c r="B429" s="149" t="s">
        <v>857</v>
      </c>
      <c r="C429" s="150"/>
      <c r="D429" s="150"/>
      <c r="E429" s="150"/>
      <c r="F429" s="150"/>
      <c r="G429" s="150"/>
      <c r="H429" s="150"/>
      <c r="I429" s="150"/>
      <c r="J429" s="150"/>
      <c r="K429" s="156"/>
      <c r="L429" s="156"/>
      <c r="M429" s="156"/>
      <c r="N429" s="156"/>
      <c r="O429" s="156"/>
    </row>
    <row r="430" spans="1:15" x14ac:dyDescent="0.25">
      <c r="A430" s="150" t="s">
        <v>858</v>
      </c>
      <c r="B430" s="150" t="s">
        <v>859</v>
      </c>
      <c r="C430" s="150"/>
      <c r="D430" s="150"/>
      <c r="E430" s="150"/>
      <c r="F430" s="150"/>
      <c r="G430" s="150"/>
      <c r="H430" s="150"/>
      <c r="I430" s="150"/>
      <c r="J430" s="150"/>
      <c r="K430" s="156"/>
      <c r="L430" s="156"/>
      <c r="M430" s="156"/>
      <c r="N430" s="156"/>
      <c r="O430" s="156"/>
    </row>
    <row r="431" spans="1:15" x14ac:dyDescent="0.25">
      <c r="A431" s="149" t="s">
        <v>860</v>
      </c>
      <c r="B431" s="149" t="s">
        <v>861</v>
      </c>
      <c r="C431" s="150"/>
      <c r="D431" s="150"/>
      <c r="E431" s="150"/>
      <c r="F431" s="150"/>
      <c r="G431" s="150"/>
      <c r="H431" s="150"/>
      <c r="I431" s="150"/>
      <c r="J431" s="150"/>
      <c r="K431" s="156"/>
      <c r="L431" s="156"/>
      <c r="M431" s="156"/>
      <c r="N431" s="156"/>
      <c r="O431" s="156"/>
    </row>
    <row r="432" spans="1:15" x14ac:dyDescent="0.25">
      <c r="A432" s="150" t="s">
        <v>862</v>
      </c>
      <c r="B432" s="150" t="s">
        <v>863</v>
      </c>
      <c r="C432" s="150"/>
      <c r="D432" s="150"/>
      <c r="E432" s="150"/>
      <c r="F432" s="150"/>
      <c r="G432" s="150"/>
      <c r="H432" s="150"/>
      <c r="I432" s="150"/>
      <c r="J432" s="150"/>
      <c r="K432" s="156"/>
      <c r="L432" s="156"/>
      <c r="M432" s="156"/>
      <c r="N432" s="156"/>
      <c r="O432" s="156"/>
    </row>
    <row r="433" spans="1:15" x14ac:dyDescent="0.25">
      <c r="A433" s="149" t="s">
        <v>864</v>
      </c>
      <c r="B433" s="149" t="s">
        <v>865</v>
      </c>
      <c r="C433" s="150"/>
      <c r="D433" s="150"/>
      <c r="E433" s="150"/>
      <c r="F433" s="150"/>
      <c r="G433" s="150"/>
      <c r="H433" s="150"/>
      <c r="I433" s="150"/>
      <c r="J433" s="150"/>
      <c r="K433" s="156"/>
      <c r="L433" s="156"/>
      <c r="M433" s="156"/>
      <c r="N433" s="156"/>
      <c r="O433" s="156"/>
    </row>
    <row r="434" spans="1:15" x14ac:dyDescent="0.25">
      <c r="A434" s="150" t="s">
        <v>866</v>
      </c>
      <c r="B434" s="150" t="s">
        <v>8261</v>
      </c>
      <c r="C434" s="150"/>
      <c r="D434" s="150"/>
      <c r="E434" s="150"/>
      <c r="F434" s="150"/>
      <c r="G434" s="150"/>
      <c r="H434" s="150"/>
      <c r="I434" s="150"/>
      <c r="J434" s="150"/>
      <c r="K434" s="156"/>
      <c r="L434" s="156"/>
      <c r="M434" s="156"/>
      <c r="N434" s="156"/>
      <c r="O434" s="156"/>
    </row>
    <row r="435" spans="1:15" x14ac:dyDescent="0.25">
      <c r="A435" s="149" t="s">
        <v>867</v>
      </c>
      <c r="B435" s="149" t="s">
        <v>8262</v>
      </c>
      <c r="C435" s="150"/>
      <c r="D435" s="150"/>
      <c r="E435" s="150"/>
      <c r="F435" s="150"/>
      <c r="G435" s="150"/>
      <c r="H435" s="150"/>
      <c r="I435" s="150"/>
      <c r="J435" s="150"/>
      <c r="K435" s="156"/>
      <c r="L435" s="156"/>
      <c r="M435" s="156"/>
      <c r="N435" s="156"/>
      <c r="O435" s="156"/>
    </row>
    <row r="436" spans="1:15" x14ac:dyDescent="0.25">
      <c r="A436" s="150" t="s">
        <v>868</v>
      </c>
      <c r="B436" s="150" t="s">
        <v>8263</v>
      </c>
      <c r="C436" s="150"/>
      <c r="D436" s="150"/>
      <c r="E436" s="150"/>
      <c r="F436" s="150"/>
      <c r="G436" s="150"/>
      <c r="H436" s="150"/>
      <c r="I436" s="150"/>
      <c r="J436" s="150"/>
      <c r="K436" s="156"/>
      <c r="L436" s="156"/>
      <c r="M436" s="156"/>
      <c r="N436" s="156"/>
      <c r="O436" s="156"/>
    </row>
    <row r="437" spans="1:15" x14ac:dyDescent="0.25">
      <c r="A437" s="149" t="s">
        <v>869</v>
      </c>
      <c r="B437" s="149" t="s">
        <v>870</v>
      </c>
      <c r="C437" s="150"/>
      <c r="D437" s="150"/>
      <c r="E437" s="150"/>
      <c r="F437" s="150"/>
      <c r="G437" s="150"/>
      <c r="H437" s="150"/>
      <c r="I437" s="150"/>
      <c r="J437" s="150"/>
      <c r="K437" s="156"/>
      <c r="L437" s="156"/>
      <c r="M437" s="156"/>
      <c r="N437" s="156"/>
      <c r="O437" s="156"/>
    </row>
    <row r="438" spans="1:15" x14ac:dyDescent="0.25">
      <c r="A438" s="150" t="s">
        <v>871</v>
      </c>
      <c r="B438" s="150" t="s">
        <v>872</v>
      </c>
      <c r="C438" s="150"/>
      <c r="D438" s="150"/>
      <c r="E438" s="150"/>
      <c r="F438" s="150"/>
      <c r="G438" s="150"/>
      <c r="H438" s="150"/>
      <c r="I438" s="150"/>
      <c r="J438" s="150"/>
      <c r="K438" s="156"/>
      <c r="L438" s="156"/>
      <c r="M438" s="156"/>
      <c r="N438" s="156"/>
      <c r="O438" s="156"/>
    </row>
    <row r="439" spans="1:15" x14ac:dyDescent="0.25">
      <c r="A439" s="149" t="s">
        <v>873</v>
      </c>
      <c r="B439" s="149" t="s">
        <v>874</v>
      </c>
      <c r="C439" s="150"/>
      <c r="D439" s="150"/>
      <c r="E439" s="150"/>
      <c r="F439" s="150"/>
      <c r="G439" s="150"/>
      <c r="H439" s="150"/>
      <c r="I439" s="150"/>
      <c r="J439" s="150"/>
      <c r="K439" s="156"/>
      <c r="L439" s="156"/>
      <c r="M439" s="156"/>
      <c r="N439" s="156"/>
      <c r="O439" s="156"/>
    </row>
    <row r="440" spans="1:15" x14ac:dyDescent="0.25">
      <c r="A440" s="150" t="s">
        <v>875</v>
      </c>
      <c r="B440" s="150" t="s">
        <v>876</v>
      </c>
      <c r="C440" s="150"/>
      <c r="D440" s="150"/>
      <c r="E440" s="150"/>
      <c r="F440" s="150"/>
      <c r="G440" s="150"/>
      <c r="H440" s="150"/>
      <c r="I440" s="150"/>
      <c r="J440" s="150"/>
      <c r="K440" s="156"/>
      <c r="L440" s="156"/>
      <c r="M440" s="156"/>
      <c r="N440" s="156"/>
      <c r="O440" s="156"/>
    </row>
    <row r="441" spans="1:15" x14ac:dyDescent="0.25">
      <c r="A441" s="149" t="s">
        <v>877</v>
      </c>
      <c r="B441" s="149" t="s">
        <v>878</v>
      </c>
      <c r="C441" s="150"/>
      <c r="D441" s="150"/>
      <c r="E441" s="150"/>
      <c r="F441" s="150"/>
      <c r="G441" s="150"/>
      <c r="H441" s="150"/>
      <c r="I441" s="150"/>
      <c r="J441" s="150"/>
      <c r="K441" s="156"/>
      <c r="L441" s="156"/>
      <c r="M441" s="156"/>
      <c r="N441" s="156"/>
      <c r="O441" s="156"/>
    </row>
    <row r="442" spans="1:15" x14ac:dyDescent="0.25">
      <c r="A442" s="150" t="s">
        <v>879</v>
      </c>
      <c r="B442" s="150" t="s">
        <v>8264</v>
      </c>
      <c r="C442" s="150"/>
      <c r="D442" s="150"/>
      <c r="E442" s="150"/>
      <c r="F442" s="150"/>
      <c r="G442" s="150"/>
      <c r="H442" s="150"/>
      <c r="I442" s="150"/>
      <c r="J442" s="150"/>
      <c r="K442" s="156"/>
      <c r="L442" s="156"/>
      <c r="M442" s="156"/>
      <c r="N442" s="156"/>
      <c r="O442" s="156"/>
    </row>
    <row r="443" spans="1:15" x14ac:dyDescent="0.25">
      <c r="A443" s="149" t="s">
        <v>880</v>
      </c>
      <c r="B443" s="149" t="s">
        <v>881</v>
      </c>
      <c r="C443" s="150"/>
      <c r="D443" s="150"/>
      <c r="E443" s="150"/>
      <c r="F443" s="150"/>
      <c r="G443" s="150"/>
      <c r="H443" s="150"/>
      <c r="I443" s="150"/>
      <c r="J443" s="150"/>
      <c r="K443" s="156"/>
      <c r="L443" s="156"/>
      <c r="M443" s="156"/>
      <c r="N443" s="156"/>
      <c r="O443" s="156"/>
    </row>
    <row r="444" spans="1:15" x14ac:dyDescent="0.25">
      <c r="A444" s="150" t="s">
        <v>5461</v>
      </c>
      <c r="B444" s="150" t="s">
        <v>870</v>
      </c>
      <c r="C444" s="150"/>
      <c r="D444" s="150"/>
      <c r="E444" s="150"/>
      <c r="F444" s="150"/>
      <c r="G444" s="150"/>
      <c r="H444" s="150"/>
      <c r="I444" s="150"/>
      <c r="J444" s="150"/>
      <c r="K444" s="156"/>
      <c r="L444" s="156"/>
      <c r="M444" s="156"/>
      <c r="N444" s="156"/>
      <c r="O444" s="156"/>
    </row>
    <row r="445" spans="1:15" x14ac:dyDescent="0.25">
      <c r="A445" s="149" t="s">
        <v>5463</v>
      </c>
      <c r="B445" s="149" t="s">
        <v>872</v>
      </c>
      <c r="C445" s="150"/>
      <c r="D445" s="150"/>
      <c r="E445" s="150"/>
      <c r="F445" s="150"/>
      <c r="G445" s="150"/>
      <c r="H445" s="150"/>
      <c r="I445" s="150"/>
      <c r="J445" s="150"/>
      <c r="K445" s="156"/>
      <c r="L445" s="156"/>
      <c r="M445" s="156"/>
      <c r="N445" s="156"/>
      <c r="O445" s="156"/>
    </row>
    <row r="446" spans="1:15" x14ac:dyDescent="0.25">
      <c r="A446" s="150" t="s">
        <v>8265</v>
      </c>
      <c r="B446" s="150" t="s">
        <v>874</v>
      </c>
      <c r="C446" s="150"/>
      <c r="D446" s="150"/>
      <c r="E446" s="150"/>
      <c r="F446" s="150"/>
      <c r="G446" s="150"/>
      <c r="H446" s="150"/>
      <c r="I446" s="150"/>
      <c r="J446" s="150"/>
      <c r="K446" s="156"/>
      <c r="L446" s="156"/>
      <c r="M446" s="156"/>
      <c r="N446" s="156"/>
      <c r="O446" s="156"/>
    </row>
    <row r="447" spans="1:15" x14ac:dyDescent="0.25">
      <c r="A447" s="149" t="s">
        <v>882</v>
      </c>
      <c r="B447" s="149" t="s">
        <v>883</v>
      </c>
      <c r="C447" s="150"/>
      <c r="D447" s="150"/>
      <c r="E447" s="150"/>
      <c r="F447" s="150"/>
      <c r="G447" s="150"/>
      <c r="H447" s="150"/>
      <c r="I447" s="150"/>
      <c r="J447" s="150"/>
      <c r="K447" s="156"/>
      <c r="L447" s="156"/>
      <c r="M447" s="156"/>
      <c r="N447" s="156"/>
      <c r="O447" s="156"/>
    </row>
    <row r="448" spans="1:15" x14ac:dyDescent="0.25">
      <c r="A448" s="150" t="s">
        <v>5466</v>
      </c>
      <c r="B448" s="150" t="s">
        <v>876</v>
      </c>
      <c r="C448" s="150"/>
      <c r="D448" s="150"/>
      <c r="E448" s="150"/>
      <c r="F448" s="150"/>
      <c r="G448" s="150"/>
      <c r="H448" s="150"/>
      <c r="I448" s="150"/>
      <c r="J448" s="150"/>
      <c r="K448" s="156"/>
      <c r="L448" s="156"/>
      <c r="M448" s="156"/>
      <c r="N448" s="156"/>
      <c r="O448" s="156"/>
    </row>
    <row r="449" spans="1:15" x14ac:dyDescent="0.25">
      <c r="A449" s="149" t="s">
        <v>5468</v>
      </c>
      <c r="B449" s="149" t="s">
        <v>878</v>
      </c>
      <c r="C449" s="150"/>
      <c r="D449" s="150"/>
      <c r="E449" s="150"/>
      <c r="F449" s="150"/>
      <c r="G449" s="150"/>
      <c r="H449" s="150"/>
      <c r="I449" s="150"/>
      <c r="J449" s="150"/>
      <c r="K449" s="156"/>
      <c r="L449" s="156"/>
      <c r="M449" s="156"/>
      <c r="N449" s="156"/>
      <c r="O449" s="156"/>
    </row>
    <row r="450" spans="1:15" x14ac:dyDescent="0.25">
      <c r="A450" s="150" t="s">
        <v>884</v>
      </c>
      <c r="B450" s="150" t="s">
        <v>885</v>
      </c>
      <c r="C450" s="150"/>
      <c r="D450" s="150"/>
      <c r="E450" s="150"/>
      <c r="F450" s="150"/>
      <c r="G450" s="150"/>
      <c r="H450" s="150"/>
      <c r="I450" s="150"/>
      <c r="J450" s="150"/>
      <c r="K450" s="156"/>
      <c r="L450" s="156"/>
      <c r="M450" s="156"/>
      <c r="N450" s="156"/>
      <c r="O450" s="156"/>
    </row>
    <row r="451" spans="1:15" x14ac:dyDescent="0.25">
      <c r="A451" s="149" t="s">
        <v>886</v>
      </c>
      <c r="B451" s="149" t="s">
        <v>887</v>
      </c>
      <c r="C451" s="150"/>
      <c r="D451" s="150"/>
      <c r="E451" s="150"/>
      <c r="F451" s="150"/>
      <c r="G451" s="150"/>
      <c r="H451" s="150"/>
      <c r="I451" s="150"/>
      <c r="J451" s="150"/>
      <c r="K451" s="156"/>
      <c r="L451" s="156"/>
      <c r="M451" s="156"/>
      <c r="N451" s="156"/>
      <c r="O451" s="156"/>
    </row>
    <row r="452" spans="1:15" x14ac:dyDescent="0.25">
      <c r="A452" s="150" t="s">
        <v>888</v>
      </c>
      <c r="B452" s="150" t="s">
        <v>889</v>
      </c>
      <c r="C452" s="150"/>
      <c r="D452" s="150"/>
      <c r="E452" s="150"/>
      <c r="F452" s="150"/>
      <c r="G452" s="150"/>
      <c r="H452" s="150"/>
      <c r="I452" s="150"/>
      <c r="J452" s="150"/>
      <c r="K452" s="156"/>
      <c r="L452" s="156"/>
      <c r="M452" s="156"/>
      <c r="N452" s="156"/>
      <c r="O452" s="156"/>
    </row>
    <row r="453" spans="1:15" x14ac:dyDescent="0.25">
      <c r="A453" s="149" t="s">
        <v>890</v>
      </c>
      <c r="B453" s="149" t="s">
        <v>891</v>
      </c>
      <c r="C453" s="150"/>
      <c r="D453" s="150"/>
      <c r="E453" s="150"/>
      <c r="F453" s="150"/>
      <c r="G453" s="150"/>
      <c r="H453" s="150"/>
      <c r="I453" s="150"/>
      <c r="J453" s="150"/>
      <c r="K453" s="156"/>
      <c r="L453" s="156"/>
      <c r="M453" s="156"/>
      <c r="N453" s="156"/>
      <c r="O453" s="156"/>
    </row>
    <row r="454" spans="1:15" x14ac:dyDescent="0.25">
      <c r="A454" s="150" t="s">
        <v>892</v>
      </c>
      <c r="B454" s="150" t="s">
        <v>893</v>
      </c>
      <c r="C454" s="150"/>
      <c r="D454" s="150"/>
      <c r="E454" s="150"/>
      <c r="F454" s="150"/>
      <c r="G454" s="150"/>
      <c r="H454" s="150"/>
      <c r="I454" s="150"/>
      <c r="J454" s="150"/>
      <c r="K454" s="156"/>
      <c r="L454" s="156"/>
      <c r="M454" s="156"/>
      <c r="N454" s="156"/>
      <c r="O454" s="156"/>
    </row>
    <row r="455" spans="1:15" x14ac:dyDescent="0.25">
      <c r="A455" s="149" t="s">
        <v>894</v>
      </c>
      <c r="B455" s="149" t="s">
        <v>895</v>
      </c>
      <c r="C455" s="150"/>
      <c r="D455" s="150"/>
      <c r="E455" s="150"/>
      <c r="F455" s="150"/>
      <c r="G455" s="150"/>
      <c r="H455" s="150"/>
      <c r="I455" s="150"/>
      <c r="J455" s="150"/>
      <c r="K455" s="156"/>
      <c r="L455" s="156"/>
      <c r="M455" s="156"/>
      <c r="N455" s="156"/>
      <c r="O455" s="156"/>
    </row>
    <row r="456" spans="1:15" x14ac:dyDescent="0.25">
      <c r="A456" s="150" t="s">
        <v>896</v>
      </c>
      <c r="B456" s="150" t="s">
        <v>897</v>
      </c>
      <c r="C456" s="150"/>
      <c r="D456" s="150"/>
      <c r="E456" s="150"/>
      <c r="F456" s="150"/>
      <c r="G456" s="150"/>
      <c r="H456" s="150"/>
      <c r="I456" s="150"/>
      <c r="J456" s="150"/>
      <c r="K456" s="156"/>
      <c r="L456" s="156"/>
      <c r="M456" s="156"/>
      <c r="N456" s="156"/>
      <c r="O456" s="156"/>
    </row>
    <row r="457" spans="1:15" x14ac:dyDescent="0.25">
      <c r="A457" s="149" t="s">
        <v>898</v>
      </c>
      <c r="B457" s="149" t="s">
        <v>8266</v>
      </c>
      <c r="C457" s="150"/>
      <c r="D457" s="150"/>
      <c r="E457" s="150"/>
      <c r="F457" s="150"/>
      <c r="G457" s="150"/>
      <c r="H457" s="150"/>
      <c r="I457" s="150"/>
      <c r="J457" s="150"/>
      <c r="K457" s="156"/>
      <c r="L457" s="156"/>
      <c r="M457" s="156"/>
      <c r="N457" s="156"/>
      <c r="O457" s="156"/>
    </row>
    <row r="458" spans="1:15" x14ac:dyDescent="0.25">
      <c r="A458" s="150" t="s">
        <v>899</v>
      </c>
      <c r="B458" s="150" t="s">
        <v>900</v>
      </c>
      <c r="C458" s="150"/>
      <c r="D458" s="150"/>
      <c r="E458" s="150"/>
      <c r="F458" s="150"/>
      <c r="G458" s="150"/>
      <c r="H458" s="150"/>
      <c r="I458" s="150"/>
      <c r="J458" s="150"/>
      <c r="K458" s="156"/>
      <c r="L458" s="156"/>
      <c r="M458" s="156"/>
      <c r="N458" s="156"/>
      <c r="O458" s="156"/>
    </row>
    <row r="459" spans="1:15" x14ac:dyDescent="0.25">
      <c r="A459" s="149" t="s">
        <v>901</v>
      </c>
      <c r="B459" s="149" t="s">
        <v>902</v>
      </c>
      <c r="C459" s="150"/>
      <c r="D459" s="150"/>
      <c r="E459" s="150"/>
      <c r="F459" s="150"/>
      <c r="G459" s="150"/>
      <c r="H459" s="150"/>
      <c r="I459" s="150"/>
      <c r="J459" s="150"/>
      <c r="K459" s="156"/>
      <c r="L459" s="156"/>
      <c r="M459" s="156"/>
      <c r="N459" s="156"/>
      <c r="O459" s="156"/>
    </row>
    <row r="460" spans="1:15" x14ac:dyDescent="0.25">
      <c r="A460" s="150" t="s">
        <v>903</v>
      </c>
      <c r="B460" s="150" t="s">
        <v>904</v>
      </c>
      <c r="C460" s="150"/>
      <c r="D460" s="150"/>
      <c r="E460" s="150"/>
      <c r="F460" s="150"/>
      <c r="G460" s="150"/>
      <c r="H460" s="150"/>
      <c r="I460" s="150"/>
      <c r="J460" s="150"/>
      <c r="K460" s="156"/>
      <c r="L460" s="156"/>
      <c r="M460" s="156"/>
      <c r="N460" s="156"/>
      <c r="O460" s="156"/>
    </row>
    <row r="461" spans="1:15" x14ac:dyDescent="0.25">
      <c r="A461" s="149" t="s">
        <v>905</v>
      </c>
      <c r="B461" s="149" t="s">
        <v>906</v>
      </c>
      <c r="C461" s="150"/>
      <c r="D461" s="150"/>
      <c r="E461" s="150"/>
      <c r="F461" s="150"/>
      <c r="G461" s="150"/>
      <c r="H461" s="150"/>
      <c r="I461" s="150"/>
      <c r="J461" s="150"/>
      <c r="K461" s="156"/>
      <c r="L461" s="156"/>
      <c r="M461" s="156"/>
      <c r="N461" s="156"/>
      <c r="O461" s="156"/>
    </row>
    <row r="462" spans="1:15" x14ac:dyDescent="0.25">
      <c r="A462" s="150" t="s">
        <v>907</v>
      </c>
      <c r="B462" s="150" t="s">
        <v>908</v>
      </c>
      <c r="C462" s="150"/>
      <c r="D462" s="150"/>
      <c r="E462" s="150"/>
      <c r="F462" s="150"/>
      <c r="G462" s="150"/>
      <c r="H462" s="150"/>
      <c r="I462" s="150"/>
      <c r="J462" s="150"/>
      <c r="K462" s="156"/>
      <c r="L462" s="156"/>
      <c r="M462" s="156"/>
      <c r="N462" s="156"/>
      <c r="O462" s="156"/>
    </row>
    <row r="463" spans="1:15" x14ac:dyDescent="0.25">
      <c r="A463" s="149" t="s">
        <v>909</v>
      </c>
      <c r="B463" s="149" t="s">
        <v>8267</v>
      </c>
      <c r="C463" s="150"/>
      <c r="D463" s="150"/>
      <c r="E463" s="150"/>
      <c r="F463" s="150"/>
      <c r="G463" s="150"/>
      <c r="H463" s="150"/>
      <c r="I463" s="150"/>
      <c r="J463" s="150"/>
      <c r="K463" s="156"/>
      <c r="L463" s="156"/>
      <c r="M463" s="156"/>
      <c r="N463" s="156"/>
      <c r="O463" s="156"/>
    </row>
    <row r="464" spans="1:15" x14ac:dyDescent="0.25">
      <c r="A464" s="150" t="s">
        <v>910</v>
      </c>
      <c r="B464" s="150" t="s">
        <v>911</v>
      </c>
      <c r="C464" s="150"/>
      <c r="D464" s="150"/>
      <c r="E464" s="150"/>
      <c r="F464" s="150"/>
      <c r="G464" s="150"/>
      <c r="H464" s="150"/>
      <c r="I464" s="150"/>
      <c r="J464" s="150"/>
      <c r="K464" s="156"/>
      <c r="L464" s="156"/>
      <c r="M464" s="156"/>
      <c r="N464" s="156"/>
      <c r="O464" s="156"/>
    </row>
    <row r="465" spans="1:15" x14ac:dyDescent="0.25">
      <c r="A465" s="149" t="s">
        <v>912</v>
      </c>
      <c r="B465" s="149" t="s">
        <v>8268</v>
      </c>
      <c r="C465" s="150"/>
      <c r="D465" s="150"/>
      <c r="E465" s="150"/>
      <c r="F465" s="150"/>
      <c r="G465" s="150"/>
      <c r="H465" s="150"/>
      <c r="I465" s="150"/>
      <c r="J465" s="150"/>
      <c r="K465" s="156"/>
      <c r="L465" s="156"/>
      <c r="M465" s="156"/>
      <c r="N465" s="156"/>
      <c r="O465" s="156"/>
    </row>
    <row r="466" spans="1:15" x14ac:dyDescent="0.25">
      <c r="A466" s="150" t="s">
        <v>913</v>
      </c>
      <c r="B466" s="150" t="s">
        <v>914</v>
      </c>
      <c r="C466" s="150"/>
      <c r="D466" s="150"/>
      <c r="E466" s="150"/>
      <c r="F466" s="150"/>
      <c r="G466" s="150"/>
      <c r="H466" s="150"/>
      <c r="I466" s="150"/>
      <c r="J466" s="150"/>
      <c r="K466" s="156"/>
      <c r="L466" s="156"/>
      <c r="M466" s="156"/>
      <c r="N466" s="156"/>
      <c r="O466" s="156"/>
    </row>
    <row r="467" spans="1:15" x14ac:dyDescent="0.25">
      <c r="A467" s="149" t="s">
        <v>915</v>
      </c>
      <c r="B467" s="149" t="s">
        <v>8269</v>
      </c>
      <c r="C467" s="150"/>
      <c r="D467" s="150"/>
      <c r="E467" s="150"/>
      <c r="F467" s="150"/>
      <c r="G467" s="150"/>
      <c r="H467" s="150"/>
      <c r="I467" s="150"/>
      <c r="J467" s="150"/>
      <c r="K467" s="156"/>
      <c r="L467" s="156"/>
      <c r="M467" s="156"/>
      <c r="N467" s="156"/>
      <c r="O467" s="156"/>
    </row>
    <row r="468" spans="1:15" x14ac:dyDescent="0.25">
      <c r="A468" s="150" t="s">
        <v>916</v>
      </c>
      <c r="B468" s="150" t="s">
        <v>917</v>
      </c>
      <c r="C468" s="150"/>
      <c r="D468" s="150"/>
      <c r="E468" s="150"/>
      <c r="F468" s="150"/>
      <c r="G468" s="150"/>
      <c r="H468" s="150"/>
      <c r="I468" s="150"/>
      <c r="J468" s="150"/>
      <c r="K468" s="156"/>
      <c r="L468" s="156"/>
      <c r="M468" s="156"/>
      <c r="N468" s="156"/>
      <c r="O468" s="156"/>
    </row>
    <row r="469" spans="1:15" x14ac:dyDescent="0.25">
      <c r="A469" s="149" t="s">
        <v>918</v>
      </c>
      <c r="B469" s="149" t="s">
        <v>8270</v>
      </c>
      <c r="C469" s="150"/>
      <c r="D469" s="150"/>
      <c r="E469" s="150"/>
      <c r="F469" s="150"/>
      <c r="G469" s="150"/>
      <c r="H469" s="150"/>
      <c r="I469" s="150"/>
      <c r="J469" s="150"/>
      <c r="K469" s="156"/>
      <c r="L469" s="156"/>
      <c r="M469" s="156"/>
      <c r="N469" s="156"/>
      <c r="O469" s="156"/>
    </row>
    <row r="470" spans="1:15" x14ac:dyDescent="0.25">
      <c r="A470" s="150" t="s">
        <v>919</v>
      </c>
      <c r="B470" s="150" t="s">
        <v>920</v>
      </c>
      <c r="C470" s="150"/>
      <c r="D470" s="150"/>
      <c r="E470" s="150"/>
      <c r="F470" s="150"/>
      <c r="G470" s="150"/>
      <c r="H470" s="150"/>
      <c r="I470" s="150"/>
      <c r="J470" s="150"/>
      <c r="K470" s="156"/>
      <c r="L470" s="156"/>
      <c r="M470" s="156"/>
      <c r="N470" s="156"/>
      <c r="O470" s="156"/>
    </row>
    <row r="471" spans="1:15" x14ac:dyDescent="0.25">
      <c r="A471" s="149" t="s">
        <v>921</v>
      </c>
      <c r="B471" s="149" t="s">
        <v>922</v>
      </c>
      <c r="C471" s="150"/>
      <c r="D471" s="150"/>
      <c r="E471" s="150"/>
      <c r="F471" s="150"/>
      <c r="G471" s="150"/>
      <c r="H471" s="150"/>
      <c r="I471" s="150"/>
      <c r="J471" s="150"/>
      <c r="K471" s="156"/>
      <c r="L471" s="156"/>
      <c r="M471" s="156"/>
      <c r="N471" s="156"/>
      <c r="O471" s="156"/>
    </row>
    <row r="472" spans="1:15" x14ac:dyDescent="0.25">
      <c r="A472" s="150" t="s">
        <v>923</v>
      </c>
      <c r="B472" s="150" t="s">
        <v>8271</v>
      </c>
      <c r="C472" s="150"/>
      <c r="D472" s="150"/>
      <c r="E472" s="150"/>
      <c r="F472" s="150"/>
      <c r="G472" s="150"/>
      <c r="H472" s="150"/>
      <c r="I472" s="150"/>
      <c r="J472" s="150"/>
      <c r="K472" s="156"/>
      <c r="L472" s="156"/>
      <c r="M472" s="156"/>
      <c r="N472" s="156"/>
      <c r="O472" s="156"/>
    </row>
    <row r="473" spans="1:15" x14ac:dyDescent="0.25">
      <c r="A473" s="149" t="s">
        <v>924</v>
      </c>
      <c r="B473" s="149" t="s">
        <v>8272</v>
      </c>
      <c r="C473" s="150"/>
      <c r="D473" s="150"/>
      <c r="E473" s="150"/>
      <c r="F473" s="150"/>
      <c r="G473" s="150"/>
      <c r="H473" s="150"/>
      <c r="I473" s="150"/>
      <c r="J473" s="150"/>
      <c r="K473" s="156"/>
      <c r="L473" s="156"/>
      <c r="M473" s="156"/>
      <c r="N473" s="156"/>
      <c r="O473" s="156"/>
    </row>
    <row r="474" spans="1:15" x14ac:dyDescent="0.25">
      <c r="A474" s="150" t="s">
        <v>925</v>
      </c>
      <c r="B474" s="150" t="s">
        <v>926</v>
      </c>
      <c r="C474" s="150"/>
      <c r="D474" s="150"/>
      <c r="E474" s="150"/>
      <c r="F474" s="150"/>
      <c r="G474" s="150"/>
      <c r="H474" s="150"/>
      <c r="I474" s="150"/>
      <c r="J474" s="150"/>
      <c r="K474" s="156"/>
      <c r="L474" s="156"/>
      <c r="M474" s="156"/>
      <c r="N474" s="156"/>
      <c r="O474" s="156"/>
    </row>
    <row r="475" spans="1:15" x14ac:dyDescent="0.25">
      <c r="A475" s="149" t="s">
        <v>927</v>
      </c>
      <c r="B475" s="149" t="s">
        <v>928</v>
      </c>
      <c r="C475" s="150"/>
      <c r="D475" s="150"/>
      <c r="E475" s="150"/>
      <c r="F475" s="150"/>
      <c r="G475" s="150"/>
      <c r="H475" s="150"/>
      <c r="I475" s="150"/>
      <c r="J475" s="150"/>
      <c r="K475" s="156"/>
      <c r="L475" s="156"/>
      <c r="M475" s="156"/>
      <c r="N475" s="156"/>
      <c r="O475" s="156"/>
    </row>
    <row r="476" spans="1:15" x14ac:dyDescent="0.25">
      <c r="A476" s="150" t="s">
        <v>929</v>
      </c>
      <c r="B476" s="150" t="s">
        <v>8273</v>
      </c>
      <c r="C476" s="150"/>
      <c r="D476" s="150"/>
      <c r="E476" s="150"/>
      <c r="F476" s="150"/>
      <c r="G476" s="150"/>
      <c r="H476" s="150"/>
      <c r="I476" s="150"/>
      <c r="J476" s="150"/>
      <c r="K476" s="156"/>
      <c r="L476" s="156"/>
      <c r="M476" s="156"/>
      <c r="N476" s="156"/>
      <c r="O476" s="156"/>
    </row>
    <row r="477" spans="1:15" x14ac:dyDescent="0.25">
      <c r="A477" s="149" t="s">
        <v>930</v>
      </c>
      <c r="B477" s="149" t="s">
        <v>931</v>
      </c>
      <c r="C477" s="150"/>
      <c r="D477" s="150"/>
      <c r="E477" s="150"/>
      <c r="F477" s="150"/>
      <c r="G477" s="150"/>
      <c r="H477" s="150"/>
      <c r="I477" s="150"/>
      <c r="J477" s="150"/>
      <c r="K477" s="156"/>
      <c r="L477" s="156"/>
      <c r="M477" s="156"/>
      <c r="N477" s="156"/>
      <c r="O477" s="156"/>
    </row>
    <row r="478" spans="1:15" x14ac:dyDescent="0.25">
      <c r="A478" s="150" t="s">
        <v>932</v>
      </c>
      <c r="B478" s="150" t="s">
        <v>933</v>
      </c>
      <c r="C478" s="150"/>
      <c r="D478" s="150"/>
      <c r="E478" s="150"/>
      <c r="F478" s="150"/>
      <c r="G478" s="150"/>
      <c r="H478" s="150"/>
      <c r="I478" s="150"/>
      <c r="J478" s="150"/>
      <c r="K478" s="156"/>
      <c r="L478" s="156"/>
      <c r="M478" s="156"/>
      <c r="N478" s="156"/>
      <c r="O478" s="156"/>
    </row>
    <row r="479" spans="1:15" x14ac:dyDescent="0.25">
      <c r="A479" s="149" t="s">
        <v>934</v>
      </c>
      <c r="B479" s="149" t="s">
        <v>935</v>
      </c>
      <c r="C479" s="150"/>
      <c r="D479" s="150"/>
      <c r="E479" s="150"/>
      <c r="F479" s="150"/>
      <c r="G479" s="150"/>
      <c r="H479" s="150"/>
      <c r="I479" s="150"/>
      <c r="J479" s="150"/>
      <c r="K479" s="156"/>
      <c r="L479" s="156"/>
      <c r="M479" s="156"/>
      <c r="N479" s="156"/>
      <c r="O479" s="156"/>
    </row>
    <row r="480" spans="1:15" x14ac:dyDescent="0.25">
      <c r="A480" s="150" t="s">
        <v>936</v>
      </c>
      <c r="B480" s="150" t="s">
        <v>937</v>
      </c>
      <c r="C480" s="150"/>
      <c r="D480" s="150"/>
      <c r="E480" s="150"/>
      <c r="F480" s="150"/>
      <c r="G480" s="150"/>
      <c r="H480" s="150"/>
      <c r="I480" s="150"/>
      <c r="J480" s="150"/>
      <c r="K480" s="156"/>
      <c r="L480" s="156"/>
      <c r="M480" s="156"/>
      <c r="N480" s="156"/>
      <c r="O480" s="156"/>
    </row>
    <row r="481" spans="1:15" x14ac:dyDescent="0.25">
      <c r="A481" s="149" t="s">
        <v>5502</v>
      </c>
      <c r="B481" s="149" t="s">
        <v>8274</v>
      </c>
      <c r="C481" s="150"/>
      <c r="D481" s="150"/>
      <c r="E481" s="150"/>
      <c r="F481" s="150"/>
      <c r="G481" s="150"/>
      <c r="H481" s="150"/>
      <c r="I481" s="150"/>
      <c r="J481" s="150"/>
      <c r="K481" s="156"/>
      <c r="L481" s="156"/>
      <c r="M481" s="156"/>
      <c r="N481" s="156"/>
      <c r="O481" s="156"/>
    </row>
    <row r="482" spans="1:15" x14ac:dyDescent="0.25">
      <c r="A482" s="150" t="s">
        <v>938</v>
      </c>
      <c r="B482" s="150" t="s">
        <v>8275</v>
      </c>
      <c r="C482" s="150"/>
      <c r="D482" s="150"/>
      <c r="E482" s="150"/>
      <c r="F482" s="150"/>
      <c r="G482" s="150"/>
      <c r="H482" s="150"/>
      <c r="I482" s="150"/>
      <c r="J482" s="150"/>
      <c r="K482" s="156"/>
      <c r="L482" s="156"/>
      <c r="M482" s="156"/>
      <c r="N482" s="156"/>
      <c r="O482" s="156"/>
    </row>
    <row r="483" spans="1:15" x14ac:dyDescent="0.25">
      <c r="A483" s="149" t="s">
        <v>939</v>
      </c>
      <c r="B483" s="149" t="s">
        <v>940</v>
      </c>
      <c r="C483" s="150"/>
      <c r="D483" s="150"/>
      <c r="E483" s="150"/>
      <c r="F483" s="150"/>
      <c r="G483" s="150"/>
      <c r="H483" s="150"/>
      <c r="I483" s="150"/>
      <c r="J483" s="150"/>
      <c r="K483" s="156"/>
      <c r="L483" s="156"/>
      <c r="M483" s="156"/>
      <c r="N483" s="156"/>
      <c r="O483" s="156"/>
    </row>
    <row r="484" spans="1:15" x14ac:dyDescent="0.25">
      <c r="A484" s="150" t="s">
        <v>941</v>
      </c>
      <c r="B484" s="150" t="s">
        <v>942</v>
      </c>
      <c r="C484" s="150"/>
      <c r="D484" s="150"/>
      <c r="E484" s="150"/>
      <c r="F484" s="150"/>
      <c r="G484" s="150"/>
      <c r="H484" s="150"/>
      <c r="I484" s="150"/>
      <c r="J484" s="150"/>
      <c r="K484" s="156"/>
      <c r="L484" s="156"/>
      <c r="M484" s="156"/>
      <c r="N484" s="156"/>
      <c r="O484" s="156"/>
    </row>
    <row r="485" spans="1:15" x14ac:dyDescent="0.25">
      <c r="A485" s="149" t="s">
        <v>943</v>
      </c>
      <c r="B485" s="149" t="s">
        <v>944</v>
      </c>
      <c r="C485" s="150"/>
      <c r="D485" s="150"/>
      <c r="E485" s="150"/>
      <c r="F485" s="150"/>
      <c r="G485" s="150"/>
      <c r="H485" s="150"/>
      <c r="I485" s="150"/>
      <c r="J485" s="150"/>
      <c r="K485" s="156"/>
      <c r="L485" s="156"/>
      <c r="M485" s="156"/>
      <c r="N485" s="156"/>
      <c r="O485" s="156"/>
    </row>
    <row r="486" spans="1:15" x14ac:dyDescent="0.25">
      <c r="A486" s="150" t="s">
        <v>945</v>
      </c>
      <c r="B486" s="150" t="s">
        <v>946</v>
      </c>
      <c r="C486" s="150"/>
      <c r="D486" s="150"/>
      <c r="E486" s="150"/>
      <c r="F486" s="150"/>
      <c r="G486" s="150"/>
      <c r="H486" s="150"/>
      <c r="I486" s="150"/>
      <c r="J486" s="150"/>
      <c r="K486" s="156"/>
      <c r="L486" s="156"/>
      <c r="M486" s="156"/>
      <c r="N486" s="156"/>
      <c r="O486" s="156"/>
    </row>
    <row r="487" spans="1:15" x14ac:dyDescent="0.25">
      <c r="A487" s="149" t="s">
        <v>947</v>
      </c>
      <c r="B487" s="149" t="s">
        <v>948</v>
      </c>
      <c r="C487" s="150"/>
      <c r="D487" s="150"/>
      <c r="E487" s="150"/>
      <c r="F487" s="150"/>
      <c r="G487" s="150"/>
      <c r="H487" s="150"/>
      <c r="I487" s="150"/>
      <c r="J487" s="150"/>
      <c r="K487" s="156"/>
      <c r="L487" s="156"/>
      <c r="M487" s="156"/>
      <c r="N487" s="156"/>
      <c r="O487" s="156"/>
    </row>
    <row r="488" spans="1:15" x14ac:dyDescent="0.25">
      <c r="A488" s="150" t="s">
        <v>949</v>
      </c>
      <c r="B488" s="150" t="s">
        <v>950</v>
      </c>
      <c r="C488" s="150"/>
      <c r="D488" s="150"/>
      <c r="E488" s="150"/>
      <c r="F488" s="150"/>
      <c r="G488" s="150"/>
      <c r="H488" s="150"/>
      <c r="I488" s="150"/>
      <c r="J488" s="150"/>
      <c r="K488" s="156"/>
      <c r="L488" s="156"/>
      <c r="M488" s="156"/>
      <c r="N488" s="156"/>
      <c r="O488" s="156"/>
    </row>
    <row r="489" spans="1:15" x14ac:dyDescent="0.25">
      <c r="A489" s="149" t="s">
        <v>951</v>
      </c>
      <c r="B489" s="149" t="s">
        <v>952</v>
      </c>
      <c r="C489" s="150"/>
      <c r="D489" s="150"/>
      <c r="E489" s="150"/>
      <c r="F489" s="150"/>
      <c r="G489" s="150"/>
      <c r="H489" s="150"/>
      <c r="I489" s="150"/>
      <c r="J489" s="150"/>
      <c r="K489" s="156"/>
      <c r="L489" s="156"/>
      <c r="M489" s="156"/>
      <c r="N489" s="156"/>
      <c r="O489" s="156"/>
    </row>
    <row r="490" spans="1:15" x14ac:dyDescent="0.25">
      <c r="A490" s="150" t="s">
        <v>953</v>
      </c>
      <c r="B490" s="150" t="s">
        <v>8276</v>
      </c>
      <c r="C490" s="150"/>
      <c r="D490" s="150"/>
      <c r="E490" s="150"/>
      <c r="F490" s="150"/>
      <c r="G490" s="150"/>
      <c r="H490" s="150"/>
      <c r="I490" s="150"/>
      <c r="J490" s="150"/>
      <c r="K490" s="156"/>
      <c r="L490" s="156"/>
      <c r="M490" s="156"/>
      <c r="N490" s="156"/>
      <c r="O490" s="156"/>
    </row>
    <row r="491" spans="1:15" x14ac:dyDescent="0.25">
      <c r="A491" s="149" t="s">
        <v>954</v>
      </c>
      <c r="B491" s="149" t="s">
        <v>8277</v>
      </c>
      <c r="C491" s="150"/>
      <c r="D491" s="150"/>
      <c r="E491" s="150"/>
      <c r="F491" s="150"/>
      <c r="G491" s="150"/>
      <c r="H491" s="150"/>
      <c r="I491" s="150"/>
      <c r="J491" s="150"/>
      <c r="K491" s="156"/>
      <c r="L491" s="156"/>
      <c r="M491" s="156"/>
      <c r="N491" s="156"/>
      <c r="O491" s="156"/>
    </row>
    <row r="492" spans="1:15" x14ac:dyDescent="0.25">
      <c r="A492" s="150" t="s">
        <v>955</v>
      </c>
      <c r="B492" s="150" t="s">
        <v>956</v>
      </c>
      <c r="C492" s="150"/>
      <c r="D492" s="150"/>
      <c r="E492" s="150"/>
      <c r="F492" s="150"/>
      <c r="G492" s="150"/>
      <c r="H492" s="150"/>
      <c r="I492" s="150"/>
      <c r="J492" s="150"/>
      <c r="K492" s="156"/>
      <c r="L492" s="156"/>
      <c r="M492" s="156"/>
      <c r="N492" s="156"/>
      <c r="O492" s="156"/>
    </row>
    <row r="493" spans="1:15" x14ac:dyDescent="0.25">
      <c r="A493" s="149" t="s">
        <v>957</v>
      </c>
      <c r="B493" s="149" t="s">
        <v>958</v>
      </c>
      <c r="C493" s="150"/>
      <c r="D493" s="150"/>
      <c r="E493" s="150"/>
      <c r="F493" s="150"/>
      <c r="G493" s="150"/>
      <c r="H493" s="150"/>
      <c r="I493" s="150"/>
      <c r="J493" s="150"/>
      <c r="K493" s="156"/>
      <c r="L493" s="156"/>
      <c r="M493" s="156"/>
      <c r="N493" s="156"/>
      <c r="O493" s="156"/>
    </row>
    <row r="494" spans="1:15" x14ac:dyDescent="0.25">
      <c r="A494" s="150" t="s">
        <v>959</v>
      </c>
      <c r="B494" s="150" t="s">
        <v>960</v>
      </c>
      <c r="C494" s="150"/>
      <c r="D494" s="150"/>
      <c r="E494" s="150"/>
      <c r="F494" s="150"/>
      <c r="G494" s="150"/>
      <c r="H494" s="150"/>
      <c r="I494" s="150"/>
      <c r="J494" s="150"/>
      <c r="K494" s="156"/>
      <c r="L494" s="156"/>
      <c r="M494" s="156"/>
      <c r="N494" s="156"/>
      <c r="O494" s="156"/>
    </row>
    <row r="495" spans="1:15" x14ac:dyDescent="0.25">
      <c r="A495" s="149" t="s">
        <v>961</v>
      </c>
      <c r="B495" s="149" t="s">
        <v>8278</v>
      </c>
      <c r="C495" s="150"/>
      <c r="D495" s="150"/>
      <c r="E495" s="150"/>
      <c r="F495" s="150"/>
      <c r="G495" s="150"/>
      <c r="H495" s="150"/>
      <c r="I495" s="150"/>
      <c r="J495" s="150"/>
      <c r="K495" s="156"/>
      <c r="L495" s="156"/>
      <c r="M495" s="156"/>
      <c r="N495" s="156"/>
      <c r="O495" s="156"/>
    </row>
    <row r="496" spans="1:15" x14ac:dyDescent="0.25">
      <c r="A496" s="150" t="s">
        <v>962</v>
      </c>
      <c r="B496" s="150" t="s">
        <v>963</v>
      </c>
      <c r="C496" s="150"/>
      <c r="D496" s="150"/>
      <c r="E496" s="150"/>
      <c r="F496" s="150"/>
      <c r="G496" s="150"/>
      <c r="H496" s="150"/>
      <c r="I496" s="150"/>
      <c r="J496" s="150"/>
      <c r="K496" s="156"/>
      <c r="L496" s="156"/>
      <c r="M496" s="156"/>
      <c r="N496" s="156"/>
      <c r="O496" s="156"/>
    </row>
    <row r="497" spans="1:15" x14ac:dyDescent="0.25">
      <c r="A497" s="149" t="s">
        <v>964</v>
      </c>
      <c r="B497" s="149" t="s">
        <v>965</v>
      </c>
      <c r="C497" s="150"/>
      <c r="D497" s="150"/>
      <c r="E497" s="150"/>
      <c r="F497" s="150"/>
      <c r="G497" s="150"/>
      <c r="H497" s="150"/>
      <c r="I497" s="150"/>
      <c r="J497" s="150"/>
      <c r="K497" s="156"/>
      <c r="L497" s="156"/>
      <c r="M497" s="156"/>
      <c r="N497" s="156"/>
      <c r="O497" s="156"/>
    </row>
    <row r="498" spans="1:15" x14ac:dyDescent="0.25">
      <c r="A498" s="150" t="s">
        <v>966</v>
      </c>
      <c r="B498" s="150" t="s">
        <v>967</v>
      </c>
      <c r="C498" s="150"/>
      <c r="D498" s="150"/>
      <c r="E498" s="150"/>
      <c r="F498" s="150"/>
      <c r="G498" s="150"/>
      <c r="H498" s="150"/>
      <c r="I498" s="150"/>
      <c r="J498" s="150"/>
      <c r="K498" s="156"/>
      <c r="L498" s="156"/>
      <c r="M498" s="156"/>
      <c r="N498" s="156"/>
      <c r="O498" s="156"/>
    </row>
    <row r="499" spans="1:15" x14ac:dyDescent="0.25">
      <c r="A499" s="149" t="s">
        <v>968</v>
      </c>
      <c r="B499" s="149" t="s">
        <v>969</v>
      </c>
      <c r="C499" s="150"/>
      <c r="D499" s="150"/>
      <c r="E499" s="150"/>
      <c r="F499" s="150"/>
      <c r="G499" s="150"/>
      <c r="H499" s="150"/>
      <c r="I499" s="150"/>
      <c r="J499" s="150"/>
      <c r="K499" s="156"/>
      <c r="L499" s="156"/>
      <c r="M499" s="156"/>
      <c r="N499" s="156"/>
      <c r="O499" s="156"/>
    </row>
    <row r="500" spans="1:15" x14ac:dyDescent="0.25">
      <c r="A500" s="150" t="s">
        <v>970</v>
      </c>
      <c r="B500" s="150" t="s">
        <v>8279</v>
      </c>
      <c r="C500" s="150"/>
      <c r="D500" s="150"/>
      <c r="E500" s="150"/>
      <c r="F500" s="150"/>
      <c r="G500" s="150"/>
      <c r="H500" s="150"/>
      <c r="I500" s="150"/>
      <c r="J500" s="150"/>
      <c r="K500" s="156"/>
      <c r="L500" s="156"/>
      <c r="M500" s="156"/>
      <c r="N500" s="156"/>
      <c r="O500" s="156"/>
    </row>
    <row r="501" spans="1:15" x14ac:dyDescent="0.25">
      <c r="A501" s="149" t="s">
        <v>971</v>
      </c>
      <c r="B501" s="149" t="s">
        <v>972</v>
      </c>
      <c r="C501" s="150"/>
      <c r="D501" s="150"/>
      <c r="E501" s="150"/>
      <c r="F501" s="150"/>
      <c r="G501" s="150"/>
      <c r="H501" s="150"/>
      <c r="I501" s="150"/>
      <c r="J501" s="150"/>
      <c r="K501" s="156"/>
      <c r="L501" s="156"/>
      <c r="M501" s="156"/>
      <c r="N501" s="156"/>
      <c r="O501" s="156"/>
    </row>
    <row r="502" spans="1:15" x14ac:dyDescent="0.25">
      <c r="A502" s="150" t="s">
        <v>973</v>
      </c>
      <c r="B502" s="150" t="s">
        <v>974</v>
      </c>
      <c r="C502" s="150"/>
      <c r="D502" s="150"/>
      <c r="E502" s="150"/>
      <c r="F502" s="150"/>
      <c r="G502" s="150"/>
      <c r="H502" s="150"/>
      <c r="I502" s="150"/>
      <c r="J502" s="150"/>
      <c r="K502" s="156"/>
      <c r="L502" s="156"/>
      <c r="M502" s="156"/>
      <c r="N502" s="156"/>
      <c r="O502" s="156"/>
    </row>
    <row r="503" spans="1:15" x14ac:dyDescent="0.25">
      <c r="A503" s="149" t="s">
        <v>975</v>
      </c>
      <c r="B503" s="149" t="s">
        <v>976</v>
      </c>
      <c r="C503" s="150"/>
      <c r="D503" s="150"/>
      <c r="E503" s="150"/>
      <c r="F503" s="150"/>
      <c r="G503" s="150"/>
      <c r="H503" s="150"/>
      <c r="I503" s="150"/>
      <c r="J503" s="150"/>
      <c r="K503" s="156"/>
      <c r="L503" s="156"/>
      <c r="M503" s="156"/>
      <c r="N503" s="156"/>
      <c r="O503" s="156"/>
    </row>
    <row r="504" spans="1:15" x14ac:dyDescent="0.25">
      <c r="A504" s="150" t="s">
        <v>977</v>
      </c>
      <c r="B504" s="150" t="s">
        <v>978</v>
      </c>
      <c r="C504" s="150"/>
      <c r="D504" s="150"/>
      <c r="E504" s="150"/>
      <c r="F504" s="150"/>
      <c r="G504" s="150"/>
      <c r="H504" s="150"/>
      <c r="I504" s="150"/>
      <c r="J504" s="150"/>
      <c r="K504" s="156"/>
      <c r="L504" s="156"/>
      <c r="M504" s="156"/>
      <c r="N504" s="156"/>
      <c r="O504" s="156"/>
    </row>
    <row r="505" spans="1:15" x14ac:dyDescent="0.25">
      <c r="A505" s="149" t="s">
        <v>8280</v>
      </c>
      <c r="B505" s="149" t="s">
        <v>8281</v>
      </c>
      <c r="C505" s="150"/>
      <c r="D505" s="150"/>
      <c r="E505" s="150"/>
      <c r="F505" s="150"/>
      <c r="G505" s="150"/>
      <c r="H505" s="150"/>
      <c r="I505" s="150"/>
      <c r="J505" s="150"/>
      <c r="K505" s="156"/>
      <c r="L505" s="156"/>
      <c r="M505" s="156"/>
      <c r="N505" s="156"/>
      <c r="O505" s="156"/>
    </row>
    <row r="506" spans="1:15" x14ac:dyDescent="0.25">
      <c r="A506" s="150" t="s">
        <v>979</v>
      </c>
      <c r="B506" s="150" t="s">
        <v>980</v>
      </c>
      <c r="C506" s="150"/>
      <c r="D506" s="150"/>
      <c r="E506" s="150"/>
      <c r="F506" s="150"/>
      <c r="G506" s="150"/>
      <c r="H506" s="150"/>
      <c r="I506" s="150"/>
      <c r="J506" s="150"/>
      <c r="K506" s="156"/>
      <c r="L506" s="156"/>
      <c r="M506" s="156"/>
      <c r="N506" s="156"/>
      <c r="O506" s="156"/>
    </row>
    <row r="507" spans="1:15" x14ac:dyDescent="0.25">
      <c r="A507" s="149" t="s">
        <v>981</v>
      </c>
      <c r="B507" s="149" t="s">
        <v>982</v>
      </c>
      <c r="C507" s="150"/>
      <c r="D507" s="150"/>
      <c r="E507" s="150"/>
      <c r="F507" s="150"/>
      <c r="G507" s="150"/>
      <c r="H507" s="150"/>
      <c r="I507" s="150"/>
      <c r="J507" s="150"/>
      <c r="K507" s="156"/>
      <c r="L507" s="156"/>
      <c r="M507" s="156"/>
      <c r="N507" s="156"/>
      <c r="O507" s="156"/>
    </row>
    <row r="508" spans="1:15" x14ac:dyDescent="0.25">
      <c r="A508" s="150" t="s">
        <v>983</v>
      </c>
      <c r="B508" s="150" t="s">
        <v>984</v>
      </c>
      <c r="C508" s="150"/>
      <c r="D508" s="150"/>
      <c r="E508" s="150"/>
      <c r="F508" s="150"/>
      <c r="G508" s="150"/>
      <c r="H508" s="150"/>
      <c r="I508" s="150"/>
      <c r="J508" s="150"/>
      <c r="K508" s="156"/>
      <c r="L508" s="156"/>
      <c r="M508" s="156"/>
      <c r="N508" s="156"/>
      <c r="O508" s="156"/>
    </row>
    <row r="509" spans="1:15" x14ac:dyDescent="0.25">
      <c r="A509" s="149" t="s">
        <v>985</v>
      </c>
      <c r="B509" s="149" t="s">
        <v>986</v>
      </c>
      <c r="C509" s="150"/>
      <c r="D509" s="150"/>
      <c r="E509" s="150"/>
      <c r="F509" s="150"/>
      <c r="G509" s="150"/>
      <c r="H509" s="150"/>
      <c r="I509" s="150"/>
      <c r="J509" s="150"/>
      <c r="K509" s="156"/>
      <c r="L509" s="156"/>
      <c r="M509" s="156"/>
      <c r="N509" s="156"/>
      <c r="O509" s="156"/>
    </row>
    <row r="510" spans="1:15" x14ac:dyDescent="0.25">
      <c r="A510" s="150" t="s">
        <v>987</v>
      </c>
      <c r="B510" s="150" t="s">
        <v>988</v>
      </c>
      <c r="C510" s="150"/>
      <c r="D510" s="150"/>
      <c r="E510" s="150"/>
      <c r="F510" s="150"/>
      <c r="G510" s="150"/>
      <c r="H510" s="150"/>
      <c r="I510" s="150"/>
      <c r="J510" s="150"/>
      <c r="K510" s="156"/>
      <c r="L510" s="156"/>
      <c r="M510" s="156"/>
      <c r="N510" s="156"/>
      <c r="O510" s="156"/>
    </row>
    <row r="511" spans="1:15" x14ac:dyDescent="0.25">
      <c r="A511" s="149" t="s">
        <v>989</v>
      </c>
      <c r="B511" s="149" t="s">
        <v>990</v>
      </c>
      <c r="C511" s="150"/>
      <c r="D511" s="150"/>
      <c r="E511" s="150"/>
      <c r="F511" s="150"/>
      <c r="G511" s="150"/>
      <c r="H511" s="150"/>
      <c r="I511" s="150"/>
      <c r="J511" s="150"/>
      <c r="K511" s="156"/>
      <c r="L511" s="156"/>
      <c r="M511" s="156"/>
      <c r="N511" s="156"/>
      <c r="O511" s="156"/>
    </row>
    <row r="512" spans="1:15" x14ac:dyDescent="0.25">
      <c r="A512" s="150" t="s">
        <v>991</v>
      </c>
      <c r="B512" s="150" t="s">
        <v>992</v>
      </c>
      <c r="C512" s="150"/>
      <c r="D512" s="150"/>
      <c r="E512" s="150"/>
      <c r="F512" s="150"/>
      <c r="G512" s="150"/>
      <c r="H512" s="150"/>
      <c r="I512" s="150"/>
      <c r="J512" s="150"/>
      <c r="K512" s="156"/>
      <c r="L512" s="156"/>
      <c r="M512" s="156"/>
      <c r="N512" s="156"/>
      <c r="O512" s="156"/>
    </row>
    <row r="513" spans="1:15" x14ac:dyDescent="0.25">
      <c r="A513" s="149" t="s">
        <v>993</v>
      </c>
      <c r="B513" s="149" t="s">
        <v>994</v>
      </c>
      <c r="C513" s="150"/>
      <c r="D513" s="150"/>
      <c r="E513" s="150"/>
      <c r="F513" s="150"/>
      <c r="G513" s="150"/>
      <c r="H513" s="150"/>
      <c r="I513" s="150"/>
      <c r="J513" s="150"/>
      <c r="K513" s="156"/>
      <c r="L513" s="156"/>
      <c r="M513" s="156"/>
      <c r="N513" s="156"/>
      <c r="O513" s="156"/>
    </row>
    <row r="514" spans="1:15" x14ac:dyDescent="0.25">
      <c r="A514" s="150" t="s">
        <v>995</v>
      </c>
      <c r="B514" s="150" t="s">
        <v>996</v>
      </c>
      <c r="C514" s="150"/>
      <c r="D514" s="150"/>
      <c r="E514" s="150"/>
      <c r="F514" s="150"/>
      <c r="G514" s="150"/>
      <c r="H514" s="150"/>
      <c r="I514" s="150"/>
      <c r="J514" s="150"/>
      <c r="K514" s="156"/>
      <c r="L514" s="156"/>
      <c r="M514" s="156"/>
      <c r="N514" s="156"/>
      <c r="O514" s="156"/>
    </row>
    <row r="515" spans="1:15" x14ac:dyDescent="0.25">
      <c r="A515" s="149" t="s">
        <v>997</v>
      </c>
      <c r="B515" s="149" t="s">
        <v>998</v>
      </c>
      <c r="C515" s="150"/>
      <c r="D515" s="150"/>
      <c r="E515" s="150"/>
      <c r="F515" s="150"/>
      <c r="G515" s="150"/>
      <c r="H515" s="150"/>
      <c r="I515" s="150"/>
      <c r="J515" s="150"/>
      <c r="K515" s="156"/>
      <c r="L515" s="156"/>
      <c r="M515" s="156"/>
      <c r="N515" s="156"/>
      <c r="O515" s="156"/>
    </row>
    <row r="516" spans="1:15" x14ac:dyDescent="0.25">
      <c r="A516" s="150" t="s">
        <v>999</v>
      </c>
      <c r="B516" s="150" t="s">
        <v>1000</v>
      </c>
      <c r="C516" s="150"/>
      <c r="D516" s="150"/>
      <c r="E516" s="150"/>
      <c r="F516" s="150"/>
      <c r="G516" s="150"/>
      <c r="H516" s="150"/>
      <c r="I516" s="150"/>
      <c r="J516" s="150"/>
      <c r="K516" s="156"/>
      <c r="L516" s="156"/>
      <c r="M516" s="156"/>
      <c r="N516" s="156"/>
      <c r="O516" s="156"/>
    </row>
    <row r="517" spans="1:15" x14ac:dyDescent="0.25">
      <c r="A517" s="149" t="s">
        <v>1001</v>
      </c>
      <c r="B517" s="149" t="s">
        <v>1002</v>
      </c>
      <c r="C517" s="150"/>
      <c r="D517" s="150"/>
      <c r="E517" s="150"/>
      <c r="F517" s="150"/>
      <c r="G517" s="150"/>
      <c r="H517" s="150"/>
      <c r="I517" s="150"/>
      <c r="J517" s="150"/>
      <c r="K517" s="156"/>
      <c r="L517" s="156"/>
      <c r="M517" s="156"/>
      <c r="N517" s="156"/>
      <c r="O517" s="156"/>
    </row>
    <row r="518" spans="1:15" x14ac:dyDescent="0.25">
      <c r="A518" s="150" t="s">
        <v>1003</v>
      </c>
      <c r="B518" s="150" t="s">
        <v>1004</v>
      </c>
      <c r="C518" s="150"/>
      <c r="D518" s="150"/>
      <c r="E518" s="150"/>
      <c r="F518" s="150"/>
      <c r="G518" s="150"/>
      <c r="H518" s="150"/>
      <c r="I518" s="150"/>
      <c r="J518" s="150"/>
      <c r="K518" s="156"/>
      <c r="L518" s="156"/>
      <c r="M518" s="156"/>
      <c r="N518" s="156"/>
      <c r="O518" s="156"/>
    </row>
    <row r="519" spans="1:15" x14ac:dyDescent="0.25">
      <c r="A519" s="149" t="s">
        <v>1005</v>
      </c>
      <c r="B519" s="149" t="s">
        <v>1006</v>
      </c>
      <c r="C519" s="150"/>
      <c r="D519" s="150"/>
      <c r="E519" s="150"/>
      <c r="F519" s="150"/>
      <c r="G519" s="150"/>
      <c r="H519" s="150"/>
      <c r="I519" s="150"/>
      <c r="J519" s="150"/>
      <c r="K519" s="156"/>
      <c r="L519" s="156"/>
      <c r="M519" s="156"/>
      <c r="N519" s="156"/>
      <c r="O519" s="156"/>
    </row>
    <row r="520" spans="1:15" x14ac:dyDescent="0.25">
      <c r="A520" s="150" t="s">
        <v>1007</v>
      </c>
      <c r="B520" s="150" t="s">
        <v>1008</v>
      </c>
      <c r="C520" s="150"/>
      <c r="D520" s="150"/>
      <c r="E520" s="150"/>
      <c r="F520" s="150"/>
      <c r="G520" s="150"/>
      <c r="H520" s="150"/>
      <c r="I520" s="150"/>
      <c r="J520" s="150"/>
      <c r="K520" s="156"/>
      <c r="L520" s="156"/>
      <c r="M520" s="156"/>
      <c r="N520" s="156"/>
      <c r="O520" s="156"/>
    </row>
    <row r="521" spans="1:15" x14ac:dyDescent="0.25">
      <c r="A521" s="149" t="s">
        <v>1009</v>
      </c>
      <c r="B521" s="149" t="s">
        <v>1010</v>
      </c>
      <c r="C521" s="150"/>
      <c r="D521" s="150"/>
      <c r="E521" s="150"/>
      <c r="F521" s="150"/>
      <c r="G521" s="150"/>
      <c r="H521" s="150"/>
      <c r="I521" s="150"/>
      <c r="J521" s="150"/>
      <c r="K521" s="156"/>
      <c r="L521" s="156"/>
      <c r="M521" s="156"/>
      <c r="N521" s="156"/>
      <c r="O521" s="156"/>
    </row>
    <row r="522" spans="1:15" x14ac:dyDescent="0.25">
      <c r="A522" s="150" t="s">
        <v>1011</v>
      </c>
      <c r="B522" s="150" t="s">
        <v>1012</v>
      </c>
      <c r="C522" s="150"/>
      <c r="D522" s="150"/>
      <c r="E522" s="150"/>
      <c r="F522" s="150"/>
      <c r="G522" s="150"/>
      <c r="H522" s="150"/>
      <c r="I522" s="150"/>
      <c r="J522" s="150"/>
      <c r="K522" s="156"/>
      <c r="L522" s="156"/>
      <c r="M522" s="156"/>
      <c r="N522" s="156"/>
      <c r="O522" s="156"/>
    </row>
    <row r="523" spans="1:15" x14ac:dyDescent="0.25">
      <c r="A523" s="149" t="s">
        <v>1013</v>
      </c>
      <c r="B523" s="149" t="s">
        <v>1014</v>
      </c>
      <c r="C523" s="150"/>
      <c r="D523" s="150"/>
      <c r="E523" s="150"/>
      <c r="F523" s="150"/>
      <c r="G523" s="150"/>
      <c r="H523" s="150"/>
      <c r="I523" s="150"/>
      <c r="J523" s="150"/>
      <c r="K523" s="156"/>
      <c r="L523" s="156"/>
      <c r="M523" s="156"/>
      <c r="N523" s="156"/>
      <c r="O523" s="156"/>
    </row>
    <row r="524" spans="1:15" x14ac:dyDescent="0.25">
      <c r="A524" s="150" t="s">
        <v>1015</v>
      </c>
      <c r="B524" s="150" t="s">
        <v>1016</v>
      </c>
      <c r="C524" s="150"/>
      <c r="D524" s="150"/>
      <c r="E524" s="150"/>
      <c r="F524" s="150"/>
      <c r="G524" s="150"/>
      <c r="H524" s="150"/>
      <c r="I524" s="150"/>
      <c r="J524" s="150"/>
      <c r="K524" s="156"/>
      <c r="L524" s="156"/>
      <c r="M524" s="156"/>
      <c r="N524" s="156"/>
      <c r="O524" s="156"/>
    </row>
    <row r="525" spans="1:15" x14ac:dyDescent="0.25">
      <c r="A525" s="149" t="s">
        <v>1017</v>
      </c>
      <c r="B525" s="149" t="s">
        <v>1018</v>
      </c>
      <c r="C525" s="150"/>
      <c r="D525" s="150"/>
      <c r="E525" s="150"/>
      <c r="F525" s="150"/>
      <c r="G525" s="150"/>
      <c r="H525" s="150"/>
      <c r="I525" s="150"/>
      <c r="J525" s="150"/>
      <c r="K525" s="156"/>
      <c r="L525" s="156"/>
      <c r="M525" s="156"/>
      <c r="N525" s="156"/>
      <c r="O525" s="156"/>
    </row>
    <row r="526" spans="1:15" x14ac:dyDescent="0.25">
      <c r="A526" s="150" t="s">
        <v>1019</v>
      </c>
      <c r="B526" s="150" t="s">
        <v>1020</v>
      </c>
      <c r="C526" s="150"/>
      <c r="D526" s="150"/>
      <c r="E526" s="150"/>
      <c r="F526" s="150"/>
      <c r="G526" s="150"/>
      <c r="H526" s="150"/>
      <c r="I526" s="150"/>
      <c r="J526" s="150"/>
      <c r="K526" s="156"/>
      <c r="L526" s="156"/>
      <c r="M526" s="156"/>
      <c r="N526" s="156"/>
      <c r="O526" s="156"/>
    </row>
    <row r="527" spans="1:15" x14ac:dyDescent="0.25">
      <c r="A527" s="149" t="s">
        <v>1021</v>
      </c>
      <c r="B527" s="149" t="s">
        <v>1022</v>
      </c>
      <c r="C527" s="150"/>
      <c r="D527" s="150"/>
      <c r="E527" s="150"/>
      <c r="F527" s="150"/>
      <c r="G527" s="150"/>
      <c r="H527" s="150"/>
      <c r="I527" s="150"/>
      <c r="J527" s="150"/>
      <c r="K527" s="156"/>
      <c r="L527" s="156"/>
      <c r="M527" s="156"/>
      <c r="N527" s="156"/>
      <c r="O527" s="156"/>
    </row>
    <row r="528" spans="1:15" x14ac:dyDescent="0.25">
      <c r="A528" s="150" t="s">
        <v>1023</v>
      </c>
      <c r="B528" s="150" t="s">
        <v>1024</v>
      </c>
      <c r="C528" s="150"/>
      <c r="D528" s="150"/>
      <c r="E528" s="150"/>
      <c r="F528" s="150"/>
      <c r="G528" s="150"/>
      <c r="H528" s="150"/>
      <c r="I528" s="150"/>
      <c r="J528" s="150"/>
      <c r="K528" s="156"/>
      <c r="L528" s="156"/>
      <c r="M528" s="156"/>
      <c r="N528" s="156"/>
      <c r="O528" s="156"/>
    </row>
    <row r="529" spans="1:15" x14ac:dyDescent="0.25">
      <c r="A529" s="149" t="s">
        <v>1025</v>
      </c>
      <c r="B529" s="149" t="s">
        <v>1026</v>
      </c>
      <c r="C529" s="150"/>
      <c r="D529" s="150"/>
      <c r="E529" s="150"/>
      <c r="F529" s="150"/>
      <c r="G529" s="150"/>
      <c r="H529" s="150"/>
      <c r="I529" s="150"/>
      <c r="J529" s="150"/>
      <c r="K529" s="156"/>
      <c r="L529" s="156"/>
      <c r="M529" s="156"/>
      <c r="N529" s="156"/>
      <c r="O529" s="156"/>
    </row>
    <row r="530" spans="1:15" x14ac:dyDescent="0.25">
      <c r="A530" s="150" t="s">
        <v>1027</v>
      </c>
      <c r="B530" s="150" t="s">
        <v>1028</v>
      </c>
      <c r="C530" s="150"/>
      <c r="D530" s="150"/>
      <c r="E530" s="150"/>
      <c r="F530" s="150"/>
      <c r="G530" s="150"/>
      <c r="H530" s="150"/>
      <c r="I530" s="150"/>
      <c r="J530" s="150"/>
      <c r="K530" s="156"/>
      <c r="L530" s="156"/>
      <c r="M530" s="156"/>
      <c r="N530" s="156"/>
      <c r="O530" s="156"/>
    </row>
    <row r="531" spans="1:15" x14ac:dyDescent="0.25">
      <c r="A531" s="149" t="s">
        <v>1029</v>
      </c>
      <c r="B531" s="149" t="s">
        <v>1030</v>
      </c>
      <c r="C531" s="150"/>
      <c r="D531" s="150"/>
      <c r="E531" s="150"/>
      <c r="F531" s="150"/>
      <c r="G531" s="150"/>
      <c r="H531" s="150"/>
      <c r="I531" s="150"/>
      <c r="J531" s="150"/>
      <c r="K531" s="156"/>
      <c r="L531" s="156"/>
      <c r="M531" s="156"/>
      <c r="N531" s="156"/>
      <c r="O531" s="156"/>
    </row>
    <row r="532" spans="1:15" x14ac:dyDescent="0.25">
      <c r="A532" s="150" t="s">
        <v>1031</v>
      </c>
      <c r="B532" s="150" t="s">
        <v>1032</v>
      </c>
      <c r="C532" s="150"/>
      <c r="D532" s="150"/>
      <c r="E532" s="150"/>
      <c r="F532" s="150"/>
      <c r="G532" s="150"/>
      <c r="H532" s="150"/>
      <c r="I532" s="150"/>
      <c r="J532" s="150"/>
      <c r="K532" s="156"/>
      <c r="L532" s="156"/>
      <c r="M532" s="156"/>
      <c r="N532" s="156"/>
      <c r="O532" s="156"/>
    </row>
    <row r="533" spans="1:15" x14ac:dyDescent="0.25">
      <c r="A533" s="149" t="s">
        <v>1033</v>
      </c>
      <c r="B533" s="149" t="s">
        <v>1034</v>
      </c>
      <c r="C533" s="150"/>
      <c r="D533" s="150"/>
      <c r="E533" s="150"/>
      <c r="F533" s="150"/>
      <c r="G533" s="150"/>
      <c r="H533" s="150"/>
      <c r="I533" s="150"/>
      <c r="J533" s="150"/>
      <c r="K533" s="156"/>
      <c r="L533" s="156"/>
      <c r="M533" s="156"/>
      <c r="N533" s="156"/>
      <c r="O533" s="156"/>
    </row>
    <row r="534" spans="1:15" x14ac:dyDescent="0.25">
      <c r="A534" s="150" t="s">
        <v>1035</v>
      </c>
      <c r="B534" s="150" t="s">
        <v>1036</v>
      </c>
      <c r="C534" s="150"/>
      <c r="D534" s="150"/>
      <c r="E534" s="150"/>
      <c r="F534" s="150"/>
      <c r="G534" s="150"/>
      <c r="H534" s="150"/>
      <c r="I534" s="150"/>
      <c r="J534" s="150"/>
      <c r="K534" s="156"/>
      <c r="L534" s="156"/>
      <c r="M534" s="156"/>
      <c r="N534" s="156"/>
      <c r="O534" s="156"/>
    </row>
    <row r="535" spans="1:15" x14ac:dyDescent="0.25">
      <c r="A535" s="149" t="s">
        <v>1037</v>
      </c>
      <c r="B535" s="149" t="s">
        <v>1038</v>
      </c>
      <c r="C535" s="150"/>
      <c r="D535" s="150"/>
      <c r="E535" s="150"/>
      <c r="F535" s="150"/>
      <c r="G535" s="150"/>
      <c r="H535" s="150"/>
      <c r="I535" s="150"/>
      <c r="J535" s="150"/>
      <c r="K535" s="156"/>
      <c r="L535" s="156"/>
      <c r="M535" s="156"/>
      <c r="N535" s="156"/>
      <c r="O535" s="156"/>
    </row>
    <row r="536" spans="1:15" x14ac:dyDescent="0.25">
      <c r="A536" s="150" t="s">
        <v>1039</v>
      </c>
      <c r="B536" s="150" t="s">
        <v>1040</v>
      </c>
      <c r="C536" s="150"/>
      <c r="D536" s="150"/>
      <c r="E536" s="150"/>
      <c r="F536" s="150"/>
      <c r="G536" s="150"/>
      <c r="H536" s="150"/>
      <c r="I536" s="150"/>
      <c r="J536" s="150"/>
      <c r="K536" s="156"/>
      <c r="L536" s="156"/>
      <c r="M536" s="156"/>
      <c r="N536" s="156"/>
      <c r="O536" s="156"/>
    </row>
    <row r="537" spans="1:15" x14ac:dyDescent="0.25">
      <c r="A537" s="149" t="s">
        <v>1041</v>
      </c>
      <c r="B537" s="149" t="s">
        <v>1042</v>
      </c>
      <c r="C537" s="150"/>
      <c r="D537" s="150"/>
      <c r="E537" s="150"/>
      <c r="F537" s="150"/>
      <c r="G537" s="150"/>
      <c r="H537" s="150"/>
      <c r="I537" s="150"/>
      <c r="J537" s="150"/>
      <c r="K537" s="156"/>
      <c r="L537" s="156"/>
      <c r="M537" s="156"/>
      <c r="N537" s="156"/>
      <c r="O537" s="156"/>
    </row>
    <row r="538" spans="1:15" x14ac:dyDescent="0.25">
      <c r="A538" s="150" t="s">
        <v>1043</v>
      </c>
      <c r="B538" s="150" t="s">
        <v>1044</v>
      </c>
      <c r="C538" s="150"/>
      <c r="D538" s="150"/>
      <c r="E538" s="150"/>
      <c r="F538" s="150"/>
      <c r="G538" s="150"/>
      <c r="H538" s="150"/>
      <c r="I538" s="150"/>
      <c r="J538" s="150"/>
      <c r="K538" s="156"/>
      <c r="L538" s="156"/>
      <c r="M538" s="156"/>
      <c r="N538" s="156"/>
      <c r="O538" s="156"/>
    </row>
    <row r="539" spans="1:15" x14ac:dyDescent="0.25">
      <c r="A539" s="149" t="s">
        <v>1045</v>
      </c>
      <c r="B539" s="149" t="s">
        <v>1046</v>
      </c>
      <c r="C539" s="150"/>
      <c r="D539" s="150"/>
      <c r="E539" s="150"/>
      <c r="F539" s="150"/>
      <c r="G539" s="150"/>
      <c r="H539" s="150"/>
      <c r="I539" s="150"/>
      <c r="J539" s="150"/>
      <c r="K539" s="156"/>
      <c r="L539" s="156"/>
      <c r="M539" s="156"/>
      <c r="N539" s="156"/>
      <c r="O539" s="156"/>
    </row>
    <row r="540" spans="1:15" x14ac:dyDescent="0.25">
      <c r="A540" s="150" t="s">
        <v>1047</v>
      </c>
      <c r="B540" s="150" t="s">
        <v>1048</v>
      </c>
      <c r="C540" s="150"/>
      <c r="D540" s="150"/>
      <c r="E540" s="150"/>
      <c r="F540" s="150"/>
      <c r="G540" s="150"/>
      <c r="H540" s="150"/>
      <c r="I540" s="150"/>
      <c r="J540" s="150"/>
      <c r="K540" s="156"/>
      <c r="L540" s="156"/>
      <c r="M540" s="156"/>
      <c r="N540" s="156"/>
      <c r="O540" s="156"/>
    </row>
    <row r="541" spans="1:15" x14ac:dyDescent="0.25">
      <c r="A541" s="149" t="s">
        <v>1049</v>
      </c>
      <c r="B541" s="149" t="s">
        <v>1050</v>
      </c>
      <c r="C541" s="150"/>
      <c r="D541" s="150"/>
      <c r="E541" s="150"/>
      <c r="F541" s="150"/>
      <c r="G541" s="150"/>
      <c r="H541" s="150"/>
      <c r="I541" s="150"/>
      <c r="J541" s="150"/>
      <c r="K541" s="156"/>
      <c r="L541" s="156"/>
      <c r="M541" s="156"/>
      <c r="N541" s="156"/>
      <c r="O541" s="156"/>
    </row>
    <row r="542" spans="1:15" x14ac:dyDescent="0.25">
      <c r="A542" s="150" t="s">
        <v>1051</v>
      </c>
      <c r="B542" s="150" t="s">
        <v>1052</v>
      </c>
      <c r="C542" s="150"/>
      <c r="D542" s="150"/>
      <c r="E542" s="150"/>
      <c r="F542" s="150"/>
      <c r="G542" s="150"/>
      <c r="H542" s="150"/>
      <c r="I542" s="150"/>
      <c r="J542" s="150"/>
      <c r="K542" s="156"/>
      <c r="L542" s="156"/>
      <c r="M542" s="156"/>
      <c r="N542" s="156"/>
      <c r="O542" s="156"/>
    </row>
    <row r="543" spans="1:15" x14ac:dyDescent="0.25">
      <c r="A543" s="149" t="s">
        <v>1053</v>
      </c>
      <c r="B543" s="149" t="s">
        <v>1054</v>
      </c>
      <c r="C543" s="150"/>
      <c r="D543" s="150"/>
      <c r="E543" s="150"/>
      <c r="F543" s="150"/>
      <c r="G543" s="150"/>
      <c r="H543" s="150"/>
      <c r="I543" s="150"/>
      <c r="J543" s="150"/>
      <c r="K543" s="156"/>
      <c r="L543" s="156"/>
      <c r="M543" s="156"/>
      <c r="N543" s="156"/>
      <c r="O543" s="156"/>
    </row>
    <row r="544" spans="1:15" x14ac:dyDescent="0.25">
      <c r="A544" s="150" t="s">
        <v>1055</v>
      </c>
      <c r="B544" s="150" t="s">
        <v>1056</v>
      </c>
      <c r="C544" s="150"/>
      <c r="D544" s="150"/>
      <c r="E544" s="150"/>
      <c r="F544" s="150"/>
      <c r="G544" s="150"/>
      <c r="H544" s="150"/>
      <c r="I544" s="150"/>
      <c r="J544" s="150"/>
      <c r="K544" s="156"/>
      <c r="L544" s="156"/>
      <c r="M544" s="156"/>
      <c r="N544" s="156"/>
      <c r="O544" s="156"/>
    </row>
    <row r="545" spans="1:15" x14ac:dyDescent="0.25">
      <c r="A545" s="149" t="s">
        <v>1057</v>
      </c>
      <c r="B545" s="149" t="s">
        <v>1058</v>
      </c>
      <c r="C545" s="150"/>
      <c r="D545" s="150"/>
      <c r="E545" s="150"/>
      <c r="F545" s="150"/>
      <c r="G545" s="150"/>
      <c r="H545" s="150"/>
      <c r="I545" s="150"/>
      <c r="J545" s="150"/>
      <c r="K545" s="156"/>
      <c r="L545" s="156"/>
      <c r="M545" s="156"/>
      <c r="N545" s="156"/>
      <c r="O545" s="156"/>
    </row>
    <row r="546" spans="1:15" x14ac:dyDescent="0.25">
      <c r="A546" s="150" t="s">
        <v>1059</v>
      </c>
      <c r="B546" s="150" t="s">
        <v>1060</v>
      </c>
      <c r="C546" s="150"/>
      <c r="D546" s="150"/>
      <c r="E546" s="150"/>
      <c r="F546" s="150"/>
      <c r="G546" s="150"/>
      <c r="H546" s="150"/>
      <c r="I546" s="150"/>
      <c r="J546" s="150"/>
      <c r="K546" s="156"/>
      <c r="L546" s="156"/>
      <c r="M546" s="156"/>
      <c r="N546" s="156"/>
      <c r="O546" s="156"/>
    </row>
    <row r="547" spans="1:15" x14ac:dyDescent="0.25">
      <c r="A547" s="149" t="s">
        <v>1061</v>
      </c>
      <c r="B547" s="149" t="s">
        <v>1062</v>
      </c>
      <c r="C547" s="150"/>
      <c r="D547" s="150"/>
      <c r="E547" s="150"/>
      <c r="F547" s="150"/>
      <c r="G547" s="150"/>
      <c r="H547" s="150"/>
      <c r="I547" s="150"/>
      <c r="J547" s="150"/>
      <c r="K547" s="156"/>
      <c r="L547" s="156"/>
      <c r="M547" s="156"/>
      <c r="N547" s="156"/>
      <c r="O547" s="156"/>
    </row>
    <row r="548" spans="1:15" x14ac:dyDescent="0.25">
      <c r="A548" s="150" t="s">
        <v>1063</v>
      </c>
      <c r="B548" s="150" t="s">
        <v>1064</v>
      </c>
      <c r="C548" s="150"/>
      <c r="D548" s="150"/>
      <c r="E548" s="150"/>
      <c r="F548" s="150"/>
      <c r="G548" s="150"/>
      <c r="H548" s="150"/>
      <c r="I548" s="150"/>
      <c r="J548" s="150"/>
      <c r="K548" s="156"/>
      <c r="L548" s="156"/>
      <c r="M548" s="156"/>
      <c r="N548" s="156"/>
      <c r="O548" s="156"/>
    </row>
    <row r="549" spans="1:15" x14ac:dyDescent="0.25">
      <c r="A549" s="149" t="s">
        <v>1065</v>
      </c>
      <c r="B549" s="149" t="s">
        <v>1066</v>
      </c>
      <c r="C549" s="150"/>
      <c r="D549" s="150"/>
      <c r="E549" s="150"/>
      <c r="F549" s="150"/>
      <c r="G549" s="150"/>
      <c r="H549" s="150"/>
      <c r="I549" s="150"/>
      <c r="J549" s="150"/>
      <c r="K549" s="156"/>
      <c r="L549" s="156"/>
      <c r="M549" s="156"/>
      <c r="N549" s="156"/>
      <c r="O549" s="156"/>
    </row>
    <row r="550" spans="1:15" x14ac:dyDescent="0.25">
      <c r="A550" s="150" t="s">
        <v>1067</v>
      </c>
      <c r="B550" s="150" t="s">
        <v>1068</v>
      </c>
      <c r="C550" s="150"/>
      <c r="D550" s="150"/>
      <c r="E550" s="150"/>
      <c r="F550" s="150"/>
      <c r="G550" s="150"/>
      <c r="H550" s="150"/>
      <c r="I550" s="150"/>
      <c r="J550" s="150"/>
      <c r="K550" s="156"/>
      <c r="L550" s="156"/>
      <c r="M550" s="156"/>
      <c r="N550" s="156"/>
      <c r="O550" s="156"/>
    </row>
    <row r="551" spans="1:15" x14ac:dyDescent="0.25">
      <c r="A551" s="149" t="s">
        <v>1069</v>
      </c>
      <c r="B551" s="149" t="s">
        <v>1070</v>
      </c>
      <c r="C551" s="150"/>
      <c r="D551" s="150"/>
      <c r="E551" s="150"/>
      <c r="F551" s="150"/>
      <c r="G551" s="150"/>
      <c r="H551" s="150"/>
      <c r="I551" s="150"/>
      <c r="J551" s="150"/>
      <c r="K551" s="156"/>
      <c r="L551" s="156"/>
      <c r="M551" s="156"/>
      <c r="N551" s="156"/>
      <c r="O551" s="156"/>
    </row>
    <row r="552" spans="1:15" x14ac:dyDescent="0.25">
      <c r="A552" s="150" t="s">
        <v>1071</v>
      </c>
      <c r="B552" s="150" t="s">
        <v>1072</v>
      </c>
      <c r="C552" s="150"/>
      <c r="D552" s="150"/>
      <c r="E552" s="150"/>
      <c r="F552" s="150"/>
      <c r="G552" s="150"/>
      <c r="H552" s="150"/>
      <c r="I552" s="150"/>
      <c r="J552" s="150"/>
      <c r="K552" s="156"/>
      <c r="L552" s="156"/>
      <c r="M552" s="156"/>
      <c r="N552" s="156"/>
      <c r="O552" s="156"/>
    </row>
    <row r="553" spans="1:15" x14ac:dyDescent="0.25">
      <c r="A553" s="149" t="s">
        <v>1073</v>
      </c>
      <c r="B553" s="149" t="s">
        <v>1074</v>
      </c>
      <c r="C553" s="150"/>
      <c r="D553" s="150"/>
      <c r="E553" s="150"/>
      <c r="F553" s="150"/>
      <c r="G553" s="150"/>
      <c r="H553" s="150"/>
      <c r="I553" s="150"/>
      <c r="J553" s="150"/>
      <c r="K553" s="156"/>
      <c r="L553" s="156"/>
      <c r="M553" s="156"/>
      <c r="N553" s="156"/>
      <c r="O553" s="156"/>
    </row>
    <row r="554" spans="1:15" x14ac:dyDescent="0.25">
      <c r="A554" s="150" t="s">
        <v>1075</v>
      </c>
      <c r="B554" s="150" t="s">
        <v>1076</v>
      </c>
      <c r="C554" s="150"/>
      <c r="D554" s="150"/>
      <c r="E554" s="150"/>
      <c r="F554" s="150"/>
      <c r="G554" s="150"/>
      <c r="H554" s="150"/>
      <c r="I554" s="150"/>
      <c r="J554" s="150"/>
      <c r="K554" s="156"/>
      <c r="L554" s="156"/>
      <c r="M554" s="156"/>
      <c r="N554" s="156"/>
      <c r="O554" s="156"/>
    </row>
    <row r="555" spans="1:15" x14ac:dyDescent="0.25">
      <c r="A555" s="149" t="s">
        <v>1077</v>
      </c>
      <c r="B555" s="149" t="s">
        <v>1078</v>
      </c>
      <c r="C555" s="150"/>
      <c r="D555" s="150"/>
      <c r="E555" s="150"/>
      <c r="F555" s="150"/>
      <c r="G555" s="150"/>
      <c r="H555" s="150"/>
      <c r="I555" s="150"/>
      <c r="J555" s="150"/>
      <c r="K555" s="156"/>
      <c r="L555" s="156"/>
      <c r="M555" s="156"/>
      <c r="N555" s="156"/>
      <c r="O555" s="156"/>
    </row>
    <row r="556" spans="1:15" x14ac:dyDescent="0.25">
      <c r="A556" s="150" t="s">
        <v>1079</v>
      </c>
      <c r="B556" s="150" t="s">
        <v>1080</v>
      </c>
      <c r="C556" s="150"/>
      <c r="D556" s="150"/>
      <c r="E556" s="150"/>
      <c r="F556" s="150"/>
      <c r="G556" s="150"/>
      <c r="H556" s="150"/>
      <c r="I556" s="150"/>
      <c r="J556" s="150"/>
      <c r="K556" s="156"/>
      <c r="L556" s="156"/>
      <c r="M556" s="156"/>
      <c r="N556" s="156"/>
      <c r="O556" s="156"/>
    </row>
    <row r="557" spans="1:15" x14ac:dyDescent="0.25">
      <c r="A557" s="149" t="s">
        <v>1081</v>
      </c>
      <c r="B557" s="149" t="s">
        <v>1082</v>
      </c>
      <c r="C557" s="150"/>
      <c r="D557" s="150"/>
      <c r="E557" s="150"/>
      <c r="F557" s="150"/>
      <c r="G557" s="150"/>
      <c r="H557" s="150"/>
      <c r="I557" s="150"/>
      <c r="J557" s="150"/>
      <c r="K557" s="156"/>
      <c r="L557" s="156"/>
      <c r="M557" s="156"/>
      <c r="N557" s="156"/>
      <c r="O557" s="156"/>
    </row>
    <row r="558" spans="1:15" x14ac:dyDescent="0.25">
      <c r="A558" s="150" t="s">
        <v>1083</v>
      </c>
      <c r="B558" s="150" t="s">
        <v>1084</v>
      </c>
      <c r="C558" s="150"/>
      <c r="D558" s="150"/>
      <c r="E558" s="150"/>
      <c r="F558" s="150"/>
      <c r="G558" s="150"/>
      <c r="H558" s="150"/>
      <c r="I558" s="150"/>
      <c r="J558" s="150"/>
      <c r="K558" s="156"/>
      <c r="L558" s="156"/>
      <c r="M558" s="156"/>
      <c r="N558" s="156"/>
      <c r="O558" s="156"/>
    </row>
    <row r="559" spans="1:15" x14ac:dyDescent="0.25">
      <c r="A559" s="149" t="s">
        <v>1085</v>
      </c>
      <c r="B559" s="149" t="s">
        <v>1086</v>
      </c>
      <c r="C559" s="150"/>
      <c r="D559" s="150"/>
      <c r="E559" s="150"/>
      <c r="F559" s="150"/>
      <c r="G559" s="150"/>
      <c r="H559" s="150"/>
      <c r="I559" s="150"/>
      <c r="J559" s="150"/>
      <c r="K559" s="156"/>
      <c r="L559" s="156"/>
      <c r="M559" s="156"/>
      <c r="N559" s="156"/>
      <c r="O559" s="156"/>
    </row>
    <row r="560" spans="1:15" x14ac:dyDescent="0.25">
      <c r="A560" s="150" t="s">
        <v>1087</v>
      </c>
      <c r="B560" s="150" t="s">
        <v>1088</v>
      </c>
      <c r="C560" s="150"/>
      <c r="D560" s="150"/>
      <c r="E560" s="150"/>
      <c r="F560" s="150"/>
      <c r="G560" s="150"/>
      <c r="H560" s="150"/>
      <c r="I560" s="150"/>
      <c r="J560" s="150"/>
      <c r="K560" s="156"/>
      <c r="L560" s="156"/>
      <c r="M560" s="156"/>
      <c r="N560" s="156"/>
      <c r="O560" s="156"/>
    </row>
    <row r="561" spans="1:15" x14ac:dyDescent="0.25">
      <c r="A561" s="149" t="s">
        <v>1089</v>
      </c>
      <c r="B561" s="149" t="s">
        <v>1090</v>
      </c>
      <c r="C561" s="150"/>
      <c r="D561" s="150"/>
      <c r="E561" s="150"/>
      <c r="F561" s="150"/>
      <c r="G561" s="150"/>
      <c r="H561" s="150"/>
      <c r="I561" s="150"/>
      <c r="J561" s="150"/>
      <c r="K561" s="156"/>
      <c r="L561" s="156"/>
      <c r="M561" s="156"/>
      <c r="N561" s="156"/>
      <c r="O561" s="156"/>
    </row>
    <row r="562" spans="1:15" x14ac:dyDescent="0.25">
      <c r="A562" s="150" t="s">
        <v>1091</v>
      </c>
      <c r="B562" s="150" t="s">
        <v>1092</v>
      </c>
      <c r="C562" s="150"/>
      <c r="D562" s="150"/>
      <c r="E562" s="150"/>
      <c r="F562" s="150"/>
      <c r="G562" s="150"/>
      <c r="H562" s="150"/>
      <c r="I562" s="150"/>
      <c r="J562" s="150"/>
      <c r="K562" s="156"/>
      <c r="L562" s="156"/>
      <c r="M562" s="156"/>
      <c r="N562" s="156"/>
      <c r="O562" s="156"/>
    </row>
    <row r="563" spans="1:15" x14ac:dyDescent="0.25">
      <c r="A563" s="149" t="s">
        <v>1093</v>
      </c>
      <c r="B563" s="149" t="s">
        <v>1094</v>
      </c>
      <c r="C563" s="150"/>
      <c r="D563" s="150"/>
      <c r="E563" s="150"/>
      <c r="F563" s="150"/>
      <c r="G563" s="150"/>
      <c r="H563" s="150"/>
      <c r="I563" s="150"/>
      <c r="J563" s="150"/>
      <c r="K563" s="156"/>
      <c r="L563" s="156"/>
      <c r="M563" s="156"/>
      <c r="N563" s="156"/>
      <c r="O563" s="156"/>
    </row>
    <row r="564" spans="1:15" x14ac:dyDescent="0.25">
      <c r="A564" s="150" t="s">
        <v>1095</v>
      </c>
      <c r="B564" s="150" t="s">
        <v>1096</v>
      </c>
      <c r="C564" s="150"/>
      <c r="D564" s="150"/>
      <c r="E564" s="150"/>
      <c r="F564" s="150"/>
      <c r="G564" s="150"/>
      <c r="H564" s="150"/>
      <c r="I564" s="150"/>
      <c r="J564" s="150"/>
      <c r="K564" s="156"/>
      <c r="L564" s="156"/>
      <c r="M564" s="156"/>
      <c r="N564" s="156"/>
      <c r="O564" s="156"/>
    </row>
    <row r="565" spans="1:15" x14ac:dyDescent="0.25">
      <c r="A565" s="149" t="s">
        <v>1097</v>
      </c>
      <c r="B565" s="149" t="s">
        <v>1098</v>
      </c>
      <c r="C565" s="150"/>
      <c r="D565" s="150"/>
      <c r="E565" s="150"/>
      <c r="F565" s="150"/>
      <c r="G565" s="150"/>
      <c r="H565" s="150"/>
      <c r="I565" s="150"/>
      <c r="J565" s="150"/>
      <c r="K565" s="156"/>
      <c r="L565" s="156"/>
      <c r="M565" s="156"/>
      <c r="N565" s="156"/>
      <c r="O565" s="156"/>
    </row>
    <row r="566" spans="1:15" x14ac:dyDescent="0.25">
      <c r="A566" s="150" t="s">
        <v>1099</v>
      </c>
      <c r="B566" s="150" t="s">
        <v>1100</v>
      </c>
      <c r="C566" s="150"/>
      <c r="D566" s="150"/>
      <c r="E566" s="150"/>
      <c r="F566" s="150"/>
      <c r="G566" s="150"/>
      <c r="H566" s="150"/>
      <c r="I566" s="150"/>
      <c r="J566" s="150"/>
      <c r="K566" s="156"/>
      <c r="L566" s="156"/>
      <c r="M566" s="156"/>
      <c r="N566" s="156"/>
      <c r="O566" s="156"/>
    </row>
    <row r="567" spans="1:15" x14ac:dyDescent="0.25">
      <c r="A567" s="149" t="s">
        <v>1101</v>
      </c>
      <c r="B567" s="149" t="s">
        <v>1102</v>
      </c>
      <c r="C567" s="150"/>
      <c r="D567" s="150"/>
      <c r="E567" s="150"/>
      <c r="F567" s="150"/>
      <c r="G567" s="150"/>
      <c r="H567" s="150"/>
      <c r="I567" s="150"/>
      <c r="J567" s="150"/>
      <c r="K567" s="156"/>
      <c r="L567" s="156"/>
      <c r="M567" s="156"/>
      <c r="N567" s="156"/>
      <c r="O567" s="156"/>
    </row>
    <row r="568" spans="1:15" x14ac:dyDescent="0.25">
      <c r="A568" s="150" t="s">
        <v>1103</v>
      </c>
      <c r="B568" s="150" t="s">
        <v>1104</v>
      </c>
      <c r="C568" s="150"/>
      <c r="D568" s="150"/>
      <c r="E568" s="150"/>
      <c r="F568" s="150"/>
      <c r="G568" s="150"/>
      <c r="H568" s="150"/>
      <c r="I568" s="150"/>
      <c r="J568" s="150"/>
      <c r="K568" s="156"/>
      <c r="L568" s="156"/>
      <c r="M568" s="156"/>
      <c r="N568" s="156"/>
      <c r="O568" s="156"/>
    </row>
    <row r="569" spans="1:15" x14ac:dyDescent="0.25">
      <c r="A569" s="149" t="s">
        <v>1105</v>
      </c>
      <c r="B569" s="149" t="s">
        <v>1106</v>
      </c>
      <c r="C569" s="150"/>
      <c r="D569" s="150"/>
      <c r="E569" s="150"/>
      <c r="F569" s="150"/>
      <c r="G569" s="150"/>
      <c r="H569" s="150"/>
      <c r="I569" s="150"/>
      <c r="J569" s="150"/>
      <c r="K569" s="156"/>
      <c r="L569" s="156"/>
      <c r="M569" s="156"/>
      <c r="N569" s="156"/>
      <c r="O569" s="156"/>
    </row>
    <row r="570" spans="1:15" x14ac:dyDescent="0.25">
      <c r="A570" s="150" t="s">
        <v>1107</v>
      </c>
      <c r="B570" s="150" t="s">
        <v>1108</v>
      </c>
      <c r="C570" s="150"/>
      <c r="D570" s="150"/>
      <c r="E570" s="150"/>
      <c r="F570" s="150"/>
      <c r="G570" s="150"/>
      <c r="H570" s="150"/>
      <c r="I570" s="150"/>
      <c r="J570" s="150"/>
      <c r="K570" s="156"/>
      <c r="L570" s="156"/>
      <c r="M570" s="156"/>
      <c r="N570" s="156"/>
      <c r="O570" s="156"/>
    </row>
    <row r="571" spans="1:15" x14ac:dyDescent="0.25">
      <c r="A571" s="149" t="s">
        <v>1109</v>
      </c>
      <c r="B571" s="149" t="s">
        <v>1110</v>
      </c>
      <c r="C571" s="150"/>
      <c r="D571" s="150"/>
      <c r="E571" s="150"/>
      <c r="F571" s="150"/>
      <c r="G571" s="150"/>
      <c r="H571" s="150"/>
      <c r="I571" s="150"/>
      <c r="J571" s="150"/>
      <c r="K571" s="156"/>
      <c r="L571" s="156"/>
      <c r="M571" s="156"/>
      <c r="N571" s="156"/>
      <c r="O571" s="156"/>
    </row>
    <row r="572" spans="1:15" x14ac:dyDescent="0.25">
      <c r="A572" s="150" t="s">
        <v>1111</v>
      </c>
      <c r="B572" s="150" t="s">
        <v>1112</v>
      </c>
      <c r="C572" s="150"/>
      <c r="D572" s="150"/>
      <c r="E572" s="150"/>
      <c r="F572" s="150"/>
      <c r="G572" s="150"/>
      <c r="H572" s="150"/>
      <c r="I572" s="150"/>
      <c r="J572" s="150"/>
      <c r="K572" s="156"/>
      <c r="L572" s="156"/>
      <c r="M572" s="156"/>
      <c r="N572" s="156"/>
      <c r="O572" s="156"/>
    </row>
    <row r="573" spans="1:15" x14ac:dyDescent="0.25">
      <c r="A573" s="149" t="s">
        <v>1113</v>
      </c>
      <c r="B573" s="149" t="s">
        <v>1114</v>
      </c>
      <c r="C573" s="150"/>
      <c r="D573" s="150"/>
      <c r="E573" s="150"/>
      <c r="F573" s="150"/>
      <c r="G573" s="150"/>
      <c r="H573" s="150"/>
      <c r="I573" s="150"/>
      <c r="J573" s="150"/>
      <c r="K573" s="156"/>
      <c r="L573" s="156"/>
      <c r="M573" s="156"/>
      <c r="N573" s="156"/>
      <c r="O573" s="156"/>
    </row>
    <row r="574" spans="1:15" x14ac:dyDescent="0.25">
      <c r="A574" s="150" t="s">
        <v>1115</v>
      </c>
      <c r="B574" s="150" t="s">
        <v>1116</v>
      </c>
      <c r="C574" s="150"/>
      <c r="D574" s="150"/>
      <c r="E574" s="150"/>
      <c r="F574" s="150"/>
      <c r="G574" s="150"/>
      <c r="H574" s="150"/>
      <c r="I574" s="150"/>
      <c r="J574" s="150"/>
      <c r="K574" s="156"/>
      <c r="L574" s="156"/>
      <c r="M574" s="156"/>
      <c r="N574" s="156"/>
      <c r="O574" s="156"/>
    </row>
    <row r="575" spans="1:15" x14ac:dyDescent="0.25">
      <c r="A575" s="149" t="s">
        <v>1117</v>
      </c>
      <c r="B575" s="149" t="s">
        <v>1118</v>
      </c>
      <c r="C575" s="150"/>
      <c r="D575" s="150"/>
      <c r="E575" s="150"/>
      <c r="F575" s="150"/>
      <c r="G575" s="150"/>
      <c r="H575" s="150"/>
      <c r="I575" s="150"/>
      <c r="J575" s="150"/>
      <c r="K575" s="156"/>
      <c r="L575" s="156"/>
      <c r="M575" s="156"/>
      <c r="N575" s="156"/>
      <c r="O575" s="156"/>
    </row>
    <row r="576" spans="1:15" x14ac:dyDescent="0.25">
      <c r="A576" s="150" t="s">
        <v>1119</v>
      </c>
      <c r="B576" s="150" t="s">
        <v>1120</v>
      </c>
      <c r="C576" s="150"/>
      <c r="D576" s="150"/>
      <c r="E576" s="150"/>
      <c r="F576" s="150"/>
      <c r="G576" s="150"/>
      <c r="H576" s="150"/>
      <c r="I576" s="150"/>
      <c r="J576" s="150"/>
      <c r="K576" s="156"/>
      <c r="L576" s="156"/>
      <c r="M576" s="156"/>
      <c r="N576" s="156"/>
      <c r="O576" s="156"/>
    </row>
    <row r="577" spans="1:15" x14ac:dyDescent="0.25">
      <c r="A577" s="149" t="s">
        <v>1121</v>
      </c>
      <c r="B577" s="149" t="s">
        <v>1122</v>
      </c>
      <c r="C577" s="150"/>
      <c r="D577" s="150"/>
      <c r="E577" s="150"/>
      <c r="F577" s="150"/>
      <c r="G577" s="150"/>
      <c r="H577" s="150"/>
      <c r="I577" s="150"/>
      <c r="J577" s="150"/>
      <c r="K577" s="156"/>
      <c r="L577" s="156"/>
      <c r="M577" s="156"/>
      <c r="N577" s="156"/>
      <c r="O577" s="156"/>
    </row>
    <row r="578" spans="1:15" x14ac:dyDescent="0.25">
      <c r="A578" s="150" t="s">
        <v>1123</v>
      </c>
      <c r="B578" s="150" t="s">
        <v>1124</v>
      </c>
      <c r="C578" s="150"/>
      <c r="D578" s="150"/>
      <c r="E578" s="150"/>
      <c r="F578" s="150"/>
      <c r="G578" s="150"/>
      <c r="H578" s="150"/>
      <c r="I578" s="150"/>
      <c r="J578" s="150"/>
      <c r="K578" s="156"/>
      <c r="L578" s="156"/>
      <c r="M578" s="156"/>
      <c r="N578" s="156"/>
      <c r="O578" s="156"/>
    </row>
    <row r="579" spans="1:15" x14ac:dyDescent="0.25">
      <c r="A579" s="149" t="s">
        <v>1125</v>
      </c>
      <c r="B579" s="149" t="s">
        <v>1126</v>
      </c>
      <c r="C579" s="150"/>
      <c r="D579" s="150"/>
      <c r="E579" s="150"/>
      <c r="F579" s="150"/>
      <c r="G579" s="150"/>
      <c r="H579" s="150"/>
      <c r="I579" s="150"/>
      <c r="J579" s="150"/>
      <c r="K579" s="156"/>
      <c r="L579" s="156"/>
      <c r="M579" s="156"/>
      <c r="N579" s="156"/>
      <c r="O579" s="156"/>
    </row>
    <row r="580" spans="1:15" x14ac:dyDescent="0.25">
      <c r="A580" s="150" t="s">
        <v>1127</v>
      </c>
      <c r="B580" s="150" t="s">
        <v>1128</v>
      </c>
      <c r="C580" s="150"/>
      <c r="D580" s="150"/>
      <c r="E580" s="150"/>
      <c r="F580" s="150"/>
      <c r="G580" s="150"/>
      <c r="H580" s="150"/>
      <c r="I580" s="150"/>
      <c r="J580" s="150"/>
      <c r="K580" s="156"/>
      <c r="L580" s="156"/>
      <c r="M580" s="156"/>
      <c r="N580" s="156"/>
      <c r="O580" s="156"/>
    </row>
    <row r="581" spans="1:15" x14ac:dyDescent="0.25">
      <c r="A581" s="149" t="s">
        <v>1129</v>
      </c>
      <c r="B581" s="149" t="s">
        <v>1130</v>
      </c>
      <c r="C581" s="150"/>
      <c r="D581" s="150"/>
      <c r="E581" s="150"/>
      <c r="F581" s="150"/>
      <c r="G581" s="150"/>
      <c r="H581" s="150"/>
      <c r="I581" s="150"/>
      <c r="J581" s="150"/>
      <c r="K581" s="156"/>
      <c r="L581" s="156"/>
      <c r="M581" s="156"/>
      <c r="N581" s="156"/>
      <c r="O581" s="156"/>
    </row>
    <row r="582" spans="1:15" x14ac:dyDescent="0.25">
      <c r="A582" s="150" t="s">
        <v>1131</v>
      </c>
      <c r="B582" s="150" t="s">
        <v>1132</v>
      </c>
      <c r="C582" s="150"/>
      <c r="D582" s="150"/>
      <c r="E582" s="150"/>
      <c r="F582" s="150"/>
      <c r="G582" s="150"/>
      <c r="H582" s="150"/>
      <c r="I582" s="150"/>
      <c r="J582" s="150"/>
      <c r="K582" s="156"/>
      <c r="L582" s="156"/>
      <c r="M582" s="156"/>
      <c r="N582" s="156"/>
      <c r="O582" s="156"/>
    </row>
    <row r="583" spans="1:15" x14ac:dyDescent="0.25">
      <c r="A583" s="149" t="s">
        <v>1133</v>
      </c>
      <c r="B583" s="149" t="s">
        <v>1134</v>
      </c>
      <c r="C583" s="150"/>
      <c r="D583" s="150"/>
      <c r="E583" s="150"/>
      <c r="F583" s="150"/>
      <c r="G583" s="150"/>
      <c r="H583" s="150"/>
      <c r="I583" s="150"/>
      <c r="J583" s="150"/>
      <c r="K583" s="156"/>
      <c r="L583" s="156"/>
      <c r="M583" s="156"/>
      <c r="N583" s="156"/>
      <c r="O583" s="156"/>
    </row>
    <row r="584" spans="1:15" x14ac:dyDescent="0.25">
      <c r="A584" s="150" t="s">
        <v>1135</v>
      </c>
      <c r="B584" s="150" t="s">
        <v>1136</v>
      </c>
      <c r="C584" s="150"/>
      <c r="D584" s="150"/>
      <c r="E584" s="150"/>
      <c r="F584" s="150"/>
      <c r="G584" s="150"/>
      <c r="H584" s="150"/>
      <c r="I584" s="150"/>
      <c r="J584" s="150"/>
      <c r="K584" s="156"/>
      <c r="L584" s="156"/>
      <c r="M584" s="156"/>
      <c r="N584" s="156"/>
      <c r="O584" s="156"/>
    </row>
    <row r="585" spans="1:15" x14ac:dyDescent="0.25">
      <c r="A585" s="149" t="s">
        <v>1137</v>
      </c>
      <c r="B585" s="149" t="s">
        <v>1138</v>
      </c>
      <c r="C585" s="150"/>
      <c r="D585" s="150"/>
      <c r="E585" s="150"/>
      <c r="F585" s="150"/>
      <c r="G585" s="150"/>
      <c r="H585" s="150"/>
      <c r="I585" s="150"/>
      <c r="J585" s="150"/>
      <c r="K585" s="156"/>
      <c r="L585" s="156"/>
      <c r="M585" s="156"/>
      <c r="N585" s="156"/>
      <c r="O585" s="156"/>
    </row>
    <row r="586" spans="1:15" x14ac:dyDescent="0.25">
      <c r="A586" s="150" t="s">
        <v>1139</v>
      </c>
      <c r="B586" s="150" t="s">
        <v>1140</v>
      </c>
      <c r="C586" s="150"/>
      <c r="D586" s="150"/>
      <c r="E586" s="150"/>
      <c r="F586" s="150"/>
      <c r="G586" s="150"/>
      <c r="H586" s="150"/>
      <c r="I586" s="150"/>
      <c r="J586" s="150"/>
      <c r="K586" s="156"/>
      <c r="L586" s="156"/>
      <c r="M586" s="156"/>
      <c r="N586" s="156"/>
      <c r="O586" s="156"/>
    </row>
    <row r="587" spans="1:15" x14ac:dyDescent="0.25">
      <c r="A587" s="149" t="s">
        <v>1141</v>
      </c>
      <c r="B587" s="149" t="s">
        <v>1142</v>
      </c>
      <c r="C587" s="150"/>
      <c r="D587" s="150"/>
      <c r="E587" s="150"/>
      <c r="F587" s="150"/>
      <c r="G587" s="150"/>
      <c r="H587" s="150"/>
      <c r="I587" s="150"/>
      <c r="J587" s="150"/>
      <c r="K587" s="156"/>
      <c r="L587" s="156"/>
      <c r="M587" s="156"/>
      <c r="N587" s="156"/>
      <c r="O587" s="156"/>
    </row>
    <row r="588" spans="1:15" x14ac:dyDescent="0.25">
      <c r="A588" s="150" t="s">
        <v>1143</v>
      </c>
      <c r="B588" s="150" t="s">
        <v>1144</v>
      </c>
      <c r="C588" s="150"/>
      <c r="D588" s="150"/>
      <c r="E588" s="150"/>
      <c r="F588" s="150"/>
      <c r="G588" s="150"/>
      <c r="H588" s="150"/>
      <c r="I588" s="150"/>
      <c r="J588" s="150"/>
      <c r="K588" s="156"/>
      <c r="L588" s="156"/>
      <c r="M588" s="156"/>
      <c r="N588" s="156"/>
      <c r="O588" s="156"/>
    </row>
    <row r="589" spans="1:15" x14ac:dyDescent="0.25">
      <c r="A589" s="149" t="s">
        <v>1145</v>
      </c>
      <c r="B589" s="149" t="s">
        <v>1146</v>
      </c>
      <c r="C589" s="150"/>
      <c r="D589" s="150"/>
      <c r="E589" s="150"/>
      <c r="F589" s="150"/>
      <c r="G589" s="150"/>
      <c r="H589" s="150"/>
      <c r="I589" s="150"/>
      <c r="J589" s="150"/>
      <c r="K589" s="156"/>
      <c r="L589" s="156"/>
      <c r="M589" s="156"/>
      <c r="N589" s="156"/>
      <c r="O589" s="156"/>
    </row>
    <row r="590" spans="1:15" x14ac:dyDescent="0.25">
      <c r="A590" s="150" t="s">
        <v>1147</v>
      </c>
      <c r="B590" s="150" t="s">
        <v>1148</v>
      </c>
      <c r="C590" s="150"/>
      <c r="D590" s="150"/>
      <c r="E590" s="150"/>
      <c r="F590" s="150"/>
      <c r="G590" s="150"/>
      <c r="H590" s="150"/>
      <c r="I590" s="150"/>
      <c r="J590" s="150"/>
      <c r="K590" s="156"/>
      <c r="L590" s="156"/>
      <c r="M590" s="156"/>
      <c r="N590" s="156"/>
      <c r="O590" s="156"/>
    </row>
    <row r="591" spans="1:15" x14ac:dyDescent="0.25">
      <c r="A591" s="149" t="s">
        <v>1149</v>
      </c>
      <c r="B591" s="149" t="s">
        <v>1150</v>
      </c>
      <c r="C591" s="150"/>
      <c r="D591" s="150"/>
      <c r="E591" s="150"/>
      <c r="F591" s="150"/>
      <c r="G591" s="150"/>
      <c r="H591" s="150"/>
      <c r="I591" s="150"/>
      <c r="J591" s="150"/>
      <c r="K591" s="156"/>
      <c r="L591" s="156"/>
      <c r="M591" s="156"/>
      <c r="N591" s="156"/>
      <c r="O591" s="156"/>
    </row>
    <row r="592" spans="1:15" x14ac:dyDescent="0.25">
      <c r="A592" s="150" t="s">
        <v>1151</v>
      </c>
      <c r="B592" s="150" t="s">
        <v>1152</v>
      </c>
      <c r="C592" s="150"/>
      <c r="D592" s="150"/>
      <c r="E592" s="150"/>
      <c r="F592" s="150"/>
      <c r="G592" s="150"/>
      <c r="H592" s="150"/>
      <c r="I592" s="150"/>
      <c r="J592" s="150"/>
      <c r="K592" s="156"/>
      <c r="L592" s="156"/>
      <c r="M592" s="156"/>
      <c r="N592" s="156"/>
      <c r="O592" s="156"/>
    </row>
    <row r="593" spans="1:15" x14ac:dyDescent="0.25">
      <c r="A593" s="149" t="s">
        <v>1153</v>
      </c>
      <c r="B593" s="149" t="s">
        <v>1154</v>
      </c>
      <c r="C593" s="150"/>
      <c r="D593" s="150"/>
      <c r="E593" s="150"/>
      <c r="F593" s="150"/>
      <c r="G593" s="150"/>
      <c r="H593" s="150"/>
      <c r="I593" s="150"/>
      <c r="J593" s="150"/>
      <c r="K593" s="156"/>
      <c r="L593" s="156"/>
      <c r="M593" s="156"/>
      <c r="N593" s="156"/>
      <c r="O593" s="156"/>
    </row>
    <row r="594" spans="1:15" x14ac:dyDescent="0.25">
      <c r="A594" s="150" t="s">
        <v>1155</v>
      </c>
      <c r="B594" s="150" t="s">
        <v>1156</v>
      </c>
      <c r="C594" s="150"/>
      <c r="D594" s="150"/>
      <c r="E594" s="150"/>
      <c r="F594" s="150"/>
      <c r="G594" s="150"/>
      <c r="H594" s="150"/>
      <c r="I594" s="150"/>
      <c r="J594" s="150"/>
      <c r="K594" s="156"/>
      <c r="L594" s="156"/>
      <c r="M594" s="156"/>
      <c r="N594" s="156"/>
      <c r="O594" s="156"/>
    </row>
    <row r="595" spans="1:15" x14ac:dyDescent="0.25">
      <c r="A595" s="149" t="s">
        <v>1157</v>
      </c>
      <c r="B595" s="149" t="s">
        <v>1158</v>
      </c>
      <c r="C595" s="150"/>
      <c r="D595" s="150"/>
      <c r="E595" s="150"/>
      <c r="F595" s="150"/>
      <c r="G595" s="150"/>
      <c r="H595" s="150"/>
      <c r="I595" s="150"/>
      <c r="J595" s="150"/>
      <c r="K595" s="156"/>
      <c r="L595" s="156"/>
      <c r="M595" s="156"/>
      <c r="N595" s="156"/>
      <c r="O595" s="156"/>
    </row>
    <row r="596" spans="1:15" x14ac:dyDescent="0.25">
      <c r="A596" s="150" t="s">
        <v>1159</v>
      </c>
      <c r="B596" s="150" t="s">
        <v>1160</v>
      </c>
      <c r="C596" s="150"/>
      <c r="D596" s="150"/>
      <c r="E596" s="150"/>
      <c r="F596" s="150"/>
      <c r="G596" s="150"/>
      <c r="H596" s="150"/>
      <c r="I596" s="150"/>
      <c r="J596" s="150"/>
      <c r="K596" s="156"/>
      <c r="L596" s="156"/>
      <c r="M596" s="156"/>
      <c r="N596" s="156"/>
      <c r="O596" s="156"/>
    </row>
    <row r="597" spans="1:15" x14ac:dyDescent="0.25">
      <c r="A597" s="149" t="s">
        <v>1161</v>
      </c>
      <c r="B597" s="149" t="s">
        <v>1162</v>
      </c>
      <c r="C597" s="150"/>
      <c r="D597" s="150"/>
      <c r="E597" s="150"/>
      <c r="F597" s="150"/>
      <c r="G597" s="150"/>
      <c r="H597" s="150"/>
      <c r="I597" s="150"/>
      <c r="J597" s="150"/>
      <c r="K597" s="156"/>
      <c r="L597" s="156"/>
      <c r="M597" s="156"/>
      <c r="N597" s="156"/>
      <c r="O597" s="156"/>
    </row>
    <row r="598" spans="1:15" x14ac:dyDescent="0.25">
      <c r="A598" s="150" t="s">
        <v>1163</v>
      </c>
      <c r="B598" s="150" t="s">
        <v>1164</v>
      </c>
      <c r="C598" s="150"/>
      <c r="D598" s="150"/>
      <c r="E598" s="150"/>
      <c r="F598" s="150"/>
      <c r="G598" s="150"/>
      <c r="H598" s="150"/>
      <c r="I598" s="150"/>
      <c r="J598" s="150"/>
      <c r="K598" s="156"/>
      <c r="L598" s="156"/>
      <c r="M598" s="156"/>
      <c r="N598" s="156"/>
      <c r="O598" s="156"/>
    </row>
    <row r="599" spans="1:15" x14ac:dyDescent="0.25">
      <c r="A599" s="149" t="s">
        <v>1165</v>
      </c>
      <c r="B599" s="149" t="s">
        <v>1166</v>
      </c>
      <c r="C599" s="150"/>
      <c r="D599" s="150"/>
      <c r="E599" s="150"/>
      <c r="F599" s="150"/>
      <c r="G599" s="150"/>
      <c r="H599" s="150"/>
      <c r="I599" s="150"/>
      <c r="J599" s="150"/>
      <c r="K599" s="156"/>
      <c r="L599" s="156"/>
      <c r="M599" s="156"/>
      <c r="N599" s="156"/>
      <c r="O599" s="156"/>
    </row>
    <row r="600" spans="1:15" x14ac:dyDescent="0.25">
      <c r="A600" s="150" t="s">
        <v>1167</v>
      </c>
      <c r="B600" s="150" t="s">
        <v>1168</v>
      </c>
      <c r="C600" s="150"/>
      <c r="D600" s="150"/>
      <c r="E600" s="150"/>
      <c r="F600" s="150"/>
      <c r="G600" s="150"/>
      <c r="H600" s="150"/>
      <c r="I600" s="150"/>
      <c r="J600" s="150"/>
      <c r="K600" s="156"/>
      <c r="L600" s="156"/>
      <c r="M600" s="156"/>
      <c r="N600" s="156"/>
      <c r="O600" s="156"/>
    </row>
    <row r="601" spans="1:15" x14ac:dyDescent="0.25">
      <c r="A601" s="149" t="s">
        <v>1169</v>
      </c>
      <c r="B601" s="149" t="s">
        <v>1170</v>
      </c>
      <c r="C601" s="150"/>
      <c r="D601" s="150"/>
      <c r="E601" s="150"/>
      <c r="F601" s="150"/>
      <c r="G601" s="150"/>
      <c r="H601" s="150"/>
      <c r="I601" s="150"/>
      <c r="J601" s="150"/>
      <c r="K601" s="156"/>
      <c r="L601" s="156"/>
      <c r="M601" s="156"/>
      <c r="N601" s="156"/>
      <c r="O601" s="156"/>
    </row>
    <row r="602" spans="1:15" x14ac:dyDescent="0.25">
      <c r="A602" s="150" t="s">
        <v>1171</v>
      </c>
      <c r="B602" s="150" t="s">
        <v>1172</v>
      </c>
      <c r="C602" s="150"/>
      <c r="D602" s="150"/>
      <c r="E602" s="150"/>
      <c r="F602" s="150"/>
      <c r="G602" s="150"/>
      <c r="H602" s="150"/>
      <c r="I602" s="150"/>
      <c r="J602" s="150"/>
      <c r="K602" s="156"/>
      <c r="L602" s="156"/>
      <c r="M602" s="156"/>
      <c r="N602" s="156"/>
      <c r="O602" s="156"/>
    </row>
    <row r="603" spans="1:15" x14ac:dyDescent="0.25">
      <c r="A603" s="149" t="s">
        <v>1173</v>
      </c>
      <c r="B603" s="149" t="s">
        <v>1174</v>
      </c>
      <c r="C603" s="150"/>
      <c r="D603" s="150"/>
      <c r="E603" s="150"/>
      <c r="F603" s="150"/>
      <c r="G603" s="150"/>
      <c r="H603" s="150"/>
      <c r="I603" s="150"/>
      <c r="J603" s="150"/>
      <c r="K603" s="156"/>
      <c r="L603" s="156"/>
      <c r="M603" s="156"/>
      <c r="N603" s="156"/>
      <c r="O603" s="156"/>
    </row>
    <row r="604" spans="1:15" x14ac:dyDescent="0.25">
      <c r="A604" s="150" t="s">
        <v>1175</v>
      </c>
      <c r="B604" s="150" t="s">
        <v>1176</v>
      </c>
      <c r="C604" s="150"/>
      <c r="D604" s="150"/>
      <c r="E604" s="150"/>
      <c r="F604" s="150"/>
      <c r="G604" s="150"/>
      <c r="H604" s="150"/>
      <c r="I604" s="150"/>
      <c r="J604" s="150"/>
      <c r="K604" s="156"/>
      <c r="L604" s="156"/>
      <c r="M604" s="156"/>
      <c r="N604" s="156"/>
      <c r="O604" s="156"/>
    </row>
    <row r="605" spans="1:15" x14ac:dyDescent="0.25">
      <c r="A605" s="149" t="s">
        <v>1177</v>
      </c>
      <c r="B605" s="149" t="s">
        <v>1178</v>
      </c>
      <c r="C605" s="150"/>
      <c r="D605" s="150"/>
      <c r="E605" s="150"/>
      <c r="F605" s="150"/>
      <c r="G605" s="150"/>
      <c r="H605" s="150"/>
      <c r="I605" s="150"/>
      <c r="J605" s="150"/>
      <c r="K605" s="156"/>
      <c r="L605" s="156"/>
      <c r="M605" s="156"/>
      <c r="N605" s="156"/>
      <c r="O605" s="156"/>
    </row>
    <row r="606" spans="1:15" x14ac:dyDescent="0.25">
      <c r="A606" s="150" t="s">
        <v>1179</v>
      </c>
      <c r="B606" s="150" t="s">
        <v>1180</v>
      </c>
      <c r="C606" s="150"/>
      <c r="D606" s="150"/>
      <c r="E606" s="150"/>
      <c r="F606" s="150"/>
      <c r="G606" s="150"/>
      <c r="H606" s="150"/>
      <c r="I606" s="150"/>
      <c r="J606" s="150"/>
      <c r="K606" s="156"/>
      <c r="L606" s="156"/>
      <c r="M606" s="156"/>
      <c r="N606" s="156"/>
      <c r="O606" s="156"/>
    </row>
    <row r="607" spans="1:15" x14ac:dyDescent="0.25">
      <c r="A607" s="149" t="s">
        <v>1181</v>
      </c>
      <c r="B607" s="149" t="s">
        <v>1182</v>
      </c>
      <c r="C607" s="150"/>
      <c r="D607" s="150"/>
      <c r="E607" s="150"/>
      <c r="F607" s="150"/>
      <c r="G607" s="150"/>
      <c r="H607" s="150"/>
      <c r="I607" s="150"/>
      <c r="J607" s="150"/>
      <c r="K607" s="156"/>
      <c r="L607" s="156"/>
      <c r="M607" s="156"/>
      <c r="N607" s="156"/>
      <c r="O607" s="156"/>
    </row>
    <row r="608" spans="1:15" x14ac:dyDescent="0.25">
      <c r="A608" s="150" t="s">
        <v>1183</v>
      </c>
      <c r="B608" s="150" t="s">
        <v>1184</v>
      </c>
      <c r="C608" s="150"/>
      <c r="D608" s="150"/>
      <c r="E608" s="150"/>
      <c r="F608" s="150"/>
      <c r="G608" s="150"/>
      <c r="H608" s="150"/>
      <c r="I608" s="150"/>
      <c r="J608" s="150"/>
      <c r="K608" s="156"/>
      <c r="L608" s="156"/>
      <c r="M608" s="156"/>
      <c r="N608" s="156"/>
      <c r="O608" s="156"/>
    </row>
    <row r="609" spans="1:15" x14ac:dyDescent="0.25">
      <c r="A609" s="149" t="s">
        <v>1185</v>
      </c>
      <c r="B609" s="149" t="s">
        <v>1186</v>
      </c>
      <c r="C609" s="150"/>
      <c r="D609" s="150"/>
      <c r="E609" s="150"/>
      <c r="F609" s="150"/>
      <c r="G609" s="150"/>
      <c r="H609" s="150"/>
      <c r="I609" s="150"/>
      <c r="J609" s="150"/>
      <c r="K609" s="156"/>
      <c r="L609" s="156"/>
      <c r="M609" s="156"/>
      <c r="N609" s="156"/>
      <c r="O609" s="156"/>
    </row>
    <row r="610" spans="1:15" x14ac:dyDescent="0.25">
      <c r="A610" s="150" t="s">
        <v>1187</v>
      </c>
      <c r="B610" s="150" t="s">
        <v>1188</v>
      </c>
      <c r="C610" s="150"/>
      <c r="D610" s="150"/>
      <c r="E610" s="150"/>
      <c r="F610" s="150"/>
      <c r="G610" s="150"/>
      <c r="H610" s="150"/>
      <c r="I610" s="150"/>
      <c r="J610" s="150"/>
      <c r="K610" s="156"/>
      <c r="L610" s="156"/>
      <c r="M610" s="156"/>
      <c r="N610" s="156"/>
      <c r="O610" s="156"/>
    </row>
    <row r="611" spans="1:15" x14ac:dyDescent="0.25">
      <c r="A611" s="149" t="s">
        <v>1189</v>
      </c>
      <c r="B611" s="149" t="s">
        <v>1190</v>
      </c>
      <c r="C611" s="150"/>
      <c r="D611" s="150"/>
      <c r="E611" s="150"/>
      <c r="F611" s="150"/>
      <c r="G611" s="150"/>
      <c r="H611" s="150"/>
      <c r="I611" s="150"/>
      <c r="J611" s="150"/>
      <c r="K611" s="156"/>
      <c r="L611" s="156"/>
      <c r="M611" s="156"/>
      <c r="N611" s="156"/>
      <c r="O611" s="156"/>
    </row>
    <row r="612" spans="1:15" x14ac:dyDescent="0.25">
      <c r="A612" s="150" t="s">
        <v>1191</v>
      </c>
      <c r="B612" s="150" t="s">
        <v>1192</v>
      </c>
      <c r="C612" s="150"/>
      <c r="D612" s="150"/>
      <c r="E612" s="150"/>
      <c r="F612" s="150"/>
      <c r="G612" s="150"/>
      <c r="H612" s="150"/>
      <c r="I612" s="150"/>
      <c r="J612" s="150"/>
      <c r="K612" s="156"/>
      <c r="L612" s="156"/>
      <c r="M612" s="156"/>
      <c r="N612" s="156"/>
      <c r="O612" s="156"/>
    </row>
    <row r="613" spans="1:15" x14ac:dyDescent="0.25">
      <c r="A613" s="149" t="s">
        <v>1193</v>
      </c>
      <c r="B613" s="149" t="s">
        <v>1194</v>
      </c>
      <c r="C613" s="150"/>
      <c r="D613" s="150"/>
      <c r="E613" s="150"/>
      <c r="F613" s="150"/>
      <c r="G613" s="150"/>
      <c r="H613" s="150"/>
      <c r="I613" s="150"/>
      <c r="J613" s="150"/>
      <c r="K613" s="156"/>
      <c r="L613" s="156"/>
      <c r="M613" s="156"/>
      <c r="N613" s="156"/>
      <c r="O613" s="156"/>
    </row>
    <row r="614" spans="1:15" x14ac:dyDescent="0.25">
      <c r="A614" s="150" t="s">
        <v>1195</v>
      </c>
      <c r="B614" s="150" t="s">
        <v>1196</v>
      </c>
      <c r="C614" s="150"/>
      <c r="D614" s="150"/>
      <c r="E614" s="150"/>
      <c r="F614" s="150"/>
      <c r="G614" s="150"/>
      <c r="H614" s="150"/>
      <c r="I614" s="150"/>
      <c r="J614" s="150"/>
      <c r="K614" s="156"/>
      <c r="L614" s="156"/>
      <c r="M614" s="156"/>
      <c r="N614" s="156"/>
      <c r="O614" s="156"/>
    </row>
    <row r="615" spans="1:15" x14ac:dyDescent="0.25">
      <c r="A615" s="149" t="s">
        <v>1197</v>
      </c>
      <c r="B615" s="149" t="s">
        <v>1198</v>
      </c>
      <c r="C615" s="150"/>
      <c r="D615" s="150"/>
      <c r="E615" s="150"/>
      <c r="F615" s="150"/>
      <c r="G615" s="150"/>
      <c r="H615" s="150"/>
      <c r="I615" s="150"/>
      <c r="J615" s="150"/>
      <c r="K615" s="156"/>
      <c r="L615" s="156"/>
      <c r="M615" s="156"/>
      <c r="N615" s="156"/>
      <c r="O615" s="156"/>
    </row>
    <row r="616" spans="1:15" x14ac:dyDescent="0.25">
      <c r="A616" s="150" t="s">
        <v>1199</v>
      </c>
      <c r="B616" s="150" t="s">
        <v>1200</v>
      </c>
      <c r="C616" s="150"/>
      <c r="D616" s="150"/>
      <c r="E616" s="150"/>
      <c r="F616" s="150"/>
      <c r="G616" s="150"/>
      <c r="H616" s="150"/>
      <c r="I616" s="150"/>
      <c r="J616" s="150"/>
      <c r="K616" s="156"/>
      <c r="L616" s="156"/>
      <c r="M616" s="156"/>
      <c r="N616" s="156"/>
      <c r="O616" s="156"/>
    </row>
    <row r="617" spans="1:15" x14ac:dyDescent="0.25">
      <c r="A617" s="149" t="s">
        <v>1201</v>
      </c>
      <c r="B617" s="149" t="s">
        <v>1202</v>
      </c>
      <c r="C617" s="150"/>
      <c r="D617" s="150"/>
      <c r="E617" s="150"/>
      <c r="F617" s="150"/>
      <c r="G617" s="150"/>
      <c r="H617" s="150"/>
      <c r="I617" s="150"/>
      <c r="J617" s="150"/>
      <c r="K617" s="156"/>
      <c r="L617" s="156"/>
      <c r="M617" s="156"/>
      <c r="N617" s="156"/>
      <c r="O617" s="156"/>
    </row>
    <row r="618" spans="1:15" x14ac:dyDescent="0.25">
      <c r="A618" s="150" t="s">
        <v>1203</v>
      </c>
      <c r="B618" s="150" t="s">
        <v>1204</v>
      </c>
      <c r="C618" s="150"/>
      <c r="D618" s="150"/>
      <c r="E618" s="150"/>
      <c r="F618" s="150"/>
      <c r="G618" s="150"/>
      <c r="H618" s="150"/>
      <c r="I618" s="150"/>
      <c r="J618" s="150"/>
      <c r="K618" s="156"/>
      <c r="L618" s="156"/>
      <c r="M618" s="156"/>
      <c r="N618" s="156"/>
      <c r="O618" s="156"/>
    </row>
    <row r="619" spans="1:15" x14ac:dyDescent="0.25">
      <c r="A619" s="149" t="s">
        <v>1205</v>
      </c>
      <c r="B619" s="149" t="s">
        <v>1206</v>
      </c>
      <c r="C619" s="150"/>
      <c r="D619" s="150"/>
      <c r="E619" s="150"/>
      <c r="F619" s="150"/>
      <c r="G619" s="150"/>
      <c r="H619" s="150"/>
      <c r="I619" s="150"/>
      <c r="J619" s="150"/>
      <c r="K619" s="156"/>
      <c r="L619" s="156"/>
      <c r="M619" s="156"/>
      <c r="N619" s="156"/>
      <c r="O619" s="156"/>
    </row>
    <row r="620" spans="1:15" x14ac:dyDescent="0.25">
      <c r="A620" s="150" t="s">
        <v>1207</v>
      </c>
      <c r="B620" s="150" t="s">
        <v>1208</v>
      </c>
      <c r="C620" s="150"/>
      <c r="D620" s="150"/>
      <c r="E620" s="150"/>
      <c r="F620" s="150"/>
      <c r="G620" s="150"/>
      <c r="H620" s="150"/>
      <c r="I620" s="150"/>
      <c r="J620" s="150"/>
      <c r="K620" s="156"/>
      <c r="L620" s="156"/>
      <c r="M620" s="156"/>
      <c r="N620" s="156"/>
      <c r="O620" s="156"/>
    </row>
    <row r="621" spans="1:15" x14ac:dyDescent="0.25">
      <c r="A621" s="149" t="s">
        <v>1209</v>
      </c>
      <c r="B621" s="149" t="s">
        <v>1210</v>
      </c>
      <c r="C621" s="150"/>
      <c r="D621" s="150"/>
      <c r="E621" s="150"/>
      <c r="F621" s="150"/>
      <c r="G621" s="150"/>
      <c r="H621" s="150"/>
      <c r="I621" s="150"/>
      <c r="J621" s="150"/>
      <c r="K621" s="156"/>
      <c r="L621" s="156"/>
      <c r="M621" s="156"/>
      <c r="N621" s="156"/>
      <c r="O621" s="156"/>
    </row>
    <row r="622" spans="1:15" x14ac:dyDescent="0.25">
      <c r="A622" s="150" t="s">
        <v>1211</v>
      </c>
      <c r="B622" s="150" t="s">
        <v>1212</v>
      </c>
      <c r="C622" s="150"/>
      <c r="D622" s="150"/>
      <c r="E622" s="150"/>
      <c r="F622" s="150"/>
      <c r="G622" s="150"/>
      <c r="H622" s="150"/>
      <c r="I622" s="150"/>
      <c r="J622" s="150"/>
      <c r="K622" s="156"/>
      <c r="L622" s="156"/>
      <c r="M622" s="156"/>
      <c r="N622" s="156"/>
      <c r="O622" s="156"/>
    </row>
    <row r="623" spans="1:15" x14ac:dyDescent="0.25">
      <c r="A623" s="149" t="s">
        <v>1213</v>
      </c>
      <c r="B623" s="149" t="s">
        <v>1214</v>
      </c>
      <c r="C623" s="150"/>
      <c r="D623" s="150"/>
      <c r="E623" s="150"/>
      <c r="F623" s="150"/>
      <c r="G623" s="150"/>
      <c r="H623" s="150"/>
      <c r="I623" s="150"/>
      <c r="J623" s="150"/>
      <c r="K623" s="156"/>
      <c r="L623" s="156"/>
      <c r="M623" s="156"/>
      <c r="N623" s="156"/>
      <c r="O623" s="156"/>
    </row>
    <row r="624" spans="1:15" x14ac:dyDescent="0.25">
      <c r="A624" s="150" t="s">
        <v>1215</v>
      </c>
      <c r="B624" s="150" t="s">
        <v>1216</v>
      </c>
      <c r="C624" s="150"/>
      <c r="D624" s="150"/>
      <c r="E624" s="150"/>
      <c r="F624" s="150"/>
      <c r="G624" s="150"/>
      <c r="H624" s="150"/>
      <c r="I624" s="150"/>
      <c r="J624" s="150"/>
      <c r="K624" s="156"/>
      <c r="L624" s="156"/>
      <c r="M624" s="156"/>
      <c r="N624" s="156"/>
      <c r="O624" s="156"/>
    </row>
    <row r="625" spans="1:15" x14ac:dyDescent="0.25">
      <c r="A625" s="149" t="s">
        <v>1217</v>
      </c>
      <c r="B625" s="149" t="s">
        <v>1218</v>
      </c>
      <c r="C625" s="150"/>
      <c r="D625" s="150"/>
      <c r="E625" s="150"/>
      <c r="F625" s="150"/>
      <c r="G625" s="150"/>
      <c r="H625" s="150"/>
      <c r="I625" s="150"/>
      <c r="J625" s="150"/>
      <c r="K625" s="156"/>
      <c r="L625" s="156"/>
      <c r="M625" s="156"/>
      <c r="N625" s="156"/>
      <c r="O625" s="156"/>
    </row>
    <row r="626" spans="1:15" x14ac:dyDescent="0.25">
      <c r="A626" s="150" t="s">
        <v>1219</v>
      </c>
      <c r="B626" s="150" t="s">
        <v>1220</v>
      </c>
      <c r="C626" s="150"/>
      <c r="D626" s="150"/>
      <c r="E626" s="150"/>
      <c r="F626" s="150"/>
      <c r="G626" s="150"/>
      <c r="H626" s="150"/>
      <c r="I626" s="150"/>
      <c r="J626" s="150"/>
      <c r="K626" s="156"/>
      <c r="L626" s="156"/>
      <c r="M626" s="156"/>
      <c r="N626" s="156"/>
      <c r="O626" s="156"/>
    </row>
    <row r="627" spans="1:15" x14ac:dyDescent="0.25">
      <c r="A627" s="149" t="s">
        <v>1221</v>
      </c>
      <c r="B627" s="149" t="s">
        <v>1222</v>
      </c>
      <c r="C627" s="150"/>
      <c r="D627" s="150"/>
      <c r="E627" s="150"/>
      <c r="F627" s="150"/>
      <c r="G627" s="150"/>
      <c r="H627" s="150"/>
      <c r="I627" s="150"/>
      <c r="J627" s="150"/>
      <c r="K627" s="156"/>
      <c r="L627" s="156"/>
      <c r="M627" s="156"/>
      <c r="N627" s="156"/>
      <c r="O627" s="156"/>
    </row>
    <row r="628" spans="1:15" x14ac:dyDescent="0.25">
      <c r="A628" s="150" t="s">
        <v>1223</v>
      </c>
      <c r="B628" s="150" t="s">
        <v>1224</v>
      </c>
      <c r="C628" s="150"/>
      <c r="D628" s="150"/>
      <c r="E628" s="150"/>
      <c r="F628" s="150"/>
      <c r="G628" s="150"/>
      <c r="H628" s="150"/>
      <c r="I628" s="150"/>
      <c r="J628" s="150"/>
      <c r="K628" s="156"/>
      <c r="L628" s="156"/>
      <c r="M628" s="156"/>
      <c r="N628" s="156"/>
      <c r="O628" s="156"/>
    </row>
    <row r="629" spans="1:15" x14ac:dyDescent="0.25">
      <c r="A629" s="149" t="s">
        <v>1225</v>
      </c>
      <c r="B629" s="149" t="s">
        <v>1226</v>
      </c>
      <c r="C629" s="150"/>
      <c r="D629" s="150"/>
      <c r="E629" s="150"/>
      <c r="F629" s="150"/>
      <c r="G629" s="150"/>
      <c r="H629" s="150"/>
      <c r="I629" s="150"/>
      <c r="J629" s="150"/>
      <c r="K629" s="156"/>
      <c r="L629" s="156"/>
      <c r="M629" s="156"/>
      <c r="N629" s="156"/>
      <c r="O629" s="156"/>
    </row>
    <row r="630" spans="1:15" x14ac:dyDescent="0.25">
      <c r="A630" s="150" t="s">
        <v>1227</v>
      </c>
      <c r="B630" s="150" t="s">
        <v>1228</v>
      </c>
      <c r="C630" s="150"/>
      <c r="D630" s="150"/>
      <c r="E630" s="150"/>
      <c r="F630" s="150"/>
      <c r="G630" s="150"/>
      <c r="H630" s="150"/>
      <c r="I630" s="150"/>
      <c r="J630" s="150"/>
      <c r="K630" s="156"/>
      <c r="L630" s="156"/>
      <c r="M630" s="156"/>
      <c r="N630" s="156"/>
      <c r="O630" s="156"/>
    </row>
    <row r="631" spans="1:15" x14ac:dyDescent="0.25">
      <c r="A631" s="149" t="s">
        <v>1229</v>
      </c>
      <c r="B631" s="149" t="s">
        <v>1230</v>
      </c>
      <c r="C631" s="150"/>
      <c r="D631" s="150"/>
      <c r="E631" s="150"/>
      <c r="F631" s="150"/>
      <c r="G631" s="150"/>
      <c r="H631" s="150"/>
      <c r="I631" s="150"/>
      <c r="J631" s="150"/>
      <c r="K631" s="156"/>
      <c r="L631" s="156"/>
      <c r="M631" s="156"/>
      <c r="N631" s="156"/>
      <c r="O631" s="156"/>
    </row>
    <row r="632" spans="1:15" x14ac:dyDescent="0.25">
      <c r="A632" s="150" t="s">
        <v>1231</v>
      </c>
      <c r="B632" s="150" t="s">
        <v>8282</v>
      </c>
      <c r="C632" s="150"/>
      <c r="D632" s="150"/>
      <c r="E632" s="150"/>
      <c r="F632" s="150"/>
      <c r="G632" s="150"/>
      <c r="H632" s="150"/>
      <c r="I632" s="150"/>
      <c r="J632" s="150"/>
      <c r="K632" s="156"/>
      <c r="L632" s="156"/>
      <c r="M632" s="156"/>
      <c r="N632" s="156"/>
      <c r="O632" s="156"/>
    </row>
    <row r="633" spans="1:15" x14ac:dyDescent="0.25">
      <c r="A633" s="149" t="s">
        <v>1232</v>
      </c>
      <c r="B633" s="149" t="s">
        <v>8283</v>
      </c>
      <c r="C633" s="150"/>
      <c r="D633" s="150"/>
      <c r="E633" s="150"/>
      <c r="F633" s="150"/>
      <c r="G633" s="150"/>
      <c r="H633" s="150"/>
      <c r="I633" s="150"/>
      <c r="J633" s="150"/>
      <c r="K633" s="156"/>
      <c r="L633" s="156"/>
      <c r="M633" s="156"/>
      <c r="N633" s="156"/>
      <c r="O633" s="156"/>
    </row>
    <row r="634" spans="1:15" x14ac:dyDescent="0.25">
      <c r="A634" s="150" t="s">
        <v>1233</v>
      </c>
      <c r="B634" s="150" t="s">
        <v>1234</v>
      </c>
      <c r="C634" s="150"/>
      <c r="D634" s="150"/>
      <c r="E634" s="150"/>
      <c r="F634" s="150"/>
      <c r="G634" s="150"/>
      <c r="H634" s="150"/>
      <c r="I634" s="150"/>
      <c r="J634" s="150"/>
      <c r="K634" s="156"/>
      <c r="L634" s="156"/>
      <c r="M634" s="156"/>
      <c r="N634" s="156"/>
      <c r="O634" s="156"/>
    </row>
    <row r="635" spans="1:15" x14ac:dyDescent="0.25">
      <c r="A635" s="149" t="s">
        <v>1235</v>
      </c>
      <c r="B635" s="149" t="s">
        <v>8284</v>
      </c>
      <c r="C635" s="150"/>
      <c r="D635" s="150"/>
      <c r="E635" s="150"/>
      <c r="F635" s="150"/>
      <c r="G635" s="150"/>
      <c r="H635" s="150"/>
      <c r="I635" s="150"/>
      <c r="J635" s="150"/>
      <c r="K635" s="156"/>
      <c r="L635" s="156"/>
      <c r="M635" s="156"/>
      <c r="N635" s="156"/>
      <c r="O635" s="156"/>
    </row>
    <row r="636" spans="1:15" x14ac:dyDescent="0.25">
      <c r="A636" s="150" t="s">
        <v>1236</v>
      </c>
      <c r="B636" s="150" t="s">
        <v>1237</v>
      </c>
      <c r="C636" s="150"/>
      <c r="D636" s="150"/>
      <c r="E636" s="150"/>
      <c r="F636" s="150"/>
      <c r="G636" s="150"/>
      <c r="H636" s="150"/>
      <c r="I636" s="150"/>
      <c r="J636" s="150"/>
      <c r="K636" s="156"/>
      <c r="L636" s="156"/>
      <c r="M636" s="156"/>
      <c r="N636" s="156"/>
      <c r="O636" s="156"/>
    </row>
    <row r="637" spans="1:15" x14ac:dyDescent="0.25">
      <c r="A637" s="149" t="s">
        <v>1238</v>
      </c>
      <c r="B637" s="149" t="s">
        <v>1239</v>
      </c>
      <c r="C637" s="150"/>
      <c r="D637" s="150"/>
      <c r="E637" s="150"/>
      <c r="F637" s="150"/>
      <c r="G637" s="150"/>
      <c r="H637" s="150"/>
      <c r="I637" s="150"/>
      <c r="J637" s="150"/>
      <c r="K637" s="156"/>
      <c r="L637" s="156"/>
      <c r="M637" s="156"/>
      <c r="N637" s="156"/>
      <c r="O637" s="156"/>
    </row>
    <row r="638" spans="1:15" x14ac:dyDescent="0.25">
      <c r="A638" s="150" t="s">
        <v>1240</v>
      </c>
      <c r="B638" s="150" t="s">
        <v>8285</v>
      </c>
      <c r="C638" s="150"/>
      <c r="D638" s="150"/>
      <c r="E638" s="150"/>
      <c r="F638" s="150"/>
      <c r="G638" s="150"/>
      <c r="H638" s="150"/>
      <c r="I638" s="150"/>
      <c r="J638" s="150"/>
      <c r="K638" s="156"/>
      <c r="L638" s="156"/>
      <c r="M638" s="156"/>
      <c r="N638" s="156"/>
      <c r="O638" s="156"/>
    </row>
    <row r="639" spans="1:15" x14ac:dyDescent="0.25">
      <c r="A639" s="149" t="s">
        <v>1241</v>
      </c>
      <c r="B639" s="149" t="s">
        <v>1242</v>
      </c>
      <c r="C639" s="150"/>
      <c r="D639" s="150"/>
      <c r="E639" s="150"/>
      <c r="F639" s="150"/>
      <c r="G639" s="150"/>
      <c r="H639" s="150"/>
      <c r="I639" s="150"/>
      <c r="J639" s="150"/>
      <c r="K639" s="156"/>
      <c r="L639" s="156"/>
      <c r="M639" s="156"/>
      <c r="N639" s="156"/>
      <c r="O639" s="156"/>
    </row>
    <row r="640" spans="1:15" x14ac:dyDescent="0.25">
      <c r="A640" s="150" t="s">
        <v>1243</v>
      </c>
      <c r="B640" s="150" t="s">
        <v>8286</v>
      </c>
      <c r="C640" s="150"/>
      <c r="D640" s="150"/>
      <c r="E640" s="150"/>
      <c r="F640" s="150"/>
      <c r="G640" s="150"/>
      <c r="H640" s="150"/>
      <c r="I640" s="150"/>
      <c r="J640" s="150"/>
      <c r="K640" s="156"/>
      <c r="L640" s="156"/>
      <c r="M640" s="156"/>
      <c r="N640" s="156"/>
      <c r="O640" s="156"/>
    </row>
    <row r="641" spans="1:15" x14ac:dyDescent="0.25">
      <c r="A641" s="149" t="s">
        <v>5655</v>
      </c>
      <c r="B641" s="149" t="s">
        <v>8287</v>
      </c>
      <c r="C641" s="150"/>
      <c r="D641" s="150"/>
      <c r="E641" s="150"/>
      <c r="F641" s="150"/>
      <c r="G641" s="150"/>
      <c r="H641" s="150"/>
      <c r="I641" s="150"/>
      <c r="J641" s="150"/>
      <c r="K641" s="156"/>
      <c r="L641" s="156"/>
      <c r="M641" s="156"/>
      <c r="N641" s="156"/>
      <c r="O641" s="156"/>
    </row>
    <row r="642" spans="1:15" x14ac:dyDescent="0.25">
      <c r="A642" s="150" t="s">
        <v>1244</v>
      </c>
      <c r="B642" s="150" t="s">
        <v>1245</v>
      </c>
      <c r="C642" s="150"/>
      <c r="D642" s="150"/>
      <c r="E642" s="150"/>
      <c r="F642" s="150"/>
      <c r="G642" s="150"/>
      <c r="H642" s="150"/>
      <c r="I642" s="150"/>
      <c r="J642" s="150"/>
      <c r="K642" s="156"/>
      <c r="L642" s="156"/>
      <c r="M642" s="156"/>
      <c r="N642" s="156"/>
      <c r="O642" s="156"/>
    </row>
    <row r="643" spans="1:15" x14ac:dyDescent="0.25">
      <c r="A643" s="149" t="s">
        <v>1246</v>
      </c>
      <c r="B643" s="149" t="s">
        <v>8288</v>
      </c>
      <c r="C643" s="150"/>
      <c r="D643" s="150"/>
      <c r="E643" s="150"/>
      <c r="F643" s="150"/>
      <c r="G643" s="150"/>
      <c r="H643" s="150"/>
      <c r="I643" s="150"/>
      <c r="J643" s="150"/>
      <c r="K643" s="156"/>
      <c r="L643" s="156"/>
      <c r="M643" s="156"/>
      <c r="N643" s="156"/>
      <c r="O643" s="156"/>
    </row>
    <row r="644" spans="1:15" x14ac:dyDescent="0.25">
      <c r="A644" s="150" t="s">
        <v>1247</v>
      </c>
      <c r="B644" s="150" t="s">
        <v>8289</v>
      </c>
      <c r="C644" s="150"/>
      <c r="D644" s="150"/>
      <c r="E644" s="150"/>
      <c r="F644" s="150"/>
      <c r="G644" s="150"/>
      <c r="H644" s="150"/>
      <c r="I644" s="150"/>
      <c r="J644" s="150"/>
      <c r="K644" s="156"/>
      <c r="L644" s="156"/>
      <c r="M644" s="156"/>
      <c r="N644" s="156"/>
      <c r="O644" s="156"/>
    </row>
    <row r="645" spans="1:15" x14ac:dyDescent="0.25">
      <c r="A645" s="149" t="s">
        <v>5660</v>
      </c>
      <c r="B645" s="149" t="s">
        <v>8290</v>
      </c>
      <c r="C645" s="150"/>
      <c r="D645" s="150"/>
      <c r="E645" s="150"/>
      <c r="F645" s="150"/>
      <c r="G645" s="150"/>
      <c r="H645" s="150"/>
      <c r="I645" s="150"/>
      <c r="J645" s="150"/>
      <c r="K645" s="156"/>
      <c r="L645" s="156"/>
      <c r="M645" s="156"/>
      <c r="N645" s="156"/>
      <c r="O645" s="156"/>
    </row>
    <row r="646" spans="1:15" x14ac:dyDescent="0.25">
      <c r="A646" s="150" t="s">
        <v>1248</v>
      </c>
      <c r="B646" s="150" t="s">
        <v>1249</v>
      </c>
      <c r="C646" s="150"/>
      <c r="D646" s="150"/>
      <c r="E646" s="150"/>
      <c r="F646" s="150"/>
      <c r="G646" s="150"/>
      <c r="H646" s="150"/>
      <c r="I646" s="150"/>
      <c r="J646" s="150"/>
      <c r="K646" s="156"/>
      <c r="L646" s="156"/>
      <c r="M646" s="156"/>
      <c r="N646" s="156"/>
      <c r="O646" s="156"/>
    </row>
    <row r="647" spans="1:15" x14ac:dyDescent="0.25">
      <c r="A647" s="149" t="s">
        <v>1250</v>
      </c>
      <c r="B647" s="149" t="s">
        <v>8291</v>
      </c>
      <c r="C647" s="150"/>
      <c r="D647" s="150"/>
      <c r="E647" s="150"/>
      <c r="F647" s="150"/>
      <c r="G647" s="150"/>
      <c r="H647" s="150"/>
      <c r="I647" s="150"/>
      <c r="J647" s="150"/>
      <c r="K647" s="156"/>
      <c r="L647" s="156"/>
      <c r="M647" s="156"/>
      <c r="N647" s="156"/>
      <c r="O647" s="156"/>
    </row>
    <row r="648" spans="1:15" x14ac:dyDescent="0.25">
      <c r="A648" s="150" t="s">
        <v>1251</v>
      </c>
      <c r="B648" s="150" t="s">
        <v>1252</v>
      </c>
      <c r="C648" s="150"/>
      <c r="D648" s="150"/>
      <c r="E648" s="150"/>
      <c r="F648" s="150"/>
      <c r="G648" s="150"/>
      <c r="H648" s="150"/>
      <c r="I648" s="150"/>
      <c r="J648" s="150"/>
      <c r="K648" s="156"/>
      <c r="L648" s="156"/>
      <c r="M648" s="156"/>
      <c r="N648" s="156"/>
      <c r="O648" s="156"/>
    </row>
    <row r="649" spans="1:15" x14ac:dyDescent="0.25">
      <c r="A649" s="149" t="s">
        <v>1253</v>
      </c>
      <c r="B649" s="149" t="s">
        <v>8292</v>
      </c>
      <c r="C649" s="150"/>
      <c r="D649" s="150"/>
      <c r="E649" s="150"/>
      <c r="F649" s="150"/>
      <c r="G649" s="150"/>
      <c r="H649" s="150"/>
      <c r="I649" s="150"/>
      <c r="J649" s="150"/>
      <c r="K649" s="156"/>
      <c r="L649" s="156"/>
      <c r="M649" s="156"/>
      <c r="N649" s="156"/>
      <c r="O649" s="156"/>
    </row>
    <row r="650" spans="1:15" x14ac:dyDescent="0.25">
      <c r="A650" s="150" t="s">
        <v>1254</v>
      </c>
      <c r="B650" s="150" t="s">
        <v>1255</v>
      </c>
      <c r="C650" s="150"/>
      <c r="D650" s="150"/>
      <c r="E650" s="150"/>
      <c r="F650" s="150"/>
      <c r="G650" s="150"/>
      <c r="H650" s="150"/>
      <c r="I650" s="150"/>
      <c r="J650" s="150"/>
      <c r="K650" s="156"/>
      <c r="L650" s="156"/>
      <c r="M650" s="156"/>
      <c r="N650" s="156"/>
      <c r="O650" s="156"/>
    </row>
    <row r="651" spans="1:15" x14ac:dyDescent="0.25">
      <c r="A651" s="149" t="s">
        <v>1256</v>
      </c>
      <c r="B651" s="149" t="s">
        <v>8293</v>
      </c>
      <c r="C651" s="150"/>
      <c r="D651" s="150"/>
      <c r="E651" s="150"/>
      <c r="F651" s="150"/>
      <c r="G651" s="150"/>
      <c r="H651" s="150"/>
      <c r="I651" s="150"/>
      <c r="J651" s="150"/>
      <c r="K651" s="156"/>
      <c r="L651" s="156"/>
      <c r="M651" s="156"/>
      <c r="N651" s="156"/>
      <c r="O651" s="156"/>
    </row>
    <row r="652" spans="1:15" x14ac:dyDescent="0.25">
      <c r="A652" s="150" t="s">
        <v>1257</v>
      </c>
      <c r="B652" s="150" t="s">
        <v>1258</v>
      </c>
      <c r="C652" s="150"/>
      <c r="D652" s="150"/>
      <c r="E652" s="150"/>
      <c r="F652" s="150"/>
      <c r="G652" s="150"/>
      <c r="H652" s="150"/>
      <c r="I652" s="150"/>
      <c r="J652" s="150"/>
      <c r="K652" s="156"/>
      <c r="L652" s="156"/>
      <c r="M652" s="156"/>
      <c r="N652" s="156"/>
      <c r="O652" s="156"/>
    </row>
    <row r="653" spans="1:15" x14ac:dyDescent="0.25">
      <c r="A653" s="149" t="s">
        <v>1259</v>
      </c>
      <c r="B653" s="149" t="s">
        <v>1260</v>
      </c>
      <c r="C653" s="150"/>
      <c r="D653" s="150"/>
      <c r="E653" s="150"/>
      <c r="F653" s="150"/>
      <c r="G653" s="150"/>
      <c r="H653" s="150"/>
      <c r="I653" s="150"/>
      <c r="J653" s="150"/>
      <c r="K653" s="156"/>
      <c r="L653" s="156"/>
      <c r="M653" s="156"/>
      <c r="N653" s="156"/>
      <c r="O653" s="156"/>
    </row>
    <row r="654" spans="1:15" x14ac:dyDescent="0.25">
      <c r="A654" s="150" t="s">
        <v>1261</v>
      </c>
      <c r="B654" s="150" t="s">
        <v>1262</v>
      </c>
      <c r="C654" s="150"/>
      <c r="D654" s="150"/>
      <c r="E654" s="150"/>
      <c r="F654" s="150"/>
      <c r="G654" s="150"/>
      <c r="H654" s="150"/>
      <c r="I654" s="150"/>
      <c r="J654" s="150"/>
      <c r="K654" s="156"/>
      <c r="L654" s="156"/>
      <c r="M654" s="156"/>
      <c r="N654" s="156"/>
      <c r="O654" s="156"/>
    </row>
    <row r="655" spans="1:15" x14ac:dyDescent="0.25">
      <c r="A655" s="149" t="s">
        <v>1263</v>
      </c>
      <c r="B655" s="149" t="s">
        <v>1264</v>
      </c>
      <c r="C655" s="150"/>
      <c r="D655" s="150"/>
      <c r="E655" s="150"/>
      <c r="F655" s="150"/>
      <c r="G655" s="150"/>
      <c r="H655" s="150"/>
      <c r="I655" s="150"/>
      <c r="J655" s="150"/>
      <c r="K655" s="156"/>
      <c r="L655" s="156"/>
      <c r="M655" s="156"/>
      <c r="N655" s="156"/>
      <c r="O655" s="156"/>
    </row>
    <row r="656" spans="1:15" x14ac:dyDescent="0.25">
      <c r="A656" s="150" t="s">
        <v>1265</v>
      </c>
      <c r="B656" s="150" t="s">
        <v>1266</v>
      </c>
      <c r="C656" s="150"/>
      <c r="D656" s="150"/>
      <c r="E656" s="150"/>
      <c r="F656" s="150"/>
      <c r="G656" s="150"/>
      <c r="H656" s="150"/>
      <c r="I656" s="150"/>
      <c r="J656" s="150"/>
      <c r="K656" s="156"/>
      <c r="L656" s="156"/>
      <c r="M656" s="156"/>
      <c r="N656" s="156"/>
      <c r="O656" s="156"/>
    </row>
    <row r="657" spans="1:15" x14ac:dyDescent="0.25">
      <c r="A657" s="149" t="s">
        <v>1267</v>
      </c>
      <c r="B657" s="149" t="s">
        <v>1268</v>
      </c>
      <c r="C657" s="150"/>
      <c r="D657" s="150"/>
      <c r="E657" s="150"/>
      <c r="F657" s="150"/>
      <c r="G657" s="150"/>
      <c r="H657" s="150"/>
      <c r="I657" s="150"/>
      <c r="J657" s="150"/>
      <c r="K657" s="156"/>
      <c r="L657" s="156"/>
      <c r="M657" s="156"/>
      <c r="N657" s="156"/>
      <c r="O657" s="156"/>
    </row>
    <row r="658" spans="1:15" x14ac:dyDescent="0.25">
      <c r="A658" s="150" t="s">
        <v>1269</v>
      </c>
      <c r="B658" s="150" t="s">
        <v>1270</v>
      </c>
      <c r="C658" s="150"/>
      <c r="D658" s="150"/>
      <c r="E658" s="150"/>
      <c r="F658" s="150"/>
      <c r="G658" s="150"/>
      <c r="H658" s="150"/>
      <c r="I658" s="150"/>
      <c r="J658" s="150"/>
      <c r="K658" s="156"/>
      <c r="L658" s="156"/>
      <c r="M658" s="156"/>
      <c r="N658" s="156"/>
      <c r="O658" s="156"/>
    </row>
    <row r="659" spans="1:15" x14ac:dyDescent="0.25">
      <c r="A659" s="149" t="s">
        <v>1271</v>
      </c>
      <c r="B659" s="149" t="s">
        <v>1272</v>
      </c>
      <c r="C659" s="150"/>
      <c r="D659" s="150"/>
      <c r="E659" s="150"/>
      <c r="F659" s="150"/>
      <c r="G659" s="150"/>
      <c r="H659" s="150"/>
      <c r="I659" s="150"/>
      <c r="J659" s="150"/>
      <c r="K659" s="156"/>
      <c r="L659" s="156"/>
      <c r="M659" s="156"/>
      <c r="N659" s="156"/>
      <c r="O659" s="156"/>
    </row>
    <row r="660" spans="1:15" x14ac:dyDescent="0.25">
      <c r="A660" s="150" t="s">
        <v>1273</v>
      </c>
      <c r="B660" s="150" t="s">
        <v>1274</v>
      </c>
      <c r="C660" s="150"/>
      <c r="D660" s="150"/>
      <c r="E660" s="150"/>
      <c r="F660" s="150"/>
      <c r="G660" s="150"/>
      <c r="H660" s="150"/>
      <c r="I660" s="150"/>
      <c r="J660" s="150"/>
      <c r="K660" s="156"/>
      <c r="L660" s="156"/>
      <c r="M660" s="156"/>
      <c r="N660" s="156"/>
      <c r="O660" s="156"/>
    </row>
    <row r="661" spans="1:15" x14ac:dyDescent="0.25">
      <c r="A661" s="149" t="s">
        <v>1275</v>
      </c>
      <c r="B661" s="149" t="s">
        <v>8294</v>
      </c>
      <c r="C661" s="150"/>
      <c r="D661" s="150"/>
      <c r="E661" s="150"/>
      <c r="F661" s="150"/>
      <c r="G661" s="150"/>
      <c r="H661" s="150"/>
      <c r="I661" s="150"/>
      <c r="J661" s="150"/>
      <c r="K661" s="156"/>
      <c r="L661" s="156"/>
      <c r="M661" s="156"/>
      <c r="N661" s="156"/>
      <c r="O661" s="156"/>
    </row>
    <row r="662" spans="1:15" x14ac:dyDescent="0.25">
      <c r="A662" s="150" t="s">
        <v>1276</v>
      </c>
      <c r="B662" s="150" t="s">
        <v>1277</v>
      </c>
      <c r="C662" s="150"/>
      <c r="D662" s="150"/>
      <c r="E662" s="150"/>
      <c r="F662" s="150"/>
      <c r="G662" s="150"/>
      <c r="H662" s="150"/>
      <c r="I662" s="150"/>
      <c r="J662" s="150"/>
      <c r="K662" s="156"/>
      <c r="L662" s="156"/>
      <c r="M662" s="156"/>
      <c r="N662" s="156"/>
      <c r="O662" s="156"/>
    </row>
    <row r="663" spans="1:15" x14ac:dyDescent="0.25">
      <c r="A663" s="149" t="s">
        <v>1278</v>
      </c>
      <c r="B663" s="149" t="s">
        <v>1279</v>
      </c>
      <c r="C663" s="150"/>
      <c r="D663" s="150"/>
      <c r="E663" s="150"/>
      <c r="F663" s="150"/>
      <c r="G663" s="150"/>
      <c r="H663" s="150"/>
      <c r="I663" s="150"/>
      <c r="J663" s="150"/>
      <c r="K663" s="156"/>
      <c r="L663" s="156"/>
      <c r="M663" s="156"/>
      <c r="N663" s="156"/>
      <c r="O663" s="156"/>
    </row>
    <row r="664" spans="1:15" x14ac:dyDescent="0.25">
      <c r="A664" s="150" t="s">
        <v>1280</v>
      </c>
      <c r="B664" s="150" t="s">
        <v>1281</v>
      </c>
      <c r="C664" s="150"/>
      <c r="D664" s="150"/>
      <c r="E664" s="150"/>
      <c r="F664" s="150"/>
      <c r="G664" s="150"/>
      <c r="H664" s="150"/>
      <c r="I664" s="150"/>
      <c r="J664" s="150"/>
      <c r="K664" s="156"/>
      <c r="L664" s="156"/>
      <c r="M664" s="156"/>
      <c r="N664" s="156"/>
      <c r="O664" s="156"/>
    </row>
    <row r="665" spans="1:15" x14ac:dyDescent="0.25">
      <c r="A665" s="149" t="s">
        <v>1282</v>
      </c>
      <c r="B665" s="149" t="s">
        <v>1283</v>
      </c>
      <c r="C665" s="150"/>
      <c r="D665" s="150"/>
      <c r="E665" s="150"/>
      <c r="F665" s="150"/>
      <c r="G665" s="150"/>
      <c r="H665" s="150"/>
      <c r="I665" s="150"/>
      <c r="J665" s="150"/>
      <c r="K665" s="156"/>
      <c r="L665" s="156"/>
      <c r="M665" s="156"/>
      <c r="N665" s="156"/>
      <c r="O665" s="156"/>
    </row>
    <row r="666" spans="1:15" x14ac:dyDescent="0.25">
      <c r="A666" s="150" t="s">
        <v>1284</v>
      </c>
      <c r="B666" s="150" t="s">
        <v>8295</v>
      </c>
      <c r="C666" s="150"/>
      <c r="D666" s="150"/>
      <c r="E666" s="150"/>
      <c r="F666" s="150"/>
      <c r="G666" s="150"/>
      <c r="H666" s="150"/>
      <c r="I666" s="150"/>
      <c r="J666" s="150"/>
      <c r="K666" s="156"/>
      <c r="L666" s="156"/>
      <c r="M666" s="156"/>
      <c r="N666" s="156"/>
      <c r="O666" s="156"/>
    </row>
    <row r="667" spans="1:15" x14ac:dyDescent="0.25">
      <c r="A667" s="149" t="s">
        <v>1286</v>
      </c>
      <c r="B667" s="149" t="s">
        <v>8296</v>
      </c>
      <c r="C667" s="150"/>
      <c r="D667" s="150"/>
      <c r="E667" s="150"/>
      <c r="F667" s="150"/>
      <c r="G667" s="150"/>
      <c r="H667" s="150"/>
      <c r="I667" s="150"/>
      <c r="J667" s="150"/>
      <c r="K667" s="156"/>
      <c r="L667" s="156"/>
      <c r="M667" s="156"/>
      <c r="N667" s="156"/>
      <c r="O667" s="156"/>
    </row>
    <row r="668" spans="1:15" x14ac:dyDescent="0.25">
      <c r="A668" s="150" t="s">
        <v>1287</v>
      </c>
      <c r="B668" s="150" t="s">
        <v>1288</v>
      </c>
      <c r="C668" s="150"/>
      <c r="D668" s="150"/>
      <c r="E668" s="150"/>
      <c r="F668" s="150"/>
      <c r="G668" s="150"/>
      <c r="H668" s="150"/>
      <c r="I668" s="150"/>
      <c r="J668" s="150"/>
      <c r="K668" s="156"/>
      <c r="L668" s="156"/>
      <c r="M668" s="156"/>
      <c r="N668" s="156"/>
      <c r="O668" s="156"/>
    </row>
    <row r="669" spans="1:15" x14ac:dyDescent="0.25">
      <c r="A669" s="149" t="s">
        <v>1289</v>
      </c>
      <c r="B669" s="149" t="s">
        <v>1290</v>
      </c>
      <c r="C669" s="150"/>
      <c r="D669" s="150"/>
      <c r="E669" s="150"/>
      <c r="F669" s="150"/>
      <c r="G669" s="150"/>
      <c r="H669" s="150"/>
      <c r="I669" s="150"/>
      <c r="J669" s="150"/>
      <c r="K669" s="156"/>
      <c r="L669" s="156"/>
      <c r="M669" s="156"/>
      <c r="N669" s="156"/>
      <c r="O669" s="156"/>
    </row>
    <row r="670" spans="1:15" x14ac:dyDescent="0.25">
      <c r="A670" s="150" t="s">
        <v>1291</v>
      </c>
      <c r="B670" s="150" t="s">
        <v>1292</v>
      </c>
      <c r="C670" s="150"/>
      <c r="D670" s="150"/>
      <c r="E670" s="150"/>
      <c r="F670" s="150"/>
      <c r="G670" s="150"/>
      <c r="H670" s="150"/>
      <c r="I670" s="150"/>
      <c r="J670" s="150"/>
      <c r="K670" s="156"/>
      <c r="L670" s="156"/>
      <c r="M670" s="156"/>
      <c r="N670" s="156"/>
      <c r="O670" s="156"/>
    </row>
    <row r="671" spans="1:15" x14ac:dyDescent="0.25">
      <c r="A671" s="149" t="s">
        <v>1293</v>
      </c>
      <c r="B671" s="149" t="s">
        <v>1294</v>
      </c>
      <c r="C671" s="150"/>
      <c r="D671" s="150"/>
      <c r="E671" s="150"/>
      <c r="F671" s="150"/>
      <c r="G671" s="150"/>
      <c r="H671" s="150"/>
      <c r="I671" s="150"/>
      <c r="J671" s="150"/>
      <c r="K671" s="156"/>
      <c r="L671" s="156"/>
      <c r="M671" s="156"/>
      <c r="N671" s="156"/>
      <c r="O671" s="156"/>
    </row>
    <row r="672" spans="1:15" x14ac:dyDescent="0.25">
      <c r="A672" s="150" t="s">
        <v>1295</v>
      </c>
      <c r="B672" s="150" t="s">
        <v>1296</v>
      </c>
      <c r="C672" s="150"/>
      <c r="D672" s="150"/>
      <c r="E672" s="150"/>
      <c r="F672" s="150"/>
      <c r="G672" s="150"/>
      <c r="H672" s="150"/>
      <c r="I672" s="150"/>
      <c r="J672" s="150"/>
      <c r="K672" s="156"/>
      <c r="L672" s="156"/>
      <c r="M672" s="156"/>
      <c r="N672" s="156"/>
      <c r="O672" s="156"/>
    </row>
    <row r="673" spans="1:15" x14ac:dyDescent="0.25">
      <c r="A673" s="149" t="s">
        <v>1297</v>
      </c>
      <c r="B673" s="149" t="s">
        <v>1298</v>
      </c>
      <c r="C673" s="150"/>
      <c r="D673" s="150"/>
      <c r="E673" s="150"/>
      <c r="F673" s="150"/>
      <c r="G673" s="150"/>
      <c r="H673" s="150"/>
      <c r="I673" s="150"/>
      <c r="J673" s="150"/>
      <c r="K673" s="156"/>
      <c r="L673" s="156"/>
      <c r="M673" s="156"/>
      <c r="N673" s="156"/>
      <c r="O673" s="156"/>
    </row>
    <row r="674" spans="1:15" x14ac:dyDescent="0.25">
      <c r="A674" s="150" t="s">
        <v>1299</v>
      </c>
      <c r="B674" s="150" t="s">
        <v>1300</v>
      </c>
      <c r="C674" s="150"/>
      <c r="D674" s="150"/>
      <c r="E674" s="150"/>
      <c r="F674" s="150"/>
      <c r="G674" s="150"/>
      <c r="H674" s="150"/>
      <c r="I674" s="150"/>
      <c r="J674" s="150"/>
      <c r="K674" s="156"/>
      <c r="L674" s="156"/>
      <c r="M674" s="156"/>
      <c r="N674" s="156"/>
      <c r="O674" s="156"/>
    </row>
    <row r="675" spans="1:15" x14ac:dyDescent="0.25">
      <c r="A675" s="149" t="s">
        <v>1301</v>
      </c>
      <c r="B675" s="149" t="s">
        <v>1302</v>
      </c>
      <c r="C675" s="150"/>
      <c r="D675" s="150"/>
      <c r="E675" s="150"/>
      <c r="F675" s="150"/>
      <c r="G675" s="150"/>
      <c r="H675" s="150"/>
      <c r="I675" s="150"/>
      <c r="J675" s="150"/>
      <c r="K675" s="156"/>
      <c r="L675" s="156"/>
      <c r="M675" s="156"/>
      <c r="N675" s="156"/>
      <c r="O675" s="156"/>
    </row>
    <row r="676" spans="1:15" x14ac:dyDescent="0.25">
      <c r="A676" s="150" t="s">
        <v>1303</v>
      </c>
      <c r="B676" s="150" t="s">
        <v>1304</v>
      </c>
      <c r="C676" s="150"/>
      <c r="D676" s="150"/>
      <c r="E676" s="150"/>
      <c r="F676" s="150"/>
      <c r="G676" s="150"/>
      <c r="H676" s="150"/>
      <c r="I676" s="150"/>
      <c r="J676" s="150"/>
      <c r="K676" s="156"/>
      <c r="L676" s="156"/>
      <c r="M676" s="156"/>
      <c r="N676" s="156"/>
      <c r="O676" s="156"/>
    </row>
    <row r="677" spans="1:15" x14ac:dyDescent="0.25">
      <c r="A677" s="149" t="s">
        <v>1305</v>
      </c>
      <c r="B677" s="149" t="s">
        <v>1306</v>
      </c>
      <c r="C677" s="150"/>
      <c r="D677" s="150"/>
      <c r="E677" s="150"/>
      <c r="F677" s="150"/>
      <c r="G677" s="150"/>
      <c r="H677" s="150"/>
      <c r="I677" s="150"/>
      <c r="J677" s="150"/>
      <c r="K677" s="156"/>
      <c r="L677" s="156"/>
      <c r="M677" s="156"/>
      <c r="N677" s="156"/>
      <c r="O677" s="156"/>
    </row>
    <row r="678" spans="1:15" x14ac:dyDescent="0.25">
      <c r="A678" s="150" t="s">
        <v>1307</v>
      </c>
      <c r="B678" s="150" t="s">
        <v>1308</v>
      </c>
      <c r="C678" s="150"/>
      <c r="D678" s="150"/>
      <c r="E678" s="150"/>
      <c r="F678" s="150"/>
      <c r="G678" s="150"/>
      <c r="H678" s="150"/>
      <c r="I678" s="150"/>
      <c r="J678" s="150"/>
      <c r="K678" s="156"/>
      <c r="L678" s="156"/>
      <c r="M678" s="156"/>
      <c r="N678" s="156"/>
      <c r="O678" s="156"/>
    </row>
    <row r="679" spans="1:15" x14ac:dyDescent="0.25">
      <c r="A679" s="149" t="s">
        <v>1309</v>
      </c>
      <c r="B679" s="149" t="s">
        <v>1310</v>
      </c>
      <c r="C679" s="150"/>
      <c r="D679" s="150"/>
      <c r="E679" s="150"/>
      <c r="F679" s="150"/>
      <c r="G679" s="150"/>
      <c r="H679" s="150"/>
      <c r="I679" s="150"/>
      <c r="J679" s="150"/>
      <c r="K679" s="156"/>
      <c r="L679" s="156"/>
      <c r="M679" s="156"/>
      <c r="N679" s="156"/>
      <c r="O679" s="156"/>
    </row>
    <row r="680" spans="1:15" x14ac:dyDescent="0.25">
      <c r="A680" s="150" t="s">
        <v>1311</v>
      </c>
      <c r="B680" s="150" t="s">
        <v>8297</v>
      </c>
      <c r="C680" s="150"/>
      <c r="D680" s="150"/>
      <c r="E680" s="150"/>
      <c r="F680" s="150"/>
      <c r="G680" s="150"/>
      <c r="H680" s="150"/>
      <c r="I680" s="150"/>
      <c r="J680" s="150"/>
      <c r="K680" s="156"/>
      <c r="L680" s="156"/>
      <c r="M680" s="156"/>
      <c r="N680" s="156"/>
      <c r="O680" s="156"/>
    </row>
    <row r="681" spans="1:15" x14ac:dyDescent="0.25">
      <c r="A681" s="149" t="s">
        <v>1312</v>
      </c>
      <c r="B681" s="149" t="s">
        <v>1313</v>
      </c>
      <c r="C681" s="150"/>
      <c r="D681" s="150"/>
      <c r="E681" s="150"/>
      <c r="F681" s="150"/>
      <c r="G681" s="150"/>
      <c r="H681" s="150"/>
      <c r="I681" s="150"/>
      <c r="J681" s="150"/>
      <c r="K681" s="156"/>
      <c r="L681" s="156"/>
      <c r="M681" s="156"/>
      <c r="N681" s="156"/>
      <c r="O681" s="156"/>
    </row>
    <row r="682" spans="1:15" x14ac:dyDescent="0.25">
      <c r="A682" s="150" t="s">
        <v>1314</v>
      </c>
      <c r="B682" s="150" t="s">
        <v>1315</v>
      </c>
      <c r="C682" s="150"/>
      <c r="D682" s="150"/>
      <c r="E682" s="150"/>
      <c r="F682" s="150"/>
      <c r="G682" s="150"/>
      <c r="H682" s="150"/>
      <c r="I682" s="150"/>
      <c r="J682" s="150"/>
      <c r="K682" s="156"/>
      <c r="L682" s="156"/>
      <c r="M682" s="156"/>
      <c r="N682" s="156"/>
      <c r="O682" s="156"/>
    </row>
    <row r="683" spans="1:15" x14ac:dyDescent="0.25">
      <c r="A683" s="149" t="s">
        <v>1316</v>
      </c>
      <c r="B683" s="149" t="s">
        <v>1317</v>
      </c>
      <c r="C683" s="150"/>
      <c r="D683" s="150"/>
      <c r="E683" s="150"/>
      <c r="F683" s="150"/>
      <c r="G683" s="150"/>
      <c r="H683" s="150"/>
      <c r="I683" s="150"/>
      <c r="J683" s="150"/>
      <c r="K683" s="156"/>
      <c r="L683" s="156"/>
      <c r="M683" s="156"/>
      <c r="N683" s="156"/>
      <c r="O683" s="156"/>
    </row>
    <row r="684" spans="1:15" x14ac:dyDescent="0.25">
      <c r="A684" s="150" t="s">
        <v>1318</v>
      </c>
      <c r="B684" s="150" t="s">
        <v>1319</v>
      </c>
      <c r="C684" s="150"/>
      <c r="D684" s="150"/>
      <c r="E684" s="150"/>
      <c r="F684" s="150"/>
      <c r="G684" s="150"/>
      <c r="H684" s="150"/>
      <c r="I684" s="150"/>
      <c r="J684" s="150"/>
      <c r="K684" s="156"/>
      <c r="L684" s="156"/>
      <c r="M684" s="156"/>
      <c r="N684" s="156"/>
      <c r="O684" s="156"/>
    </row>
    <row r="685" spans="1:15" x14ac:dyDescent="0.25">
      <c r="A685" s="149" t="s">
        <v>1320</v>
      </c>
      <c r="B685" s="149" t="s">
        <v>1321</v>
      </c>
      <c r="C685" s="150"/>
      <c r="D685" s="150"/>
      <c r="E685" s="150"/>
      <c r="F685" s="150"/>
      <c r="G685" s="150"/>
      <c r="H685" s="150"/>
      <c r="I685" s="150"/>
      <c r="J685" s="150"/>
      <c r="K685" s="156"/>
      <c r="L685" s="156"/>
      <c r="M685" s="156"/>
      <c r="N685" s="156"/>
      <c r="O685" s="156"/>
    </row>
    <row r="686" spans="1:15" x14ac:dyDescent="0.25">
      <c r="A686" s="150" t="s">
        <v>1322</v>
      </c>
      <c r="B686" s="150" t="s">
        <v>1323</v>
      </c>
      <c r="C686" s="150"/>
      <c r="D686" s="150"/>
      <c r="E686" s="150"/>
      <c r="F686" s="150"/>
      <c r="G686" s="150"/>
      <c r="H686" s="150"/>
      <c r="I686" s="150"/>
      <c r="J686" s="150"/>
      <c r="K686" s="156"/>
      <c r="L686" s="156"/>
      <c r="M686" s="156"/>
      <c r="N686" s="156"/>
      <c r="O686" s="156"/>
    </row>
    <row r="687" spans="1:15" x14ac:dyDescent="0.25">
      <c r="A687" s="149" t="s">
        <v>1324</v>
      </c>
      <c r="B687" s="149" t="s">
        <v>1325</v>
      </c>
      <c r="C687" s="150"/>
      <c r="D687" s="150"/>
      <c r="E687" s="150"/>
      <c r="F687" s="150"/>
      <c r="G687" s="150"/>
      <c r="H687" s="150"/>
      <c r="I687" s="150"/>
      <c r="J687" s="150"/>
      <c r="K687" s="156"/>
      <c r="L687" s="156"/>
      <c r="M687" s="156"/>
      <c r="N687" s="156"/>
      <c r="O687" s="156"/>
    </row>
    <row r="688" spans="1:15" x14ac:dyDescent="0.25">
      <c r="A688" s="150" t="s">
        <v>1326</v>
      </c>
      <c r="B688" s="150" t="s">
        <v>1327</v>
      </c>
      <c r="C688" s="150"/>
      <c r="D688" s="150"/>
      <c r="E688" s="150"/>
      <c r="F688" s="150"/>
      <c r="G688" s="150"/>
      <c r="H688" s="150"/>
      <c r="I688" s="150"/>
      <c r="J688" s="150"/>
      <c r="K688" s="156"/>
      <c r="L688" s="156"/>
      <c r="M688" s="156"/>
      <c r="N688" s="156"/>
      <c r="O688" s="156"/>
    </row>
    <row r="689" spans="1:15" x14ac:dyDescent="0.25">
      <c r="A689" s="149" t="s">
        <v>1328</v>
      </c>
      <c r="B689" s="149" t="s">
        <v>1329</v>
      </c>
      <c r="C689" s="150"/>
      <c r="D689" s="150"/>
      <c r="E689" s="150"/>
      <c r="F689" s="150"/>
      <c r="G689" s="150"/>
      <c r="H689" s="150"/>
      <c r="I689" s="150"/>
      <c r="J689" s="150"/>
      <c r="K689" s="156"/>
      <c r="L689" s="156"/>
      <c r="M689" s="156"/>
      <c r="N689" s="156"/>
      <c r="O689" s="156"/>
    </row>
    <row r="690" spans="1:15" x14ac:dyDescent="0.25">
      <c r="A690" s="150" t="s">
        <v>1330</v>
      </c>
      <c r="B690" s="150" t="s">
        <v>1331</v>
      </c>
      <c r="C690" s="150"/>
      <c r="D690" s="150"/>
      <c r="E690" s="150"/>
      <c r="F690" s="150"/>
      <c r="G690" s="150"/>
      <c r="H690" s="150"/>
      <c r="I690" s="150"/>
      <c r="J690" s="150"/>
      <c r="K690" s="156"/>
      <c r="L690" s="156"/>
      <c r="M690" s="156"/>
      <c r="N690" s="156"/>
      <c r="O690" s="156"/>
    </row>
    <row r="691" spans="1:15" x14ac:dyDescent="0.25">
      <c r="A691" s="149" t="s">
        <v>1332</v>
      </c>
      <c r="B691" s="149" t="s">
        <v>1333</v>
      </c>
      <c r="C691" s="150"/>
      <c r="D691" s="150"/>
      <c r="E691" s="150"/>
      <c r="F691" s="150"/>
      <c r="G691" s="150"/>
      <c r="H691" s="150"/>
      <c r="I691" s="150"/>
      <c r="J691" s="150"/>
      <c r="K691" s="156"/>
      <c r="L691" s="156"/>
      <c r="M691" s="156"/>
      <c r="N691" s="156"/>
      <c r="O691" s="156"/>
    </row>
    <row r="692" spans="1:15" x14ac:dyDescent="0.25">
      <c r="A692" s="150" t="s">
        <v>1334</v>
      </c>
      <c r="B692" s="150" t="s">
        <v>1335</v>
      </c>
      <c r="C692" s="150"/>
      <c r="D692" s="150"/>
      <c r="E692" s="150"/>
      <c r="F692" s="150"/>
      <c r="G692" s="150"/>
      <c r="H692" s="150"/>
      <c r="I692" s="150"/>
      <c r="J692" s="150"/>
      <c r="K692" s="156"/>
      <c r="L692" s="156"/>
      <c r="M692" s="156"/>
      <c r="N692" s="156"/>
      <c r="O692" s="156"/>
    </row>
    <row r="693" spans="1:15" x14ac:dyDescent="0.25">
      <c r="A693" s="149" t="s">
        <v>1336</v>
      </c>
      <c r="B693" s="149" t="s">
        <v>1337</v>
      </c>
      <c r="C693" s="150"/>
      <c r="D693" s="150"/>
      <c r="E693" s="150"/>
      <c r="F693" s="150"/>
      <c r="G693" s="150"/>
      <c r="H693" s="150"/>
      <c r="I693" s="150"/>
      <c r="J693" s="150"/>
      <c r="K693" s="156"/>
      <c r="L693" s="156"/>
      <c r="M693" s="156"/>
      <c r="N693" s="156"/>
      <c r="O693" s="156"/>
    </row>
    <row r="694" spans="1:15" x14ac:dyDescent="0.25">
      <c r="A694" s="150" t="s">
        <v>1338</v>
      </c>
      <c r="B694" s="150" t="s">
        <v>1339</v>
      </c>
      <c r="C694" s="150"/>
      <c r="D694" s="150"/>
      <c r="E694" s="150"/>
      <c r="F694" s="150"/>
      <c r="G694" s="150"/>
      <c r="H694" s="150"/>
      <c r="I694" s="150"/>
      <c r="J694" s="150"/>
      <c r="K694" s="156"/>
      <c r="L694" s="156"/>
      <c r="M694" s="156"/>
      <c r="N694" s="156"/>
      <c r="O694" s="156"/>
    </row>
    <row r="695" spans="1:15" x14ac:dyDescent="0.25">
      <c r="A695" s="149" t="s">
        <v>1340</v>
      </c>
      <c r="B695" s="149" t="s">
        <v>1341</v>
      </c>
      <c r="C695" s="150"/>
      <c r="D695" s="150"/>
      <c r="E695" s="150"/>
      <c r="F695" s="150"/>
      <c r="G695" s="150"/>
      <c r="H695" s="150"/>
      <c r="I695" s="150"/>
      <c r="J695" s="150"/>
      <c r="K695" s="156"/>
      <c r="L695" s="156"/>
      <c r="M695" s="156"/>
      <c r="N695" s="156"/>
      <c r="O695" s="156"/>
    </row>
    <row r="696" spans="1:15" x14ac:dyDescent="0.25">
      <c r="A696" s="150" t="s">
        <v>1342</v>
      </c>
      <c r="B696" s="150" t="s">
        <v>1343</v>
      </c>
      <c r="C696" s="150"/>
      <c r="D696" s="150"/>
      <c r="E696" s="150"/>
      <c r="F696" s="150"/>
      <c r="G696" s="150"/>
      <c r="H696" s="150"/>
      <c r="I696" s="150"/>
      <c r="J696" s="150"/>
      <c r="K696" s="156"/>
      <c r="L696" s="156"/>
      <c r="M696" s="156"/>
      <c r="N696" s="156"/>
      <c r="O696" s="156"/>
    </row>
    <row r="697" spans="1:15" x14ac:dyDescent="0.25">
      <c r="A697" s="149" t="s">
        <v>1344</v>
      </c>
      <c r="B697" s="149" t="s">
        <v>1345</v>
      </c>
      <c r="C697" s="150"/>
      <c r="D697" s="150"/>
      <c r="E697" s="150"/>
      <c r="F697" s="150"/>
      <c r="G697" s="150"/>
      <c r="H697" s="150"/>
      <c r="I697" s="150"/>
      <c r="J697" s="150"/>
      <c r="K697" s="156"/>
      <c r="L697" s="156"/>
      <c r="M697" s="156"/>
      <c r="N697" s="156"/>
      <c r="O697" s="156"/>
    </row>
    <row r="698" spans="1:15" x14ac:dyDescent="0.25">
      <c r="A698" s="150" t="s">
        <v>1346</v>
      </c>
      <c r="B698" s="150" t="s">
        <v>1347</v>
      </c>
      <c r="C698" s="150"/>
      <c r="D698" s="150"/>
      <c r="E698" s="150"/>
      <c r="F698" s="150"/>
      <c r="G698" s="150"/>
      <c r="H698" s="150"/>
      <c r="I698" s="150"/>
      <c r="J698" s="150"/>
      <c r="K698" s="156"/>
      <c r="L698" s="156"/>
      <c r="M698" s="156"/>
      <c r="N698" s="156"/>
      <c r="O698" s="156"/>
    </row>
    <row r="699" spans="1:15" x14ac:dyDescent="0.25">
      <c r="A699" s="149" t="s">
        <v>1348</v>
      </c>
      <c r="B699" s="149" t="s">
        <v>1349</v>
      </c>
      <c r="C699" s="150"/>
      <c r="D699" s="150"/>
      <c r="E699" s="150"/>
      <c r="F699" s="150"/>
      <c r="G699" s="150"/>
      <c r="H699" s="150"/>
      <c r="I699" s="150"/>
      <c r="J699" s="150"/>
      <c r="K699" s="156"/>
      <c r="L699" s="156"/>
      <c r="M699" s="156"/>
      <c r="N699" s="156"/>
      <c r="O699" s="156"/>
    </row>
    <row r="700" spans="1:15" x14ac:dyDescent="0.25">
      <c r="A700" s="150" t="s">
        <v>1350</v>
      </c>
      <c r="B700" s="150" t="s">
        <v>1351</v>
      </c>
      <c r="C700" s="150"/>
      <c r="D700" s="150"/>
      <c r="E700" s="150"/>
      <c r="F700" s="150"/>
      <c r="G700" s="150"/>
      <c r="H700" s="150"/>
      <c r="I700" s="150"/>
      <c r="J700" s="150"/>
      <c r="K700" s="156"/>
      <c r="L700" s="156"/>
      <c r="M700" s="156"/>
      <c r="N700" s="156"/>
      <c r="O700" s="156"/>
    </row>
    <row r="701" spans="1:15" x14ac:dyDescent="0.25">
      <c r="A701" s="149" t="s">
        <v>1352</v>
      </c>
      <c r="B701" s="149" t="s">
        <v>1353</v>
      </c>
      <c r="C701" s="150"/>
      <c r="D701" s="150"/>
      <c r="E701" s="150"/>
      <c r="F701" s="150"/>
      <c r="G701" s="150"/>
      <c r="H701" s="150"/>
      <c r="I701" s="150"/>
      <c r="J701" s="150"/>
      <c r="K701" s="156"/>
      <c r="L701" s="156"/>
      <c r="M701" s="156"/>
      <c r="N701" s="156"/>
      <c r="O701" s="156"/>
    </row>
    <row r="702" spans="1:15" x14ac:dyDescent="0.25">
      <c r="A702" s="150" t="s">
        <v>1354</v>
      </c>
      <c r="B702" s="150" t="s">
        <v>1355</v>
      </c>
      <c r="C702" s="150"/>
      <c r="D702" s="150"/>
      <c r="E702" s="150"/>
      <c r="F702" s="150"/>
      <c r="G702" s="150"/>
      <c r="H702" s="150"/>
      <c r="I702" s="150"/>
      <c r="J702" s="150"/>
      <c r="K702" s="156"/>
      <c r="L702" s="156"/>
      <c r="M702" s="156"/>
      <c r="N702" s="156"/>
      <c r="O702" s="156"/>
    </row>
    <row r="703" spans="1:15" x14ac:dyDescent="0.25">
      <c r="A703" s="149" t="s">
        <v>1356</v>
      </c>
      <c r="B703" s="149" t="s">
        <v>1357</v>
      </c>
      <c r="C703" s="150"/>
      <c r="D703" s="150"/>
      <c r="E703" s="150"/>
      <c r="F703" s="150"/>
      <c r="G703" s="150"/>
      <c r="H703" s="150"/>
      <c r="I703" s="150"/>
      <c r="J703" s="150"/>
      <c r="K703" s="156"/>
      <c r="L703" s="156"/>
      <c r="M703" s="156"/>
      <c r="N703" s="156"/>
      <c r="O703" s="156"/>
    </row>
    <row r="704" spans="1:15" x14ac:dyDescent="0.25">
      <c r="A704" s="150" t="s">
        <v>1358</v>
      </c>
      <c r="B704" s="150" t="s">
        <v>1359</v>
      </c>
      <c r="C704" s="150"/>
      <c r="D704" s="150"/>
      <c r="E704" s="150"/>
      <c r="F704" s="150"/>
      <c r="G704" s="150"/>
      <c r="H704" s="150"/>
      <c r="I704" s="150"/>
      <c r="J704" s="150"/>
      <c r="K704" s="156"/>
      <c r="L704" s="156"/>
      <c r="M704" s="156"/>
      <c r="N704" s="156"/>
      <c r="O704" s="156"/>
    </row>
    <row r="705" spans="1:15" x14ac:dyDescent="0.25">
      <c r="A705" s="149" t="s">
        <v>1360</v>
      </c>
      <c r="B705" s="149" t="s">
        <v>1361</v>
      </c>
      <c r="C705" s="150"/>
      <c r="D705" s="150"/>
      <c r="E705" s="150"/>
      <c r="F705" s="150"/>
      <c r="G705" s="150"/>
      <c r="H705" s="150"/>
      <c r="I705" s="150"/>
      <c r="J705" s="150"/>
      <c r="K705" s="156"/>
      <c r="L705" s="156"/>
      <c r="M705" s="156"/>
      <c r="N705" s="156"/>
      <c r="O705" s="156"/>
    </row>
    <row r="706" spans="1:15" x14ac:dyDescent="0.25">
      <c r="A706" s="150" t="s">
        <v>1362</v>
      </c>
      <c r="B706" s="150" t="s">
        <v>1363</v>
      </c>
      <c r="C706" s="150"/>
      <c r="D706" s="150"/>
      <c r="E706" s="150"/>
      <c r="F706" s="150"/>
      <c r="G706" s="150"/>
      <c r="H706" s="150"/>
      <c r="I706" s="150"/>
      <c r="J706" s="150"/>
      <c r="K706" s="156"/>
      <c r="L706" s="156"/>
      <c r="M706" s="156"/>
      <c r="N706" s="156"/>
      <c r="O706" s="156"/>
    </row>
    <row r="707" spans="1:15" x14ac:dyDescent="0.25">
      <c r="A707" s="149" t="s">
        <v>1364</v>
      </c>
      <c r="B707" s="149" t="s">
        <v>1365</v>
      </c>
      <c r="C707" s="150"/>
      <c r="D707" s="150"/>
      <c r="E707" s="150"/>
      <c r="F707" s="150"/>
      <c r="G707" s="150"/>
      <c r="H707" s="150"/>
      <c r="I707" s="150"/>
      <c r="J707" s="150"/>
      <c r="K707" s="156"/>
      <c r="L707" s="156"/>
      <c r="M707" s="156"/>
      <c r="N707" s="156"/>
      <c r="O707" s="156"/>
    </row>
    <row r="708" spans="1:15" x14ac:dyDescent="0.25">
      <c r="A708" s="150" t="s">
        <v>1366</v>
      </c>
      <c r="B708" s="150" t="s">
        <v>1367</v>
      </c>
      <c r="C708" s="150"/>
      <c r="D708" s="150"/>
      <c r="E708" s="150"/>
      <c r="F708" s="150"/>
      <c r="G708" s="150"/>
      <c r="H708" s="150"/>
      <c r="I708" s="150"/>
      <c r="J708" s="150"/>
      <c r="K708" s="156"/>
      <c r="L708" s="156"/>
      <c r="M708" s="156"/>
      <c r="N708" s="156"/>
      <c r="O708" s="156"/>
    </row>
    <row r="709" spans="1:15" x14ac:dyDescent="0.25">
      <c r="A709" s="149" t="s">
        <v>1368</v>
      </c>
      <c r="B709" s="149" t="s">
        <v>1369</v>
      </c>
      <c r="C709" s="150"/>
      <c r="D709" s="150"/>
      <c r="E709" s="150"/>
      <c r="F709" s="150"/>
      <c r="G709" s="150"/>
      <c r="H709" s="150"/>
      <c r="I709" s="150"/>
      <c r="J709" s="150"/>
      <c r="K709" s="156"/>
      <c r="L709" s="156"/>
      <c r="M709" s="156"/>
      <c r="N709" s="156"/>
      <c r="O709" s="156"/>
    </row>
    <row r="710" spans="1:15" x14ac:dyDescent="0.25">
      <c r="A710" s="150" t="s">
        <v>1370</v>
      </c>
      <c r="B710" s="150" t="s">
        <v>1371</v>
      </c>
      <c r="C710" s="150"/>
      <c r="D710" s="150"/>
      <c r="E710" s="150"/>
      <c r="F710" s="150"/>
      <c r="G710" s="150"/>
      <c r="H710" s="150"/>
      <c r="I710" s="150"/>
      <c r="J710" s="150"/>
      <c r="K710" s="156"/>
      <c r="L710" s="156"/>
      <c r="M710" s="156"/>
      <c r="N710" s="156"/>
      <c r="O710" s="156"/>
    </row>
    <row r="711" spans="1:15" x14ac:dyDescent="0.25">
      <c r="A711" s="149" t="s">
        <v>1372</v>
      </c>
      <c r="B711" s="149" t="s">
        <v>1373</v>
      </c>
      <c r="C711" s="150"/>
      <c r="D711" s="150"/>
      <c r="E711" s="150"/>
      <c r="F711" s="150"/>
      <c r="G711" s="150"/>
      <c r="H711" s="150"/>
      <c r="I711" s="150"/>
      <c r="J711" s="150"/>
      <c r="K711" s="156"/>
      <c r="L711" s="156"/>
      <c r="M711" s="156"/>
      <c r="N711" s="156"/>
      <c r="O711" s="156"/>
    </row>
    <row r="712" spans="1:15" x14ac:dyDescent="0.25">
      <c r="A712" s="150" t="s">
        <v>1374</v>
      </c>
      <c r="B712" s="150" t="s">
        <v>8298</v>
      </c>
      <c r="C712" s="150"/>
      <c r="D712" s="150"/>
      <c r="E712" s="150"/>
      <c r="F712" s="150"/>
      <c r="G712" s="150"/>
      <c r="H712" s="150"/>
      <c r="I712" s="150"/>
      <c r="J712" s="150"/>
      <c r="K712" s="156"/>
      <c r="L712" s="156"/>
      <c r="M712" s="156"/>
      <c r="N712" s="156"/>
      <c r="O712" s="156"/>
    </row>
    <row r="713" spans="1:15" x14ac:dyDescent="0.25">
      <c r="A713" s="149" t="s">
        <v>1375</v>
      </c>
      <c r="B713" s="149" t="s">
        <v>1376</v>
      </c>
      <c r="C713" s="150"/>
      <c r="D713" s="150"/>
      <c r="E713" s="150"/>
      <c r="F713" s="150"/>
      <c r="G713" s="150"/>
      <c r="H713" s="150"/>
      <c r="I713" s="150"/>
      <c r="J713" s="150"/>
      <c r="K713" s="156"/>
      <c r="L713" s="156"/>
      <c r="M713" s="156"/>
      <c r="N713" s="156"/>
      <c r="O713" s="156"/>
    </row>
    <row r="714" spans="1:15" x14ac:dyDescent="0.25">
      <c r="A714" s="150" t="s">
        <v>1377</v>
      </c>
      <c r="B714" s="150" t="s">
        <v>1378</v>
      </c>
      <c r="C714" s="150"/>
      <c r="D714" s="150"/>
      <c r="E714" s="150"/>
      <c r="F714" s="150"/>
      <c r="G714" s="150"/>
      <c r="H714" s="150"/>
      <c r="I714" s="150"/>
      <c r="J714" s="150"/>
      <c r="K714" s="156"/>
      <c r="L714" s="156"/>
      <c r="M714" s="156"/>
      <c r="N714" s="156"/>
      <c r="O714" s="156"/>
    </row>
    <row r="715" spans="1:15" x14ac:dyDescent="0.25">
      <c r="A715" s="149" t="s">
        <v>1379</v>
      </c>
      <c r="B715" s="149" t="s">
        <v>1380</v>
      </c>
      <c r="C715" s="150"/>
      <c r="D715" s="150"/>
      <c r="E715" s="150"/>
      <c r="F715" s="150"/>
      <c r="G715" s="150"/>
      <c r="H715" s="150"/>
      <c r="I715" s="150"/>
      <c r="J715" s="150"/>
      <c r="K715" s="156"/>
      <c r="L715" s="156"/>
      <c r="M715" s="156"/>
      <c r="N715" s="156"/>
      <c r="O715" s="156"/>
    </row>
    <row r="716" spans="1:15" x14ac:dyDescent="0.25">
      <c r="A716" s="150" t="s">
        <v>1381</v>
      </c>
      <c r="B716" s="150" t="s">
        <v>1382</v>
      </c>
      <c r="C716" s="150"/>
      <c r="D716" s="150"/>
      <c r="E716" s="150"/>
      <c r="F716" s="150"/>
      <c r="G716" s="150"/>
      <c r="H716" s="150"/>
      <c r="I716" s="150"/>
      <c r="J716" s="150"/>
      <c r="K716" s="156"/>
      <c r="L716" s="156"/>
      <c r="M716" s="156"/>
      <c r="N716" s="156"/>
      <c r="O716" s="156"/>
    </row>
    <row r="717" spans="1:15" x14ac:dyDescent="0.25">
      <c r="A717" s="149" t="s">
        <v>1383</v>
      </c>
      <c r="B717" s="149" t="s">
        <v>8299</v>
      </c>
      <c r="C717" s="150"/>
      <c r="D717" s="150"/>
      <c r="E717" s="150"/>
      <c r="F717" s="150"/>
      <c r="G717" s="150"/>
      <c r="H717" s="150"/>
      <c r="I717" s="150"/>
      <c r="J717" s="150"/>
      <c r="K717" s="156"/>
      <c r="L717" s="156"/>
      <c r="M717" s="156"/>
      <c r="N717" s="156"/>
      <c r="O717" s="156"/>
    </row>
    <row r="718" spans="1:15" x14ac:dyDescent="0.25">
      <c r="A718" s="150" t="s">
        <v>1384</v>
      </c>
      <c r="B718" s="150" t="s">
        <v>1385</v>
      </c>
      <c r="C718" s="150"/>
      <c r="D718" s="150"/>
      <c r="E718" s="150"/>
      <c r="F718" s="150"/>
      <c r="G718" s="150"/>
      <c r="H718" s="150"/>
      <c r="I718" s="150"/>
      <c r="J718" s="150"/>
      <c r="K718" s="156"/>
      <c r="L718" s="156"/>
      <c r="M718" s="156"/>
      <c r="N718" s="156"/>
      <c r="O718" s="156"/>
    </row>
    <row r="719" spans="1:15" x14ac:dyDescent="0.25">
      <c r="A719" s="149" t="s">
        <v>1386</v>
      </c>
      <c r="B719" s="149" t="s">
        <v>1387</v>
      </c>
      <c r="C719" s="150"/>
      <c r="D719" s="150"/>
      <c r="E719" s="150"/>
      <c r="F719" s="150"/>
      <c r="G719" s="150"/>
      <c r="H719" s="150"/>
      <c r="I719" s="150"/>
      <c r="J719" s="150"/>
      <c r="K719" s="156"/>
      <c r="L719" s="156"/>
      <c r="M719" s="156"/>
      <c r="N719" s="156"/>
      <c r="O719" s="156"/>
    </row>
    <row r="720" spans="1:15" x14ac:dyDescent="0.25">
      <c r="A720" s="150" t="s">
        <v>1388</v>
      </c>
      <c r="B720" s="150" t="s">
        <v>1389</v>
      </c>
      <c r="C720" s="150"/>
      <c r="D720" s="150"/>
      <c r="E720" s="150"/>
      <c r="F720" s="150"/>
      <c r="G720" s="150"/>
      <c r="H720" s="150"/>
      <c r="I720" s="150"/>
      <c r="J720" s="150"/>
      <c r="K720" s="156"/>
      <c r="L720" s="156"/>
      <c r="M720" s="156"/>
      <c r="N720" s="156"/>
      <c r="O720" s="156"/>
    </row>
    <row r="721" spans="1:15" x14ac:dyDescent="0.25">
      <c r="A721" s="149" t="s">
        <v>1390</v>
      </c>
      <c r="B721" s="149" t="s">
        <v>1391</v>
      </c>
      <c r="C721" s="150"/>
      <c r="D721" s="150"/>
      <c r="E721" s="150"/>
      <c r="F721" s="150"/>
      <c r="G721" s="150"/>
      <c r="H721" s="150"/>
      <c r="I721" s="150"/>
      <c r="J721" s="150"/>
      <c r="K721" s="156"/>
      <c r="L721" s="156"/>
      <c r="M721" s="156"/>
      <c r="N721" s="156"/>
      <c r="O721" s="156"/>
    </row>
    <row r="722" spans="1:15" x14ac:dyDescent="0.25">
      <c r="A722" s="150" t="s">
        <v>1392</v>
      </c>
      <c r="B722" s="150" t="s">
        <v>1393</v>
      </c>
      <c r="C722" s="150"/>
      <c r="D722" s="150"/>
      <c r="E722" s="150"/>
      <c r="F722" s="150"/>
      <c r="G722" s="150"/>
      <c r="H722" s="150"/>
      <c r="I722" s="150"/>
      <c r="J722" s="150"/>
      <c r="K722" s="156"/>
      <c r="L722" s="156"/>
      <c r="M722" s="156"/>
      <c r="N722" s="156"/>
      <c r="O722" s="156"/>
    </row>
    <row r="723" spans="1:15" x14ac:dyDescent="0.25">
      <c r="A723" s="149" t="s">
        <v>1394</v>
      </c>
      <c r="B723" s="149" t="s">
        <v>1395</v>
      </c>
      <c r="C723" s="150"/>
      <c r="D723" s="150"/>
      <c r="E723" s="150"/>
      <c r="F723" s="150"/>
      <c r="G723" s="150"/>
      <c r="H723" s="150"/>
      <c r="I723" s="150"/>
      <c r="J723" s="150"/>
      <c r="K723" s="156"/>
      <c r="L723" s="156"/>
      <c r="M723" s="156"/>
      <c r="N723" s="156"/>
      <c r="O723" s="156"/>
    </row>
    <row r="724" spans="1:15" x14ac:dyDescent="0.25">
      <c r="A724" s="150" t="s">
        <v>1396</v>
      </c>
      <c r="B724" s="150" t="s">
        <v>8300</v>
      </c>
      <c r="C724" s="150"/>
      <c r="D724" s="150"/>
      <c r="E724" s="150"/>
      <c r="F724" s="150"/>
      <c r="G724" s="150"/>
      <c r="H724" s="150"/>
      <c r="I724" s="150"/>
      <c r="J724" s="150"/>
      <c r="K724" s="156"/>
      <c r="L724" s="156"/>
      <c r="M724" s="156"/>
      <c r="N724" s="156"/>
      <c r="O724" s="156"/>
    </row>
    <row r="725" spans="1:15" x14ac:dyDescent="0.25">
      <c r="A725" s="149" t="s">
        <v>1397</v>
      </c>
      <c r="B725" s="149" t="s">
        <v>1398</v>
      </c>
      <c r="C725" s="150"/>
      <c r="D725" s="150"/>
      <c r="E725" s="150"/>
      <c r="F725" s="150"/>
      <c r="G725" s="150"/>
      <c r="H725" s="150"/>
      <c r="I725" s="150"/>
      <c r="J725" s="150"/>
      <c r="K725" s="156"/>
      <c r="L725" s="156"/>
      <c r="M725" s="156"/>
      <c r="N725" s="156"/>
      <c r="O725" s="156"/>
    </row>
    <row r="726" spans="1:15" x14ac:dyDescent="0.25">
      <c r="A726" s="150" t="s">
        <v>1399</v>
      </c>
      <c r="B726" s="150" t="s">
        <v>1400</v>
      </c>
      <c r="C726" s="150"/>
      <c r="D726" s="150"/>
      <c r="E726" s="150"/>
      <c r="F726" s="150"/>
      <c r="G726" s="150"/>
      <c r="H726" s="150"/>
      <c r="I726" s="150"/>
      <c r="J726" s="150"/>
      <c r="K726" s="156"/>
      <c r="L726" s="156"/>
      <c r="M726" s="156"/>
      <c r="N726" s="156"/>
      <c r="O726" s="156"/>
    </row>
    <row r="727" spans="1:15" x14ac:dyDescent="0.25">
      <c r="A727" s="149" t="s">
        <v>1401</v>
      </c>
      <c r="B727" s="149" t="s">
        <v>1402</v>
      </c>
      <c r="C727" s="150"/>
      <c r="D727" s="150"/>
      <c r="E727" s="150"/>
      <c r="F727" s="150"/>
      <c r="G727" s="150"/>
      <c r="H727" s="150"/>
      <c r="I727" s="150"/>
      <c r="J727" s="150"/>
      <c r="K727" s="156"/>
      <c r="L727" s="156"/>
      <c r="M727" s="156"/>
      <c r="N727" s="156"/>
      <c r="O727" s="156"/>
    </row>
    <row r="728" spans="1:15" x14ac:dyDescent="0.25">
      <c r="A728" s="150" t="s">
        <v>1403</v>
      </c>
      <c r="B728" s="150" t="s">
        <v>1404</v>
      </c>
      <c r="C728" s="150"/>
      <c r="D728" s="150"/>
      <c r="E728" s="150"/>
      <c r="F728" s="150"/>
      <c r="G728" s="150"/>
      <c r="H728" s="150"/>
      <c r="I728" s="150"/>
      <c r="J728" s="150"/>
      <c r="K728" s="156"/>
      <c r="L728" s="156"/>
      <c r="M728" s="156"/>
      <c r="N728" s="156"/>
      <c r="O728" s="156"/>
    </row>
    <row r="729" spans="1:15" x14ac:dyDescent="0.25">
      <c r="A729" s="149" t="s">
        <v>1405</v>
      </c>
      <c r="B729" s="149" t="s">
        <v>1406</v>
      </c>
      <c r="C729" s="150"/>
      <c r="D729" s="150"/>
      <c r="E729" s="150"/>
      <c r="F729" s="150"/>
      <c r="G729" s="150"/>
      <c r="H729" s="150"/>
      <c r="I729" s="150"/>
      <c r="J729" s="150"/>
      <c r="K729" s="156"/>
      <c r="L729" s="156"/>
      <c r="M729" s="156"/>
      <c r="N729" s="156"/>
      <c r="O729" s="156"/>
    </row>
    <row r="730" spans="1:15" x14ac:dyDescent="0.25">
      <c r="A730" s="150" t="s">
        <v>1407</v>
      </c>
      <c r="B730" s="150" t="s">
        <v>1408</v>
      </c>
      <c r="C730" s="150"/>
      <c r="D730" s="150"/>
      <c r="E730" s="150"/>
      <c r="F730" s="150"/>
      <c r="G730" s="150"/>
      <c r="H730" s="150"/>
      <c r="I730" s="150"/>
      <c r="J730" s="150"/>
      <c r="K730" s="156"/>
      <c r="L730" s="156"/>
      <c r="M730" s="156"/>
      <c r="N730" s="156"/>
      <c r="O730" s="156"/>
    </row>
    <row r="731" spans="1:15" x14ac:dyDescent="0.25">
      <c r="A731" s="149" t="s">
        <v>1409</v>
      </c>
      <c r="B731" s="149" t="s">
        <v>1410</v>
      </c>
      <c r="C731" s="150"/>
      <c r="D731" s="150"/>
      <c r="E731" s="150"/>
      <c r="F731" s="150"/>
      <c r="G731" s="150"/>
      <c r="H731" s="150"/>
      <c r="I731" s="150"/>
      <c r="J731" s="150"/>
      <c r="K731" s="156"/>
      <c r="L731" s="156"/>
      <c r="M731" s="156"/>
      <c r="N731" s="156"/>
      <c r="O731" s="156"/>
    </row>
    <row r="732" spans="1:15" x14ac:dyDescent="0.25">
      <c r="A732" s="150" t="s">
        <v>1411</v>
      </c>
      <c r="B732" s="150" t="s">
        <v>1412</v>
      </c>
      <c r="C732" s="150"/>
      <c r="D732" s="150"/>
      <c r="E732" s="150"/>
      <c r="F732" s="150"/>
      <c r="G732" s="150"/>
      <c r="H732" s="150"/>
      <c r="I732" s="150"/>
      <c r="J732" s="150"/>
      <c r="K732" s="156"/>
      <c r="L732" s="156"/>
      <c r="M732" s="156"/>
      <c r="N732" s="156"/>
      <c r="O732" s="156"/>
    </row>
    <row r="733" spans="1:15" x14ac:dyDescent="0.25">
      <c r="A733" s="149" t="s">
        <v>1413</v>
      </c>
      <c r="B733" s="149" t="s">
        <v>1414</v>
      </c>
      <c r="C733" s="150"/>
      <c r="D733" s="150"/>
      <c r="E733" s="150"/>
      <c r="F733" s="150"/>
      <c r="G733" s="150"/>
      <c r="H733" s="150"/>
      <c r="I733" s="150"/>
      <c r="J733" s="150"/>
      <c r="K733" s="156"/>
      <c r="L733" s="156"/>
      <c r="M733" s="156"/>
      <c r="N733" s="156"/>
      <c r="O733" s="156"/>
    </row>
    <row r="734" spans="1:15" x14ac:dyDescent="0.25">
      <c r="A734" s="150" t="s">
        <v>1415</v>
      </c>
      <c r="B734" s="150" t="s">
        <v>1416</v>
      </c>
      <c r="C734" s="150"/>
      <c r="D734" s="150"/>
      <c r="E734" s="150"/>
      <c r="F734" s="150"/>
      <c r="G734" s="150"/>
      <c r="H734" s="150"/>
      <c r="I734" s="150"/>
      <c r="J734" s="150"/>
      <c r="K734" s="156"/>
      <c r="L734" s="156"/>
      <c r="M734" s="156"/>
      <c r="N734" s="156"/>
      <c r="O734" s="156"/>
    </row>
    <row r="735" spans="1:15" x14ac:dyDescent="0.25">
      <c r="A735" s="149" t="s">
        <v>1417</v>
      </c>
      <c r="B735" s="149" t="s">
        <v>1418</v>
      </c>
      <c r="C735" s="150"/>
      <c r="D735" s="150"/>
      <c r="E735" s="150"/>
      <c r="F735" s="150"/>
      <c r="G735" s="150"/>
      <c r="H735" s="150"/>
      <c r="I735" s="150"/>
      <c r="J735" s="150"/>
      <c r="K735" s="156"/>
      <c r="L735" s="156"/>
      <c r="M735" s="156"/>
      <c r="N735" s="156"/>
      <c r="O735" s="156"/>
    </row>
    <row r="736" spans="1:15" x14ac:dyDescent="0.25">
      <c r="A736" s="150" t="s">
        <v>1419</v>
      </c>
      <c r="B736" s="150" t="s">
        <v>1420</v>
      </c>
      <c r="C736" s="150"/>
      <c r="D736" s="150"/>
      <c r="E736" s="150"/>
      <c r="F736" s="150"/>
      <c r="G736" s="150"/>
      <c r="H736" s="150"/>
      <c r="I736" s="150"/>
      <c r="J736" s="150"/>
      <c r="K736" s="156"/>
      <c r="L736" s="156"/>
      <c r="M736" s="156"/>
      <c r="N736" s="156"/>
      <c r="O736" s="156"/>
    </row>
    <row r="737" spans="1:15" x14ac:dyDescent="0.25">
      <c r="A737" s="149" t="s">
        <v>1421</v>
      </c>
      <c r="B737" s="149" t="s">
        <v>1422</v>
      </c>
      <c r="C737" s="150"/>
      <c r="D737" s="150"/>
      <c r="E737" s="150"/>
      <c r="F737" s="150"/>
      <c r="G737" s="150"/>
      <c r="H737" s="150"/>
      <c r="I737" s="150"/>
      <c r="J737" s="150"/>
      <c r="K737" s="156"/>
      <c r="L737" s="156"/>
      <c r="M737" s="156"/>
      <c r="N737" s="156"/>
      <c r="O737" s="156"/>
    </row>
    <row r="738" spans="1:15" x14ac:dyDescent="0.25">
      <c r="A738" s="150" t="s">
        <v>1423</v>
      </c>
      <c r="B738" s="150" t="s">
        <v>1424</v>
      </c>
      <c r="C738" s="150"/>
      <c r="D738" s="150"/>
      <c r="E738" s="150"/>
      <c r="F738" s="150"/>
      <c r="G738" s="150"/>
      <c r="H738" s="150"/>
      <c r="I738" s="150"/>
      <c r="J738" s="150"/>
      <c r="K738" s="156"/>
      <c r="L738" s="156"/>
      <c r="M738" s="156"/>
      <c r="N738" s="156"/>
      <c r="O738" s="156"/>
    </row>
    <row r="739" spans="1:15" x14ac:dyDescent="0.25">
      <c r="A739" s="149" t="s">
        <v>1425</v>
      </c>
      <c r="B739" s="149" t="s">
        <v>1426</v>
      </c>
      <c r="C739" s="150"/>
      <c r="D739" s="150"/>
      <c r="E739" s="150"/>
      <c r="F739" s="150"/>
      <c r="G739" s="150"/>
      <c r="H739" s="150"/>
      <c r="I739" s="150"/>
      <c r="J739" s="150"/>
      <c r="K739" s="156"/>
      <c r="L739" s="156"/>
      <c r="M739" s="156"/>
      <c r="N739" s="156"/>
      <c r="O739" s="156"/>
    </row>
    <row r="740" spans="1:15" x14ac:dyDescent="0.25">
      <c r="A740" s="150" t="s">
        <v>1427</v>
      </c>
      <c r="B740" s="150" t="s">
        <v>1428</v>
      </c>
      <c r="C740" s="150"/>
      <c r="D740" s="150"/>
      <c r="E740" s="150"/>
      <c r="F740" s="150"/>
      <c r="G740" s="150"/>
      <c r="H740" s="150"/>
      <c r="I740" s="150"/>
      <c r="J740" s="150"/>
      <c r="K740" s="156"/>
      <c r="L740" s="156"/>
      <c r="M740" s="156"/>
      <c r="N740" s="156"/>
      <c r="O740" s="156"/>
    </row>
    <row r="741" spans="1:15" x14ac:dyDescent="0.25">
      <c r="A741" s="149" t="s">
        <v>1429</v>
      </c>
      <c r="B741" s="149" t="s">
        <v>1430</v>
      </c>
      <c r="C741" s="150"/>
      <c r="D741" s="150"/>
      <c r="E741" s="150"/>
      <c r="F741" s="150"/>
      <c r="G741" s="150"/>
      <c r="H741" s="150"/>
      <c r="I741" s="150"/>
      <c r="J741" s="150"/>
      <c r="K741" s="156"/>
      <c r="L741" s="156"/>
      <c r="M741" s="156"/>
      <c r="N741" s="156"/>
      <c r="O741" s="156"/>
    </row>
    <row r="742" spans="1:15" x14ac:dyDescent="0.25">
      <c r="A742" s="150" t="s">
        <v>1431</v>
      </c>
      <c r="B742" s="150" t="s">
        <v>1432</v>
      </c>
      <c r="C742" s="150"/>
      <c r="D742" s="150"/>
      <c r="E742" s="150"/>
      <c r="F742" s="150"/>
      <c r="G742" s="150"/>
      <c r="H742" s="150"/>
      <c r="I742" s="150"/>
      <c r="J742" s="150"/>
      <c r="K742" s="156"/>
      <c r="L742" s="156"/>
      <c r="M742" s="156"/>
      <c r="N742" s="156"/>
      <c r="O742" s="156"/>
    </row>
    <row r="743" spans="1:15" x14ac:dyDescent="0.25">
      <c r="A743" s="149" t="s">
        <v>1433</v>
      </c>
      <c r="B743" s="149" t="s">
        <v>1434</v>
      </c>
      <c r="C743" s="150"/>
      <c r="D743" s="150"/>
      <c r="E743" s="150"/>
      <c r="F743" s="150"/>
      <c r="G743" s="150"/>
      <c r="H743" s="150"/>
      <c r="I743" s="150"/>
      <c r="J743" s="150"/>
      <c r="K743" s="156"/>
      <c r="L743" s="156"/>
      <c r="M743" s="156"/>
      <c r="N743" s="156"/>
      <c r="O743" s="156"/>
    </row>
    <row r="744" spans="1:15" x14ac:dyDescent="0.25">
      <c r="A744" s="150" t="s">
        <v>1435</v>
      </c>
      <c r="B744" s="150" t="s">
        <v>1436</v>
      </c>
      <c r="C744" s="150"/>
      <c r="D744" s="150"/>
      <c r="E744" s="150"/>
      <c r="F744" s="150"/>
      <c r="G744" s="150"/>
      <c r="H744" s="150"/>
      <c r="I744" s="150"/>
      <c r="J744" s="150"/>
      <c r="K744" s="156"/>
      <c r="L744" s="156"/>
      <c r="M744" s="156"/>
      <c r="N744" s="156"/>
      <c r="O744" s="156"/>
    </row>
    <row r="745" spans="1:15" x14ac:dyDescent="0.25">
      <c r="A745" s="149" t="s">
        <v>1437</v>
      </c>
      <c r="B745" s="149" t="s">
        <v>1438</v>
      </c>
      <c r="C745" s="150"/>
      <c r="D745" s="150"/>
      <c r="E745" s="150"/>
      <c r="F745" s="150"/>
      <c r="G745" s="150"/>
      <c r="H745" s="150"/>
      <c r="I745" s="150"/>
      <c r="J745" s="150"/>
      <c r="K745" s="156"/>
      <c r="L745" s="156"/>
      <c r="M745" s="156"/>
      <c r="N745" s="156"/>
      <c r="O745" s="156"/>
    </row>
    <row r="746" spans="1:15" x14ac:dyDescent="0.25">
      <c r="A746" s="150" t="s">
        <v>1439</v>
      </c>
      <c r="B746" s="150" t="s">
        <v>1440</v>
      </c>
      <c r="C746" s="150"/>
      <c r="D746" s="150"/>
      <c r="E746" s="150"/>
      <c r="F746" s="150"/>
      <c r="G746" s="150"/>
      <c r="H746" s="150"/>
      <c r="I746" s="150"/>
      <c r="J746" s="150"/>
      <c r="K746" s="156"/>
      <c r="L746" s="156"/>
      <c r="M746" s="156"/>
      <c r="N746" s="156"/>
      <c r="O746" s="156"/>
    </row>
    <row r="747" spans="1:15" x14ac:dyDescent="0.25">
      <c r="A747" s="149" t="s">
        <v>1441</v>
      </c>
      <c r="B747" s="149" t="s">
        <v>1442</v>
      </c>
      <c r="C747" s="150"/>
      <c r="D747" s="150"/>
      <c r="E747" s="150"/>
      <c r="F747" s="150"/>
      <c r="G747" s="150"/>
      <c r="H747" s="150"/>
      <c r="I747" s="150"/>
      <c r="J747" s="150"/>
      <c r="K747" s="156"/>
      <c r="L747" s="156"/>
      <c r="M747" s="156"/>
      <c r="N747" s="156"/>
      <c r="O747" s="156"/>
    </row>
    <row r="748" spans="1:15" x14ac:dyDescent="0.25">
      <c r="A748" s="150" t="s">
        <v>1443</v>
      </c>
      <c r="B748" s="150" t="s">
        <v>1444</v>
      </c>
      <c r="C748" s="150"/>
      <c r="D748" s="150"/>
      <c r="E748" s="150"/>
      <c r="F748" s="150"/>
      <c r="G748" s="150"/>
      <c r="H748" s="150"/>
      <c r="I748" s="150"/>
      <c r="J748" s="150"/>
      <c r="K748" s="156"/>
      <c r="L748" s="156"/>
      <c r="M748" s="156"/>
      <c r="N748" s="156"/>
      <c r="O748" s="156"/>
    </row>
    <row r="749" spans="1:15" x14ac:dyDescent="0.25">
      <c r="A749" s="149" t="s">
        <v>1445</v>
      </c>
      <c r="B749" s="149" t="s">
        <v>8301</v>
      </c>
      <c r="C749" s="150"/>
      <c r="D749" s="150"/>
      <c r="E749" s="150"/>
      <c r="F749" s="150"/>
      <c r="G749" s="150"/>
      <c r="H749" s="150"/>
      <c r="I749" s="150"/>
      <c r="J749" s="150"/>
      <c r="K749" s="156"/>
      <c r="L749" s="156"/>
      <c r="M749" s="156"/>
      <c r="N749" s="156"/>
      <c r="O749" s="156"/>
    </row>
    <row r="750" spans="1:15" x14ac:dyDescent="0.25">
      <c r="A750" s="150" t="s">
        <v>1446</v>
      </c>
      <c r="B750" s="150" t="s">
        <v>1447</v>
      </c>
      <c r="C750" s="150"/>
      <c r="D750" s="150"/>
      <c r="E750" s="150"/>
      <c r="F750" s="150"/>
      <c r="G750" s="150"/>
      <c r="H750" s="150"/>
      <c r="I750" s="150"/>
      <c r="J750" s="150"/>
      <c r="K750" s="156"/>
      <c r="L750" s="156"/>
      <c r="M750" s="156"/>
      <c r="N750" s="156"/>
      <c r="O750" s="156"/>
    </row>
    <row r="751" spans="1:15" x14ac:dyDescent="0.25">
      <c r="A751" s="149" t="s">
        <v>1448</v>
      </c>
      <c r="B751" s="149" t="s">
        <v>1449</v>
      </c>
      <c r="C751" s="150"/>
      <c r="D751" s="150"/>
      <c r="E751" s="150"/>
      <c r="F751" s="150"/>
      <c r="G751" s="150"/>
      <c r="H751" s="150"/>
      <c r="I751" s="150"/>
      <c r="J751" s="150"/>
      <c r="K751" s="156"/>
      <c r="L751" s="156"/>
      <c r="M751" s="156"/>
      <c r="N751" s="156"/>
      <c r="O751" s="156"/>
    </row>
    <row r="752" spans="1:15" x14ac:dyDescent="0.25">
      <c r="A752" s="150" t="s">
        <v>1450</v>
      </c>
      <c r="B752" s="150" t="s">
        <v>1451</v>
      </c>
      <c r="C752" s="150"/>
      <c r="D752" s="150"/>
      <c r="E752" s="150"/>
      <c r="F752" s="150"/>
      <c r="G752" s="150"/>
      <c r="H752" s="150"/>
      <c r="I752" s="150"/>
      <c r="J752" s="150"/>
      <c r="K752" s="156"/>
      <c r="L752" s="156"/>
      <c r="M752" s="156"/>
      <c r="N752" s="156"/>
      <c r="O752" s="156"/>
    </row>
    <row r="753" spans="1:15" x14ac:dyDescent="0.25">
      <c r="A753" s="149" t="s">
        <v>1452</v>
      </c>
      <c r="B753" s="149" t="s">
        <v>1453</v>
      </c>
      <c r="C753" s="150"/>
      <c r="D753" s="150"/>
      <c r="E753" s="150"/>
      <c r="F753" s="150"/>
      <c r="G753" s="150"/>
      <c r="H753" s="150"/>
      <c r="I753" s="150"/>
      <c r="J753" s="150"/>
      <c r="K753" s="156"/>
      <c r="L753" s="156"/>
      <c r="M753" s="156"/>
      <c r="N753" s="156"/>
      <c r="O753" s="156"/>
    </row>
    <row r="754" spans="1:15" x14ac:dyDescent="0.25">
      <c r="A754" s="150" t="s">
        <v>1454</v>
      </c>
      <c r="B754" s="150" t="s">
        <v>1455</v>
      </c>
      <c r="C754" s="150"/>
      <c r="D754" s="150"/>
      <c r="E754" s="150"/>
      <c r="F754" s="150"/>
      <c r="G754" s="150"/>
      <c r="H754" s="150"/>
      <c r="I754" s="150"/>
      <c r="J754" s="150"/>
      <c r="K754" s="156"/>
      <c r="L754" s="156"/>
      <c r="M754" s="156"/>
      <c r="N754" s="156"/>
      <c r="O754" s="156"/>
    </row>
    <row r="755" spans="1:15" x14ac:dyDescent="0.25">
      <c r="A755" s="149" t="s">
        <v>1456</v>
      </c>
      <c r="B755" s="149" t="s">
        <v>1457</v>
      </c>
      <c r="C755" s="150"/>
      <c r="D755" s="150"/>
      <c r="E755" s="150"/>
      <c r="F755" s="150"/>
      <c r="G755" s="150"/>
      <c r="H755" s="150"/>
      <c r="I755" s="150"/>
      <c r="J755" s="150"/>
      <c r="K755" s="156"/>
      <c r="L755" s="156"/>
      <c r="M755" s="156"/>
      <c r="N755" s="156"/>
      <c r="O755" s="156"/>
    </row>
    <row r="756" spans="1:15" x14ac:dyDescent="0.25">
      <c r="A756" s="150" t="s">
        <v>1458</v>
      </c>
      <c r="B756" s="150" t="s">
        <v>1459</v>
      </c>
      <c r="C756" s="150"/>
      <c r="D756" s="150"/>
      <c r="E756" s="150"/>
      <c r="F756" s="150"/>
      <c r="G756" s="150"/>
      <c r="H756" s="150"/>
      <c r="I756" s="150"/>
      <c r="J756" s="150"/>
      <c r="K756" s="156"/>
      <c r="L756" s="156"/>
      <c r="M756" s="156"/>
      <c r="N756" s="156"/>
      <c r="O756" s="156"/>
    </row>
    <row r="757" spans="1:15" x14ac:dyDescent="0.25">
      <c r="A757" s="149" t="s">
        <v>1460</v>
      </c>
      <c r="B757" s="149" t="s">
        <v>1461</v>
      </c>
      <c r="C757" s="150"/>
      <c r="D757" s="150"/>
      <c r="E757" s="150"/>
      <c r="F757" s="150"/>
      <c r="G757" s="150"/>
      <c r="H757" s="150"/>
      <c r="I757" s="150"/>
      <c r="J757" s="150"/>
      <c r="K757" s="156"/>
      <c r="L757" s="156"/>
      <c r="M757" s="156"/>
      <c r="N757" s="156"/>
      <c r="O757" s="156"/>
    </row>
    <row r="758" spans="1:15" x14ac:dyDescent="0.25">
      <c r="A758" s="150" t="s">
        <v>1462</v>
      </c>
      <c r="B758" s="150" t="s">
        <v>1463</v>
      </c>
      <c r="C758" s="150"/>
      <c r="D758" s="150"/>
      <c r="E758" s="150"/>
      <c r="F758" s="150"/>
      <c r="G758" s="150"/>
      <c r="H758" s="150"/>
      <c r="I758" s="150"/>
      <c r="J758" s="150"/>
      <c r="K758" s="156"/>
      <c r="L758" s="156"/>
      <c r="M758" s="156"/>
      <c r="N758" s="156"/>
      <c r="O758" s="156"/>
    </row>
    <row r="759" spans="1:15" x14ac:dyDescent="0.25">
      <c r="A759" s="149" t="s">
        <v>1464</v>
      </c>
      <c r="B759" s="149" t="s">
        <v>1465</v>
      </c>
      <c r="C759" s="150"/>
      <c r="D759" s="150"/>
      <c r="E759" s="150"/>
      <c r="F759" s="150"/>
      <c r="G759" s="150"/>
      <c r="H759" s="150"/>
      <c r="I759" s="150"/>
      <c r="J759" s="150"/>
      <c r="K759" s="156"/>
      <c r="L759" s="156"/>
      <c r="M759" s="156"/>
      <c r="N759" s="156"/>
      <c r="O759" s="156"/>
    </row>
    <row r="760" spans="1:15" x14ac:dyDescent="0.25">
      <c r="A760" s="150" t="s">
        <v>1466</v>
      </c>
      <c r="B760" s="150" t="s">
        <v>1467</v>
      </c>
      <c r="C760" s="150"/>
      <c r="D760" s="150"/>
      <c r="E760" s="150"/>
      <c r="F760" s="150"/>
      <c r="G760" s="150"/>
      <c r="H760" s="150"/>
      <c r="I760" s="150"/>
      <c r="J760" s="150"/>
      <c r="K760" s="156"/>
      <c r="L760" s="156"/>
      <c r="M760" s="156"/>
      <c r="N760" s="156"/>
      <c r="O760" s="156"/>
    </row>
    <row r="761" spans="1:15" x14ac:dyDescent="0.25">
      <c r="A761" s="149" t="s">
        <v>1468</v>
      </c>
      <c r="B761" s="149" t="s">
        <v>1469</v>
      </c>
      <c r="C761" s="150"/>
      <c r="D761" s="150"/>
      <c r="E761" s="150"/>
      <c r="F761" s="150"/>
      <c r="G761" s="150"/>
      <c r="H761" s="150"/>
      <c r="I761" s="150"/>
      <c r="J761" s="150"/>
      <c r="K761" s="156"/>
      <c r="L761" s="156"/>
      <c r="M761" s="156"/>
      <c r="N761" s="156"/>
      <c r="O761" s="156"/>
    </row>
    <row r="762" spans="1:15" x14ac:dyDescent="0.25">
      <c r="A762" s="150" t="s">
        <v>1470</v>
      </c>
      <c r="B762" s="150" t="s">
        <v>1471</v>
      </c>
      <c r="C762" s="150"/>
      <c r="D762" s="150"/>
      <c r="E762" s="150"/>
      <c r="F762" s="150"/>
      <c r="G762" s="150"/>
      <c r="H762" s="150"/>
      <c r="I762" s="150"/>
      <c r="J762" s="150"/>
      <c r="K762" s="156"/>
      <c r="L762" s="156"/>
      <c r="M762" s="156"/>
      <c r="N762" s="156"/>
      <c r="O762" s="156"/>
    </row>
    <row r="763" spans="1:15" x14ac:dyDescent="0.25">
      <c r="A763" s="149" t="s">
        <v>5759</v>
      </c>
      <c r="B763" s="149" t="s">
        <v>8302</v>
      </c>
      <c r="C763" s="150"/>
      <c r="D763" s="150"/>
      <c r="E763" s="150"/>
      <c r="F763" s="150"/>
      <c r="G763" s="150"/>
      <c r="H763" s="150"/>
      <c r="I763" s="150"/>
      <c r="J763" s="150"/>
      <c r="K763" s="156"/>
      <c r="L763" s="156"/>
      <c r="M763" s="156"/>
      <c r="N763" s="156"/>
      <c r="O763" s="156"/>
    </row>
    <row r="764" spans="1:15" x14ac:dyDescent="0.25">
      <c r="A764" s="150" t="s">
        <v>5761</v>
      </c>
      <c r="B764" s="150" t="s">
        <v>8303</v>
      </c>
      <c r="C764" s="150"/>
      <c r="D764" s="150"/>
      <c r="E764" s="150"/>
      <c r="F764" s="150"/>
      <c r="G764" s="150"/>
      <c r="H764" s="150"/>
      <c r="I764" s="150"/>
      <c r="J764" s="150"/>
      <c r="K764" s="156"/>
      <c r="L764" s="156"/>
      <c r="M764" s="156"/>
      <c r="N764" s="156"/>
      <c r="O764" s="156"/>
    </row>
    <row r="765" spans="1:15" x14ac:dyDescent="0.25">
      <c r="A765" s="149" t="s">
        <v>1472</v>
      </c>
      <c r="B765" s="149" t="s">
        <v>1473</v>
      </c>
      <c r="C765" s="150"/>
      <c r="D765" s="150"/>
      <c r="E765" s="150"/>
      <c r="F765" s="150"/>
      <c r="G765" s="150"/>
      <c r="H765" s="150"/>
      <c r="I765" s="150"/>
      <c r="J765" s="150"/>
      <c r="K765" s="156"/>
      <c r="L765" s="156"/>
      <c r="M765" s="156"/>
      <c r="N765" s="156"/>
      <c r="O765" s="156"/>
    </row>
    <row r="766" spans="1:15" x14ac:dyDescent="0.25">
      <c r="A766" s="150" t="s">
        <v>1474</v>
      </c>
      <c r="B766" s="150" t="s">
        <v>1475</v>
      </c>
      <c r="C766" s="150"/>
      <c r="D766" s="150"/>
      <c r="E766" s="150"/>
      <c r="F766" s="150"/>
      <c r="G766" s="150"/>
      <c r="H766" s="150"/>
      <c r="I766" s="150"/>
      <c r="J766" s="150"/>
      <c r="K766" s="156"/>
      <c r="L766" s="156"/>
      <c r="M766" s="156"/>
      <c r="N766" s="156"/>
      <c r="O766" s="156"/>
    </row>
    <row r="767" spans="1:15" x14ac:dyDescent="0.25">
      <c r="A767" s="149" t="s">
        <v>1476</v>
      </c>
      <c r="B767" s="149" t="s">
        <v>1477</v>
      </c>
      <c r="C767" s="150"/>
      <c r="D767" s="150"/>
      <c r="E767" s="150"/>
      <c r="F767" s="150"/>
      <c r="G767" s="150"/>
      <c r="H767" s="150"/>
      <c r="I767" s="150"/>
      <c r="J767" s="150"/>
      <c r="K767" s="156"/>
      <c r="L767" s="156"/>
      <c r="M767" s="156"/>
      <c r="N767" s="156"/>
      <c r="O767" s="156"/>
    </row>
    <row r="768" spans="1:15" x14ac:dyDescent="0.25">
      <c r="A768" s="150" t="s">
        <v>1478</v>
      </c>
      <c r="B768" s="150" t="s">
        <v>1479</v>
      </c>
      <c r="C768" s="150"/>
      <c r="D768" s="150"/>
      <c r="E768" s="150"/>
      <c r="F768" s="150"/>
      <c r="G768" s="150"/>
      <c r="H768" s="150"/>
      <c r="I768" s="150"/>
      <c r="J768" s="150"/>
      <c r="K768" s="156"/>
      <c r="L768" s="156"/>
      <c r="M768" s="156"/>
      <c r="N768" s="156"/>
      <c r="O768" s="156"/>
    </row>
    <row r="769" spans="1:15" x14ac:dyDescent="0.25">
      <c r="A769" s="149" t="s">
        <v>1480</v>
      </c>
      <c r="B769" s="149" t="s">
        <v>1481</v>
      </c>
      <c r="C769" s="150"/>
      <c r="D769" s="150"/>
      <c r="E769" s="150"/>
      <c r="F769" s="150"/>
      <c r="G769" s="150"/>
      <c r="H769" s="150"/>
      <c r="I769" s="150"/>
      <c r="J769" s="150"/>
      <c r="K769" s="156"/>
      <c r="L769" s="156"/>
      <c r="M769" s="156"/>
      <c r="N769" s="156"/>
      <c r="O769" s="156"/>
    </row>
    <row r="770" spans="1:15" x14ac:dyDescent="0.25">
      <c r="A770" s="150" t="s">
        <v>1482</v>
      </c>
      <c r="B770" s="150" t="s">
        <v>1483</v>
      </c>
      <c r="C770" s="150"/>
      <c r="D770" s="150"/>
      <c r="E770" s="150"/>
      <c r="F770" s="150"/>
      <c r="G770" s="150"/>
      <c r="H770" s="150"/>
      <c r="I770" s="150"/>
      <c r="J770" s="150"/>
      <c r="K770" s="156"/>
      <c r="L770" s="156"/>
      <c r="M770" s="156"/>
      <c r="N770" s="156"/>
      <c r="O770" s="156"/>
    </row>
    <row r="771" spans="1:15" x14ac:dyDescent="0.25">
      <c r="A771" s="149" t="s">
        <v>1484</v>
      </c>
      <c r="B771" s="149" t="s">
        <v>1485</v>
      </c>
      <c r="C771" s="150"/>
      <c r="D771" s="150"/>
      <c r="E771" s="150"/>
      <c r="F771" s="150"/>
      <c r="G771" s="150"/>
      <c r="H771" s="150"/>
      <c r="I771" s="150"/>
      <c r="J771" s="150"/>
      <c r="K771" s="156"/>
      <c r="L771" s="156"/>
      <c r="M771" s="156"/>
      <c r="N771" s="156"/>
      <c r="O771" s="156"/>
    </row>
    <row r="772" spans="1:15" x14ac:dyDescent="0.25">
      <c r="A772" s="150" t="s">
        <v>1486</v>
      </c>
      <c r="B772" s="150" t="s">
        <v>8304</v>
      </c>
      <c r="C772" s="150"/>
      <c r="D772" s="150"/>
      <c r="E772" s="150"/>
      <c r="F772" s="150"/>
      <c r="G772" s="150"/>
      <c r="H772" s="150"/>
      <c r="I772" s="150"/>
      <c r="J772" s="150"/>
      <c r="K772" s="156"/>
      <c r="L772" s="156"/>
      <c r="M772" s="156"/>
      <c r="N772" s="156"/>
      <c r="O772" s="156"/>
    </row>
    <row r="773" spans="1:15" x14ac:dyDescent="0.25">
      <c r="A773" s="149" t="s">
        <v>1487</v>
      </c>
      <c r="B773" s="149" t="s">
        <v>1488</v>
      </c>
      <c r="C773" s="150"/>
      <c r="D773" s="150"/>
      <c r="E773" s="150"/>
      <c r="F773" s="150"/>
      <c r="G773" s="150"/>
      <c r="H773" s="150"/>
      <c r="I773" s="150"/>
      <c r="J773" s="150"/>
      <c r="K773" s="156"/>
      <c r="L773" s="156"/>
      <c r="M773" s="156"/>
      <c r="N773" s="156"/>
      <c r="O773" s="156"/>
    </row>
    <row r="774" spans="1:15" x14ac:dyDescent="0.25">
      <c r="A774" s="150" t="s">
        <v>1489</v>
      </c>
      <c r="B774" s="150" t="s">
        <v>1490</v>
      </c>
      <c r="C774" s="150"/>
      <c r="D774" s="150"/>
      <c r="E774" s="150"/>
      <c r="F774" s="150"/>
      <c r="G774" s="150"/>
      <c r="H774" s="150"/>
      <c r="I774" s="150"/>
      <c r="J774" s="150"/>
      <c r="K774" s="156"/>
      <c r="L774" s="156"/>
      <c r="M774" s="156"/>
      <c r="N774" s="156"/>
      <c r="O774" s="156"/>
    </row>
    <row r="775" spans="1:15" x14ac:dyDescent="0.25">
      <c r="A775" s="149" t="s">
        <v>1491</v>
      </c>
      <c r="B775" s="149" t="s">
        <v>1492</v>
      </c>
      <c r="C775" s="150"/>
      <c r="D775" s="150"/>
      <c r="E775" s="150"/>
      <c r="F775" s="150"/>
      <c r="G775" s="150"/>
      <c r="H775" s="150"/>
      <c r="I775" s="150"/>
      <c r="J775" s="150"/>
      <c r="K775" s="156"/>
      <c r="L775" s="156"/>
      <c r="M775" s="156"/>
      <c r="N775" s="156"/>
      <c r="O775" s="156"/>
    </row>
    <row r="776" spans="1:15" x14ac:dyDescent="0.25">
      <c r="A776" s="150" t="s">
        <v>1493</v>
      </c>
      <c r="B776" s="150" t="s">
        <v>1494</v>
      </c>
      <c r="C776" s="150"/>
      <c r="D776" s="150"/>
      <c r="E776" s="150"/>
      <c r="F776" s="150"/>
      <c r="G776" s="150"/>
      <c r="H776" s="150"/>
      <c r="I776" s="150"/>
      <c r="J776" s="150"/>
      <c r="K776" s="156"/>
      <c r="L776" s="156"/>
      <c r="M776" s="156"/>
      <c r="N776" s="156"/>
      <c r="O776" s="156"/>
    </row>
    <row r="777" spans="1:15" x14ac:dyDescent="0.25">
      <c r="A777" s="149" t="s">
        <v>1495</v>
      </c>
      <c r="B777" s="149" t="s">
        <v>1496</v>
      </c>
      <c r="C777" s="150"/>
      <c r="D777" s="150"/>
      <c r="E777" s="150"/>
      <c r="F777" s="150"/>
      <c r="G777" s="150"/>
      <c r="H777" s="150"/>
      <c r="I777" s="150"/>
      <c r="J777" s="150"/>
      <c r="K777" s="156"/>
      <c r="L777" s="156"/>
      <c r="M777" s="156"/>
      <c r="N777" s="156"/>
      <c r="O777" s="156"/>
    </row>
    <row r="778" spans="1:15" x14ac:dyDescent="0.25">
      <c r="A778" s="150" t="s">
        <v>1497</v>
      </c>
      <c r="B778" s="150" t="s">
        <v>1498</v>
      </c>
      <c r="C778" s="150"/>
      <c r="D778" s="150"/>
      <c r="E778" s="150"/>
      <c r="F778" s="150"/>
      <c r="G778" s="150"/>
      <c r="H778" s="150"/>
      <c r="I778" s="150"/>
      <c r="J778" s="150"/>
      <c r="K778" s="156"/>
      <c r="L778" s="156"/>
      <c r="M778" s="156"/>
      <c r="N778" s="156"/>
      <c r="O778" s="156"/>
    </row>
    <row r="779" spans="1:15" x14ac:dyDescent="0.25">
      <c r="A779" s="149" t="s">
        <v>1499</v>
      </c>
      <c r="B779" s="149" t="s">
        <v>1500</v>
      </c>
      <c r="C779" s="150"/>
      <c r="D779" s="150"/>
      <c r="E779" s="150"/>
      <c r="F779" s="150"/>
      <c r="G779" s="150"/>
      <c r="H779" s="150"/>
      <c r="I779" s="150"/>
      <c r="J779" s="150"/>
      <c r="K779" s="156"/>
      <c r="L779" s="156"/>
      <c r="M779" s="156"/>
      <c r="N779" s="156"/>
      <c r="O779" s="156"/>
    </row>
    <row r="780" spans="1:15" x14ac:dyDescent="0.25">
      <c r="A780" s="150" t="s">
        <v>1501</v>
      </c>
      <c r="B780" s="150" t="s">
        <v>1502</v>
      </c>
      <c r="C780" s="150"/>
      <c r="D780" s="150"/>
      <c r="E780" s="150"/>
      <c r="F780" s="150"/>
      <c r="G780" s="150"/>
      <c r="H780" s="150"/>
      <c r="I780" s="150"/>
      <c r="J780" s="150"/>
      <c r="K780" s="156"/>
      <c r="L780" s="156"/>
      <c r="M780" s="156"/>
      <c r="N780" s="156"/>
      <c r="O780" s="156"/>
    </row>
    <row r="781" spans="1:15" x14ac:dyDescent="0.25">
      <c r="A781" s="149" t="s">
        <v>1503</v>
      </c>
      <c r="B781" s="149" t="s">
        <v>1504</v>
      </c>
      <c r="C781" s="150"/>
      <c r="D781" s="150"/>
      <c r="E781" s="150"/>
      <c r="F781" s="150"/>
      <c r="G781" s="150"/>
      <c r="H781" s="150"/>
      <c r="I781" s="150"/>
      <c r="J781" s="150"/>
      <c r="K781" s="156"/>
      <c r="L781" s="156"/>
      <c r="M781" s="156"/>
      <c r="N781" s="156"/>
      <c r="O781" s="156"/>
    </row>
    <row r="782" spans="1:15" x14ac:dyDescent="0.25">
      <c r="A782" s="150" t="s">
        <v>1505</v>
      </c>
      <c r="B782" s="150" t="s">
        <v>1506</v>
      </c>
      <c r="C782" s="150"/>
      <c r="D782" s="150"/>
      <c r="E782" s="150"/>
      <c r="F782" s="150"/>
      <c r="G782" s="150"/>
      <c r="H782" s="150"/>
      <c r="I782" s="150"/>
      <c r="J782" s="150"/>
      <c r="K782" s="156"/>
      <c r="L782" s="156"/>
      <c r="M782" s="156"/>
      <c r="N782" s="156"/>
      <c r="O782" s="156"/>
    </row>
    <row r="783" spans="1:15" x14ac:dyDescent="0.25">
      <c r="A783" s="149" t="s">
        <v>1507</v>
      </c>
      <c r="B783" s="149" t="s">
        <v>1508</v>
      </c>
      <c r="C783" s="150"/>
      <c r="D783" s="150"/>
      <c r="E783" s="150"/>
      <c r="F783" s="150"/>
      <c r="G783" s="150"/>
      <c r="H783" s="150"/>
      <c r="I783" s="150"/>
      <c r="J783" s="150"/>
      <c r="K783" s="156"/>
      <c r="L783" s="156"/>
      <c r="M783" s="156"/>
      <c r="N783" s="156"/>
      <c r="O783" s="156"/>
    </row>
    <row r="784" spans="1:15" x14ac:dyDescent="0.25">
      <c r="A784" s="150" t="s">
        <v>1509</v>
      </c>
      <c r="B784" s="150" t="s">
        <v>1510</v>
      </c>
      <c r="C784" s="150"/>
      <c r="D784" s="150"/>
      <c r="E784" s="150"/>
      <c r="F784" s="150"/>
      <c r="G784" s="150"/>
      <c r="H784" s="150"/>
      <c r="I784" s="150"/>
      <c r="J784" s="150"/>
      <c r="K784" s="156"/>
      <c r="L784" s="156"/>
      <c r="M784" s="156"/>
      <c r="N784" s="156"/>
      <c r="O784" s="156"/>
    </row>
    <row r="785" spans="1:15" x14ac:dyDescent="0.25">
      <c r="A785" s="149" t="s">
        <v>1511</v>
      </c>
      <c r="B785" s="149" t="s">
        <v>8305</v>
      </c>
      <c r="C785" s="150"/>
      <c r="D785" s="150"/>
      <c r="E785" s="150"/>
      <c r="F785" s="150"/>
      <c r="G785" s="150"/>
      <c r="H785" s="150"/>
      <c r="I785" s="150"/>
      <c r="J785" s="150"/>
      <c r="K785" s="156"/>
      <c r="L785" s="156"/>
      <c r="M785" s="156"/>
      <c r="N785" s="156"/>
      <c r="O785" s="156"/>
    </row>
    <row r="786" spans="1:15" x14ac:dyDescent="0.25">
      <c r="A786" s="150" t="s">
        <v>1512</v>
      </c>
      <c r="B786" s="150" t="s">
        <v>8306</v>
      </c>
      <c r="C786" s="150"/>
      <c r="D786" s="150"/>
      <c r="E786" s="150"/>
      <c r="F786" s="150"/>
      <c r="G786" s="150"/>
      <c r="H786" s="150"/>
      <c r="I786" s="150"/>
      <c r="J786" s="150"/>
      <c r="K786" s="156"/>
      <c r="L786" s="156"/>
      <c r="M786" s="156"/>
      <c r="N786" s="156"/>
      <c r="O786" s="156"/>
    </row>
    <row r="787" spans="1:15" x14ac:dyDescent="0.25">
      <c r="A787" s="149" t="s">
        <v>1513</v>
      </c>
      <c r="B787" s="149" t="s">
        <v>1514</v>
      </c>
      <c r="C787" s="150"/>
      <c r="D787" s="150"/>
      <c r="E787" s="150"/>
      <c r="F787" s="150"/>
      <c r="G787" s="150"/>
      <c r="H787" s="150"/>
      <c r="I787" s="150"/>
      <c r="J787" s="150"/>
      <c r="K787" s="156"/>
      <c r="L787" s="156"/>
      <c r="M787" s="156"/>
      <c r="N787" s="156"/>
      <c r="O787" s="156"/>
    </row>
    <row r="788" spans="1:15" x14ac:dyDescent="0.25">
      <c r="A788" s="150" t="s">
        <v>1515</v>
      </c>
      <c r="B788" s="150" t="s">
        <v>8307</v>
      </c>
      <c r="C788" s="150"/>
      <c r="D788" s="150"/>
      <c r="E788" s="150"/>
      <c r="F788" s="150"/>
      <c r="G788" s="150"/>
      <c r="H788" s="150"/>
      <c r="I788" s="150"/>
      <c r="J788" s="150"/>
      <c r="K788" s="156"/>
      <c r="L788" s="156"/>
      <c r="M788" s="156"/>
      <c r="N788" s="156"/>
      <c r="O788" s="156"/>
    </row>
    <row r="789" spans="1:15" x14ac:dyDescent="0.25">
      <c r="A789" s="149" t="s">
        <v>1516</v>
      </c>
      <c r="B789" s="149" t="s">
        <v>8308</v>
      </c>
      <c r="C789" s="150"/>
      <c r="D789" s="150"/>
      <c r="E789" s="150"/>
      <c r="F789" s="150"/>
      <c r="G789" s="150"/>
      <c r="H789" s="150"/>
      <c r="I789" s="150"/>
      <c r="J789" s="150"/>
      <c r="K789" s="156"/>
      <c r="L789" s="156"/>
      <c r="M789" s="156"/>
      <c r="N789" s="156"/>
      <c r="O789" s="156"/>
    </row>
    <row r="790" spans="1:15" x14ac:dyDescent="0.25">
      <c r="A790" s="150" t="s">
        <v>1517</v>
      </c>
      <c r="B790" s="150" t="s">
        <v>8309</v>
      </c>
      <c r="C790" s="150"/>
      <c r="D790" s="150"/>
      <c r="E790" s="150"/>
      <c r="F790" s="150"/>
      <c r="G790" s="150"/>
      <c r="H790" s="150"/>
      <c r="I790" s="150"/>
      <c r="J790" s="150"/>
      <c r="K790" s="156"/>
      <c r="L790" s="156"/>
      <c r="M790" s="156"/>
      <c r="N790" s="156"/>
      <c r="O790" s="156"/>
    </row>
    <row r="791" spans="1:15" x14ac:dyDescent="0.25">
      <c r="A791" s="149" t="s">
        <v>1518</v>
      </c>
      <c r="B791" s="149" t="s">
        <v>8310</v>
      </c>
      <c r="C791" s="150"/>
      <c r="D791" s="150"/>
      <c r="E791" s="150"/>
      <c r="F791" s="150"/>
      <c r="G791" s="150"/>
      <c r="H791" s="150"/>
      <c r="I791" s="150"/>
      <c r="J791" s="150"/>
      <c r="K791" s="156"/>
      <c r="L791" s="156"/>
      <c r="M791" s="156"/>
      <c r="N791" s="156"/>
      <c r="O791" s="156"/>
    </row>
    <row r="792" spans="1:15" x14ac:dyDescent="0.25">
      <c r="A792" s="150" t="s">
        <v>1519</v>
      </c>
      <c r="B792" s="150" t="s">
        <v>8311</v>
      </c>
      <c r="C792" s="150"/>
      <c r="D792" s="150"/>
      <c r="E792" s="150"/>
      <c r="F792" s="150"/>
      <c r="G792" s="150"/>
      <c r="H792" s="150"/>
      <c r="I792" s="150"/>
      <c r="J792" s="150"/>
      <c r="K792" s="156"/>
      <c r="L792" s="156"/>
      <c r="M792" s="156"/>
      <c r="N792" s="156"/>
      <c r="O792" s="156"/>
    </row>
    <row r="793" spans="1:15" x14ac:dyDescent="0.25">
      <c r="A793" s="149" t="s">
        <v>1520</v>
      </c>
      <c r="B793" s="149" t="s">
        <v>8312</v>
      </c>
      <c r="C793" s="150"/>
      <c r="D793" s="150"/>
      <c r="E793" s="150"/>
      <c r="F793" s="150"/>
      <c r="G793" s="150"/>
      <c r="H793" s="150"/>
      <c r="I793" s="150"/>
      <c r="J793" s="150"/>
      <c r="K793" s="156"/>
      <c r="L793" s="156"/>
      <c r="M793" s="156"/>
      <c r="N793" s="156"/>
      <c r="O793" s="156"/>
    </row>
    <row r="794" spans="1:15" x14ac:dyDescent="0.25">
      <c r="A794" s="150" t="s">
        <v>5792</v>
      </c>
      <c r="B794" s="150" t="s">
        <v>829</v>
      </c>
      <c r="C794" s="150"/>
      <c r="D794" s="150"/>
      <c r="E794" s="150"/>
      <c r="F794" s="150"/>
      <c r="G794" s="150"/>
      <c r="H794" s="150"/>
      <c r="I794" s="150"/>
      <c r="J794" s="150"/>
      <c r="K794" s="156"/>
      <c r="L794" s="156"/>
      <c r="M794" s="156"/>
      <c r="N794" s="156"/>
      <c r="O794" s="156"/>
    </row>
    <row r="795" spans="1:15" x14ac:dyDescent="0.25">
      <c r="A795" s="149" t="s">
        <v>5794</v>
      </c>
      <c r="B795" s="149" t="s">
        <v>8313</v>
      </c>
      <c r="C795" s="150"/>
      <c r="D795" s="150"/>
      <c r="E795" s="150"/>
      <c r="F795" s="150"/>
      <c r="G795" s="150"/>
      <c r="H795" s="150"/>
      <c r="I795" s="150"/>
      <c r="J795" s="150"/>
      <c r="K795" s="156"/>
      <c r="L795" s="156"/>
      <c r="M795" s="156"/>
      <c r="N795" s="156"/>
      <c r="O795" s="156"/>
    </row>
    <row r="796" spans="1:15" x14ac:dyDescent="0.25">
      <c r="A796" s="150" t="s">
        <v>1521</v>
      </c>
      <c r="B796" s="150" t="s">
        <v>1522</v>
      </c>
      <c r="C796" s="150"/>
      <c r="D796" s="150"/>
      <c r="E796" s="150"/>
      <c r="F796" s="150"/>
      <c r="G796" s="150"/>
      <c r="H796" s="150"/>
      <c r="I796" s="150"/>
      <c r="J796" s="150"/>
      <c r="K796" s="156"/>
      <c r="L796" s="156"/>
      <c r="M796" s="156"/>
      <c r="N796" s="156"/>
      <c r="O796" s="156"/>
    </row>
    <row r="797" spans="1:15" x14ac:dyDescent="0.25">
      <c r="A797" s="149" t="s">
        <v>1523</v>
      </c>
      <c r="B797" s="149" t="s">
        <v>1524</v>
      </c>
      <c r="C797" s="150"/>
      <c r="D797" s="150"/>
      <c r="E797" s="150"/>
      <c r="F797" s="150"/>
      <c r="G797" s="150"/>
      <c r="H797" s="150"/>
      <c r="I797" s="150"/>
      <c r="J797" s="150"/>
      <c r="K797" s="156"/>
      <c r="L797" s="156"/>
      <c r="M797" s="156"/>
      <c r="N797" s="156"/>
      <c r="O797" s="156"/>
    </row>
    <row r="798" spans="1:15" x14ac:dyDescent="0.25">
      <c r="A798" s="150" t="s">
        <v>1525</v>
      </c>
      <c r="B798" s="150" t="s">
        <v>1526</v>
      </c>
      <c r="C798" s="150"/>
      <c r="D798" s="150"/>
      <c r="E798" s="150"/>
      <c r="F798" s="150"/>
      <c r="G798" s="150"/>
      <c r="H798" s="150"/>
      <c r="I798" s="150"/>
      <c r="J798" s="150"/>
      <c r="K798" s="156"/>
      <c r="L798" s="156"/>
      <c r="M798" s="156"/>
      <c r="N798" s="156"/>
      <c r="O798" s="156"/>
    </row>
    <row r="799" spans="1:15" x14ac:dyDescent="0.25">
      <c r="A799" s="149" t="s">
        <v>1527</v>
      </c>
      <c r="B799" s="149" t="s">
        <v>1528</v>
      </c>
      <c r="C799" s="150"/>
      <c r="D799" s="150"/>
      <c r="E799" s="150"/>
      <c r="F799" s="150"/>
      <c r="G799" s="150"/>
      <c r="H799" s="150"/>
      <c r="I799" s="150"/>
      <c r="J799" s="150"/>
      <c r="K799" s="156"/>
      <c r="L799" s="156"/>
      <c r="M799" s="156"/>
      <c r="N799" s="156"/>
      <c r="O799" s="156"/>
    </row>
    <row r="800" spans="1:15" x14ac:dyDescent="0.25">
      <c r="A800" s="150" t="s">
        <v>1529</v>
      </c>
      <c r="B800" s="150" t="s">
        <v>8314</v>
      </c>
      <c r="C800" s="150"/>
      <c r="D800" s="150"/>
      <c r="E800" s="150"/>
      <c r="F800" s="150"/>
      <c r="G800" s="150"/>
      <c r="H800" s="150"/>
      <c r="I800" s="150"/>
      <c r="J800" s="150"/>
      <c r="K800" s="156"/>
      <c r="L800" s="156"/>
      <c r="M800" s="156"/>
      <c r="N800" s="156"/>
      <c r="O800" s="156"/>
    </row>
    <row r="801" spans="1:15" x14ac:dyDescent="0.25">
      <c r="A801" s="149" t="s">
        <v>1530</v>
      </c>
      <c r="B801" s="149" t="s">
        <v>1531</v>
      </c>
      <c r="C801" s="150"/>
      <c r="D801" s="150"/>
      <c r="E801" s="150"/>
      <c r="F801" s="150"/>
      <c r="G801" s="150"/>
      <c r="H801" s="150"/>
      <c r="I801" s="150"/>
      <c r="J801" s="150"/>
      <c r="K801" s="156"/>
      <c r="L801" s="156"/>
      <c r="M801" s="156"/>
      <c r="N801" s="156"/>
      <c r="O801" s="156"/>
    </row>
    <row r="802" spans="1:15" x14ac:dyDescent="0.25">
      <c r="A802" s="150" t="s">
        <v>1532</v>
      </c>
      <c r="B802" s="150" t="s">
        <v>1533</v>
      </c>
      <c r="C802" s="150"/>
      <c r="D802" s="150"/>
      <c r="E802" s="150"/>
      <c r="F802" s="150"/>
      <c r="G802" s="150"/>
      <c r="H802" s="150"/>
      <c r="I802" s="150"/>
      <c r="J802" s="150"/>
      <c r="K802" s="156"/>
      <c r="L802" s="156"/>
      <c r="M802" s="156"/>
      <c r="N802" s="156"/>
      <c r="O802" s="156"/>
    </row>
    <row r="803" spans="1:15" x14ac:dyDescent="0.25">
      <c r="A803" s="149" t="s">
        <v>1534</v>
      </c>
      <c r="B803" s="149" t="s">
        <v>1535</v>
      </c>
      <c r="C803" s="150"/>
      <c r="D803" s="150"/>
      <c r="E803" s="150"/>
      <c r="F803" s="150"/>
      <c r="G803" s="150"/>
      <c r="H803" s="150"/>
      <c r="I803" s="150"/>
      <c r="J803" s="150"/>
      <c r="K803" s="156"/>
      <c r="L803" s="156"/>
      <c r="M803" s="156"/>
      <c r="N803" s="156"/>
      <c r="O803" s="156"/>
    </row>
    <row r="804" spans="1:15" x14ac:dyDescent="0.25">
      <c r="A804" s="150" t="s">
        <v>1536</v>
      </c>
      <c r="B804" s="150" t="s">
        <v>1537</v>
      </c>
      <c r="C804" s="150"/>
      <c r="D804" s="150"/>
      <c r="E804" s="150"/>
      <c r="F804" s="150"/>
      <c r="G804" s="150"/>
      <c r="H804" s="150"/>
      <c r="I804" s="150"/>
      <c r="J804" s="150"/>
      <c r="K804" s="156"/>
      <c r="L804" s="156"/>
      <c r="M804" s="156"/>
      <c r="N804" s="156"/>
      <c r="O804" s="156"/>
    </row>
    <row r="805" spans="1:15" x14ac:dyDescent="0.25">
      <c r="A805" s="149" t="s">
        <v>1538</v>
      </c>
      <c r="B805" s="149" t="s">
        <v>1539</v>
      </c>
      <c r="C805" s="150"/>
      <c r="D805" s="150"/>
      <c r="E805" s="150"/>
      <c r="F805" s="150"/>
      <c r="G805" s="150"/>
      <c r="H805" s="150"/>
      <c r="I805" s="150"/>
      <c r="J805" s="150"/>
      <c r="K805" s="156"/>
      <c r="L805" s="156"/>
      <c r="M805" s="156"/>
      <c r="N805" s="156"/>
      <c r="O805" s="156"/>
    </row>
    <row r="806" spans="1:15" x14ac:dyDescent="0.25">
      <c r="A806" s="150" t="s">
        <v>1540</v>
      </c>
      <c r="B806" s="150" t="s">
        <v>1541</v>
      </c>
      <c r="C806" s="150"/>
      <c r="D806" s="150"/>
      <c r="E806" s="150"/>
      <c r="F806" s="150"/>
      <c r="G806" s="150"/>
      <c r="H806" s="150"/>
      <c r="I806" s="150"/>
      <c r="J806" s="150"/>
      <c r="K806" s="156"/>
      <c r="L806" s="156"/>
      <c r="M806" s="156"/>
      <c r="N806" s="156"/>
      <c r="O806" s="156"/>
    </row>
    <row r="807" spans="1:15" x14ac:dyDescent="0.25">
      <c r="A807" s="149" t="s">
        <v>1542</v>
      </c>
      <c r="B807" s="149" t="s">
        <v>1543</v>
      </c>
      <c r="C807" s="150"/>
      <c r="D807" s="150"/>
      <c r="E807" s="150"/>
      <c r="F807" s="150"/>
      <c r="G807" s="150"/>
      <c r="H807" s="150"/>
      <c r="I807" s="150"/>
      <c r="J807" s="150"/>
      <c r="K807" s="156"/>
      <c r="L807" s="156"/>
      <c r="M807" s="156"/>
      <c r="N807" s="156"/>
      <c r="O807" s="156"/>
    </row>
    <row r="808" spans="1:15" x14ac:dyDescent="0.25">
      <c r="A808" s="150" t="s">
        <v>1544</v>
      </c>
      <c r="B808" s="150" t="s">
        <v>1545</v>
      </c>
      <c r="C808" s="150"/>
      <c r="D808" s="150"/>
      <c r="E808" s="150"/>
      <c r="F808" s="150"/>
      <c r="G808" s="150"/>
      <c r="H808" s="150"/>
      <c r="I808" s="150"/>
      <c r="J808" s="150"/>
      <c r="K808" s="156"/>
      <c r="L808" s="156"/>
      <c r="M808" s="156"/>
      <c r="N808" s="156"/>
      <c r="O808" s="156"/>
    </row>
    <row r="809" spans="1:15" x14ac:dyDescent="0.25">
      <c r="A809" s="149" t="s">
        <v>1546</v>
      </c>
      <c r="B809" s="149" t="s">
        <v>1547</v>
      </c>
      <c r="C809" s="150"/>
      <c r="D809" s="150"/>
      <c r="E809" s="150"/>
      <c r="F809" s="150"/>
      <c r="G809" s="150"/>
      <c r="H809" s="150"/>
      <c r="I809" s="150"/>
      <c r="J809" s="150"/>
      <c r="K809" s="156"/>
      <c r="L809" s="156"/>
      <c r="M809" s="156"/>
      <c r="N809" s="156"/>
      <c r="O809" s="156"/>
    </row>
    <row r="810" spans="1:15" x14ac:dyDescent="0.25">
      <c r="A810" s="150" t="s">
        <v>1548</v>
      </c>
      <c r="B810" s="150" t="s">
        <v>1549</v>
      </c>
      <c r="C810" s="150"/>
      <c r="D810" s="150"/>
      <c r="E810" s="150"/>
      <c r="F810" s="150"/>
      <c r="G810" s="150"/>
      <c r="H810" s="150"/>
      <c r="I810" s="150"/>
      <c r="J810" s="150"/>
      <c r="K810" s="156"/>
      <c r="L810" s="156"/>
      <c r="M810" s="156"/>
      <c r="N810" s="156"/>
      <c r="O810" s="156"/>
    </row>
    <row r="811" spans="1:15" x14ac:dyDescent="0.25">
      <c r="A811" s="149" t="s">
        <v>1550</v>
      </c>
      <c r="B811" s="149" t="s">
        <v>1551</v>
      </c>
      <c r="C811" s="150"/>
      <c r="D811" s="150"/>
      <c r="E811" s="150"/>
      <c r="F811" s="150"/>
      <c r="G811" s="150"/>
      <c r="H811" s="150"/>
      <c r="I811" s="150"/>
      <c r="J811" s="150"/>
      <c r="K811" s="156"/>
      <c r="L811" s="156"/>
      <c r="M811" s="156"/>
      <c r="N811" s="156"/>
      <c r="O811" s="156"/>
    </row>
    <row r="812" spans="1:15" x14ac:dyDescent="0.25">
      <c r="A812" s="150" t="s">
        <v>1552</v>
      </c>
      <c r="B812" s="150" t="s">
        <v>1553</v>
      </c>
      <c r="C812" s="150"/>
      <c r="D812" s="150"/>
      <c r="E812" s="150"/>
      <c r="F812" s="150"/>
      <c r="G812" s="150"/>
      <c r="H812" s="150"/>
      <c r="I812" s="150"/>
      <c r="J812" s="150"/>
      <c r="K812" s="156"/>
      <c r="L812" s="156"/>
      <c r="M812" s="156"/>
      <c r="N812" s="156"/>
      <c r="O812" s="156"/>
    </row>
    <row r="813" spans="1:15" x14ac:dyDescent="0.25">
      <c r="A813" s="149" t="s">
        <v>1554</v>
      </c>
      <c r="B813" s="149" t="s">
        <v>1555</v>
      </c>
      <c r="C813" s="150"/>
      <c r="D813" s="150"/>
      <c r="E813" s="150"/>
      <c r="F813" s="150"/>
      <c r="G813" s="150"/>
      <c r="H813" s="150"/>
      <c r="I813" s="150"/>
      <c r="J813" s="150"/>
      <c r="K813" s="156"/>
      <c r="L813" s="156"/>
      <c r="M813" s="156"/>
      <c r="N813" s="156"/>
      <c r="O813" s="156"/>
    </row>
    <row r="814" spans="1:15" x14ac:dyDescent="0.25">
      <c r="A814" s="150" t="s">
        <v>1556</v>
      </c>
      <c r="B814" s="150" t="s">
        <v>1557</v>
      </c>
      <c r="C814" s="150"/>
      <c r="D814" s="150"/>
      <c r="E814" s="150"/>
      <c r="F814" s="150"/>
      <c r="G814" s="150"/>
      <c r="H814" s="150"/>
      <c r="I814" s="150"/>
      <c r="J814" s="150"/>
      <c r="K814" s="156"/>
      <c r="L814" s="156"/>
      <c r="M814" s="156"/>
      <c r="N814" s="156"/>
      <c r="O814" s="156"/>
    </row>
    <row r="815" spans="1:15" x14ac:dyDescent="0.25">
      <c r="A815" s="149" t="s">
        <v>1558</v>
      </c>
      <c r="B815" s="149" t="s">
        <v>1559</v>
      </c>
      <c r="C815" s="150"/>
      <c r="D815" s="150"/>
      <c r="E815" s="150"/>
      <c r="F815" s="150"/>
      <c r="G815" s="150"/>
      <c r="H815" s="150"/>
      <c r="I815" s="150"/>
      <c r="J815" s="150"/>
      <c r="K815" s="156"/>
      <c r="L815" s="156"/>
      <c r="M815" s="156"/>
      <c r="N815" s="156"/>
      <c r="O815" s="156"/>
    </row>
    <row r="816" spans="1:15" x14ac:dyDescent="0.25">
      <c r="A816" s="150" t="s">
        <v>1560</v>
      </c>
      <c r="B816" s="150" t="s">
        <v>1561</v>
      </c>
      <c r="C816" s="150"/>
      <c r="D816" s="150"/>
      <c r="E816" s="150"/>
      <c r="F816" s="150"/>
      <c r="G816" s="150"/>
      <c r="H816" s="150"/>
      <c r="I816" s="150"/>
      <c r="J816" s="150"/>
      <c r="K816" s="156"/>
      <c r="L816" s="156"/>
      <c r="M816" s="156"/>
      <c r="N816" s="156"/>
      <c r="O816" s="156"/>
    </row>
    <row r="817" spans="1:15" x14ac:dyDescent="0.25">
      <c r="A817" s="149" t="s">
        <v>1562</v>
      </c>
      <c r="B817" s="149" t="s">
        <v>1563</v>
      </c>
      <c r="C817" s="150"/>
      <c r="D817" s="150"/>
      <c r="E817" s="150"/>
      <c r="F817" s="150"/>
      <c r="G817" s="150"/>
      <c r="H817" s="150"/>
      <c r="I817" s="150"/>
      <c r="J817" s="150"/>
      <c r="K817" s="156"/>
      <c r="L817" s="156"/>
      <c r="M817" s="156"/>
      <c r="N817" s="156"/>
      <c r="O817" s="156"/>
    </row>
    <row r="818" spans="1:15" x14ac:dyDescent="0.25">
      <c r="A818" s="150" t="s">
        <v>1564</v>
      </c>
      <c r="B818" s="150" t="s">
        <v>1565</v>
      </c>
      <c r="C818" s="150"/>
      <c r="D818" s="150"/>
      <c r="E818" s="150"/>
      <c r="F818" s="150"/>
      <c r="G818" s="150"/>
      <c r="H818" s="150"/>
      <c r="I818" s="150"/>
      <c r="J818" s="150"/>
      <c r="K818" s="156"/>
      <c r="L818" s="156"/>
      <c r="M818" s="156"/>
      <c r="N818" s="156"/>
      <c r="O818" s="156"/>
    </row>
    <row r="819" spans="1:15" x14ac:dyDescent="0.25">
      <c r="A819" s="149" t="s">
        <v>1566</v>
      </c>
      <c r="B819" s="149" t="s">
        <v>8315</v>
      </c>
      <c r="C819" s="150"/>
      <c r="D819" s="150"/>
      <c r="E819" s="150"/>
      <c r="F819" s="150"/>
      <c r="G819" s="150"/>
      <c r="H819" s="150"/>
      <c r="I819" s="150"/>
      <c r="J819" s="150"/>
      <c r="K819" s="156"/>
      <c r="L819" s="156"/>
      <c r="M819" s="156"/>
      <c r="N819" s="156"/>
      <c r="O819" s="156"/>
    </row>
    <row r="820" spans="1:15" x14ac:dyDescent="0.25">
      <c r="A820" s="150" t="s">
        <v>1567</v>
      </c>
      <c r="B820" s="150" t="s">
        <v>1568</v>
      </c>
      <c r="C820" s="150"/>
      <c r="D820" s="150"/>
      <c r="E820" s="150"/>
      <c r="F820" s="150"/>
      <c r="G820" s="150"/>
      <c r="H820" s="150"/>
      <c r="I820" s="150"/>
      <c r="J820" s="150"/>
      <c r="K820" s="156"/>
      <c r="L820" s="156"/>
      <c r="M820" s="156"/>
      <c r="N820" s="156"/>
      <c r="O820" s="156"/>
    </row>
    <row r="821" spans="1:15" x14ac:dyDescent="0.25">
      <c r="A821" s="149" t="s">
        <v>1569</v>
      </c>
      <c r="B821" s="149" t="s">
        <v>1570</v>
      </c>
      <c r="C821" s="150"/>
      <c r="D821" s="150"/>
      <c r="E821" s="150"/>
      <c r="F821" s="150"/>
      <c r="G821" s="150"/>
      <c r="H821" s="150"/>
      <c r="I821" s="150"/>
      <c r="J821" s="150"/>
      <c r="K821" s="156"/>
      <c r="L821" s="156"/>
      <c r="M821" s="156"/>
      <c r="N821" s="156"/>
      <c r="O821" s="156"/>
    </row>
    <row r="822" spans="1:15" x14ac:dyDescent="0.25">
      <c r="A822" s="150" t="s">
        <v>1571</v>
      </c>
      <c r="B822" s="150" t="s">
        <v>1572</v>
      </c>
      <c r="C822" s="150"/>
      <c r="D822" s="150"/>
      <c r="E822" s="150"/>
      <c r="F822" s="150"/>
      <c r="G822" s="150"/>
      <c r="H822" s="150"/>
      <c r="I822" s="150"/>
      <c r="J822" s="150"/>
      <c r="K822" s="156"/>
      <c r="L822" s="156"/>
      <c r="M822" s="156"/>
      <c r="N822" s="156"/>
      <c r="O822" s="156"/>
    </row>
    <row r="823" spans="1:15" x14ac:dyDescent="0.25">
      <c r="A823" s="149" t="s">
        <v>1573</v>
      </c>
      <c r="B823" s="149" t="s">
        <v>1574</v>
      </c>
      <c r="C823" s="150"/>
      <c r="D823" s="150"/>
      <c r="E823" s="150"/>
      <c r="F823" s="150"/>
      <c r="G823" s="150"/>
      <c r="H823" s="150"/>
      <c r="I823" s="150"/>
      <c r="J823" s="150"/>
      <c r="K823" s="156"/>
      <c r="L823" s="156"/>
      <c r="M823" s="156"/>
      <c r="N823" s="156"/>
      <c r="O823" s="156"/>
    </row>
    <row r="824" spans="1:15" x14ac:dyDescent="0.25">
      <c r="A824" s="150" t="s">
        <v>1575</v>
      </c>
      <c r="B824" s="150" t="s">
        <v>8316</v>
      </c>
      <c r="C824" s="150"/>
      <c r="D824" s="150"/>
      <c r="E824" s="150"/>
      <c r="F824" s="150"/>
      <c r="G824" s="150"/>
      <c r="H824" s="150"/>
      <c r="I824" s="150"/>
      <c r="J824" s="150"/>
      <c r="K824" s="156"/>
      <c r="L824" s="156"/>
      <c r="M824" s="156"/>
      <c r="N824" s="156"/>
      <c r="O824" s="156"/>
    </row>
    <row r="825" spans="1:15" x14ac:dyDescent="0.25">
      <c r="A825" s="149" t="s">
        <v>1576</v>
      </c>
      <c r="B825" s="149" t="s">
        <v>1577</v>
      </c>
      <c r="C825" s="150"/>
      <c r="D825" s="150"/>
      <c r="E825" s="150"/>
      <c r="F825" s="150"/>
      <c r="G825" s="150"/>
      <c r="H825" s="150"/>
      <c r="I825" s="150"/>
      <c r="J825" s="150"/>
      <c r="K825" s="156"/>
      <c r="L825" s="156"/>
      <c r="M825" s="156"/>
      <c r="N825" s="156"/>
      <c r="O825" s="156"/>
    </row>
    <row r="826" spans="1:15" x14ac:dyDescent="0.25">
      <c r="A826" s="150" t="s">
        <v>1578</v>
      </c>
      <c r="B826" s="150" t="s">
        <v>1579</v>
      </c>
      <c r="C826" s="150"/>
      <c r="D826" s="150"/>
      <c r="E826" s="150"/>
      <c r="F826" s="150"/>
      <c r="G826" s="150"/>
      <c r="H826" s="150"/>
      <c r="I826" s="150"/>
      <c r="J826" s="150"/>
      <c r="K826" s="156"/>
      <c r="L826" s="156"/>
      <c r="M826" s="156"/>
      <c r="N826" s="156"/>
      <c r="O826" s="156"/>
    </row>
    <row r="827" spans="1:15" x14ac:dyDescent="0.25">
      <c r="A827" s="149" t="s">
        <v>1580</v>
      </c>
      <c r="B827" s="149" t="s">
        <v>1581</v>
      </c>
      <c r="C827" s="150"/>
      <c r="D827" s="150"/>
      <c r="E827" s="150"/>
      <c r="F827" s="150"/>
      <c r="G827" s="150"/>
      <c r="H827" s="150"/>
      <c r="I827" s="150"/>
      <c r="J827" s="150"/>
      <c r="K827" s="156"/>
      <c r="L827" s="156"/>
      <c r="M827" s="156"/>
      <c r="N827" s="156"/>
      <c r="O827" s="156"/>
    </row>
    <row r="828" spans="1:15" x14ac:dyDescent="0.25">
      <c r="A828" s="150" t="s">
        <v>1582</v>
      </c>
      <c r="B828" s="150" t="s">
        <v>8317</v>
      </c>
      <c r="C828" s="150"/>
      <c r="D828" s="150"/>
      <c r="E828" s="150"/>
      <c r="F828" s="150"/>
      <c r="G828" s="150"/>
      <c r="H828" s="150"/>
      <c r="I828" s="150"/>
      <c r="J828" s="150"/>
      <c r="K828" s="156"/>
      <c r="L828" s="156"/>
      <c r="M828" s="156"/>
      <c r="N828" s="156"/>
      <c r="O828" s="156"/>
    </row>
    <row r="829" spans="1:15" x14ac:dyDescent="0.25">
      <c r="A829" s="149" t="s">
        <v>1583</v>
      </c>
      <c r="B829" s="149" t="s">
        <v>8318</v>
      </c>
      <c r="C829" s="150"/>
      <c r="D829" s="150"/>
      <c r="E829" s="150"/>
      <c r="F829" s="150"/>
      <c r="G829" s="150"/>
      <c r="H829" s="150"/>
      <c r="I829" s="150"/>
      <c r="J829" s="150"/>
      <c r="K829" s="156"/>
      <c r="L829" s="156"/>
      <c r="M829" s="156"/>
      <c r="N829" s="156"/>
      <c r="O829" s="156"/>
    </row>
    <row r="830" spans="1:15" x14ac:dyDescent="0.25">
      <c r="A830" s="150" t="s">
        <v>1584</v>
      </c>
      <c r="B830" s="150" t="s">
        <v>8319</v>
      </c>
      <c r="C830" s="150"/>
      <c r="D830" s="150"/>
      <c r="E830" s="150"/>
      <c r="F830" s="150"/>
      <c r="G830" s="150"/>
      <c r="H830" s="150"/>
      <c r="I830" s="150"/>
      <c r="J830" s="150"/>
      <c r="K830" s="156"/>
      <c r="L830" s="156"/>
      <c r="M830" s="156"/>
      <c r="N830" s="156"/>
      <c r="O830" s="156"/>
    </row>
    <row r="831" spans="1:15" x14ac:dyDescent="0.25">
      <c r="A831" s="149" t="s">
        <v>1585</v>
      </c>
      <c r="B831" s="149" t="s">
        <v>1586</v>
      </c>
      <c r="C831" s="150"/>
      <c r="D831" s="150"/>
      <c r="E831" s="150"/>
      <c r="F831" s="150"/>
      <c r="G831" s="150"/>
      <c r="H831" s="150"/>
      <c r="I831" s="150"/>
      <c r="J831" s="150"/>
      <c r="K831" s="156"/>
      <c r="L831" s="156"/>
      <c r="M831" s="156"/>
      <c r="N831" s="156"/>
      <c r="O831" s="156"/>
    </row>
    <row r="832" spans="1:15" x14ac:dyDescent="0.25">
      <c r="A832" s="150" t="s">
        <v>1587</v>
      </c>
      <c r="B832" s="150" t="s">
        <v>1588</v>
      </c>
      <c r="C832" s="150"/>
      <c r="D832" s="150"/>
      <c r="E832" s="150"/>
      <c r="F832" s="150"/>
      <c r="G832" s="150"/>
      <c r="H832" s="150"/>
      <c r="I832" s="150"/>
      <c r="J832" s="150"/>
      <c r="K832" s="156"/>
      <c r="L832" s="156"/>
      <c r="M832" s="156"/>
      <c r="N832" s="156"/>
      <c r="O832" s="156"/>
    </row>
    <row r="833" spans="1:15" x14ac:dyDescent="0.25">
      <c r="A833" s="149" t="s">
        <v>8320</v>
      </c>
      <c r="B833" s="149" t="s">
        <v>8321</v>
      </c>
      <c r="C833" s="150"/>
      <c r="D833" s="150"/>
      <c r="E833" s="150"/>
      <c r="F833" s="150"/>
      <c r="G833" s="150"/>
      <c r="H833" s="150"/>
      <c r="I833" s="150"/>
      <c r="J833" s="150"/>
      <c r="K833" s="156"/>
      <c r="L833" s="156"/>
      <c r="M833" s="156"/>
      <c r="N833" s="156"/>
      <c r="O833" s="156"/>
    </row>
    <row r="834" spans="1:15" x14ac:dyDescent="0.25">
      <c r="A834" s="150" t="s">
        <v>1589</v>
      </c>
      <c r="B834" s="150" t="s">
        <v>1590</v>
      </c>
      <c r="C834" s="150"/>
      <c r="D834" s="150"/>
      <c r="E834" s="150"/>
      <c r="F834" s="150"/>
      <c r="G834" s="150"/>
      <c r="H834" s="150"/>
      <c r="I834" s="150"/>
      <c r="J834" s="150"/>
      <c r="K834" s="156"/>
      <c r="L834" s="156"/>
      <c r="M834" s="156"/>
      <c r="N834" s="156"/>
      <c r="O834" s="156"/>
    </row>
    <row r="835" spans="1:15" x14ac:dyDescent="0.25">
      <c r="A835" s="149" t="s">
        <v>1591</v>
      </c>
      <c r="B835" s="149" t="s">
        <v>1592</v>
      </c>
      <c r="C835" s="150"/>
      <c r="D835" s="150"/>
      <c r="E835" s="150"/>
      <c r="F835" s="150"/>
      <c r="G835" s="150"/>
      <c r="H835" s="150"/>
      <c r="I835" s="150"/>
      <c r="J835" s="150"/>
      <c r="K835" s="156"/>
      <c r="L835" s="156"/>
      <c r="M835" s="156"/>
      <c r="N835" s="156"/>
      <c r="O835" s="156"/>
    </row>
    <row r="836" spans="1:15" x14ac:dyDescent="0.25">
      <c r="A836" s="150" t="s">
        <v>1593</v>
      </c>
      <c r="B836" s="150" t="s">
        <v>1594</v>
      </c>
      <c r="C836" s="150"/>
      <c r="D836" s="150"/>
      <c r="E836" s="150"/>
      <c r="F836" s="150"/>
      <c r="G836" s="150"/>
      <c r="H836" s="150"/>
      <c r="I836" s="150"/>
      <c r="J836" s="150"/>
      <c r="K836" s="156"/>
      <c r="L836" s="156"/>
      <c r="M836" s="156"/>
      <c r="N836" s="156"/>
      <c r="O836" s="156"/>
    </row>
    <row r="837" spans="1:15" x14ac:dyDescent="0.25">
      <c r="A837" s="149" t="s">
        <v>1595</v>
      </c>
      <c r="B837" s="149" t="s">
        <v>1596</v>
      </c>
      <c r="C837" s="150"/>
      <c r="D837" s="150"/>
      <c r="E837" s="150"/>
      <c r="F837" s="150"/>
      <c r="G837" s="150"/>
      <c r="H837" s="150"/>
      <c r="I837" s="150"/>
      <c r="J837" s="150"/>
      <c r="K837" s="156"/>
      <c r="L837" s="156"/>
      <c r="M837" s="156"/>
      <c r="N837" s="156"/>
      <c r="O837" s="156"/>
    </row>
    <row r="838" spans="1:15" x14ac:dyDescent="0.25">
      <c r="A838" s="150" t="s">
        <v>1597</v>
      </c>
      <c r="B838" s="150" t="s">
        <v>1598</v>
      </c>
      <c r="C838" s="150"/>
      <c r="D838" s="150"/>
      <c r="E838" s="150"/>
      <c r="F838" s="150"/>
      <c r="G838" s="150"/>
      <c r="H838" s="150"/>
      <c r="I838" s="150"/>
      <c r="J838" s="150"/>
      <c r="K838" s="156"/>
      <c r="L838" s="156"/>
      <c r="M838" s="156"/>
      <c r="N838" s="156"/>
      <c r="O838" s="156"/>
    </row>
    <row r="839" spans="1:15" x14ac:dyDescent="0.25">
      <c r="A839" s="149" t="s">
        <v>1599</v>
      </c>
      <c r="B839" s="149" t="s">
        <v>1600</v>
      </c>
      <c r="C839" s="150"/>
      <c r="D839" s="150"/>
      <c r="E839" s="150"/>
      <c r="F839" s="150"/>
      <c r="G839" s="150"/>
      <c r="H839" s="150"/>
      <c r="I839" s="150"/>
      <c r="J839" s="150"/>
      <c r="K839" s="156"/>
      <c r="L839" s="156"/>
      <c r="M839" s="156"/>
      <c r="N839" s="156"/>
      <c r="O839" s="156"/>
    </row>
    <row r="840" spans="1:15" x14ac:dyDescent="0.25">
      <c r="A840" s="150" t="s">
        <v>1601</v>
      </c>
      <c r="B840" s="150" t="s">
        <v>1602</v>
      </c>
      <c r="C840" s="150"/>
      <c r="D840" s="150"/>
      <c r="E840" s="150"/>
      <c r="F840" s="150"/>
      <c r="G840" s="150"/>
      <c r="H840" s="150"/>
      <c r="I840" s="150"/>
      <c r="J840" s="150"/>
      <c r="K840" s="156"/>
      <c r="L840" s="156"/>
      <c r="M840" s="156"/>
      <c r="N840" s="156"/>
      <c r="O840" s="156"/>
    </row>
    <row r="841" spans="1:15" x14ac:dyDescent="0.25">
      <c r="A841" s="149" t="s">
        <v>1603</v>
      </c>
      <c r="B841" s="149" t="s">
        <v>1604</v>
      </c>
      <c r="C841" s="150"/>
      <c r="D841" s="150"/>
      <c r="E841" s="150"/>
      <c r="F841" s="150"/>
      <c r="G841" s="150"/>
      <c r="H841" s="150"/>
      <c r="I841" s="150"/>
      <c r="J841" s="150"/>
      <c r="K841" s="156"/>
      <c r="L841" s="156"/>
      <c r="M841" s="156"/>
      <c r="N841" s="156"/>
      <c r="O841" s="156"/>
    </row>
    <row r="842" spans="1:15" x14ac:dyDescent="0.25">
      <c r="A842" s="150" t="s">
        <v>1605</v>
      </c>
      <c r="B842" s="150" t="s">
        <v>1606</v>
      </c>
      <c r="C842" s="150"/>
      <c r="D842" s="150"/>
      <c r="E842" s="150"/>
      <c r="F842" s="150"/>
      <c r="G842" s="150"/>
      <c r="H842" s="150"/>
      <c r="I842" s="150"/>
      <c r="J842" s="150"/>
      <c r="K842" s="156"/>
      <c r="L842" s="156"/>
      <c r="M842" s="156"/>
      <c r="N842" s="156"/>
      <c r="O842" s="156"/>
    </row>
    <row r="843" spans="1:15" x14ac:dyDescent="0.25">
      <c r="A843" s="149" t="s">
        <v>1607</v>
      </c>
      <c r="B843" s="149" t="s">
        <v>8322</v>
      </c>
      <c r="C843" s="150"/>
      <c r="D843" s="150"/>
      <c r="E843" s="150"/>
      <c r="F843" s="150"/>
      <c r="G843" s="150"/>
      <c r="H843" s="150"/>
      <c r="I843" s="150"/>
      <c r="J843" s="150"/>
      <c r="K843" s="156"/>
      <c r="L843" s="156"/>
      <c r="M843" s="156"/>
      <c r="N843" s="156"/>
      <c r="O843" s="156"/>
    </row>
    <row r="844" spans="1:15" x14ac:dyDescent="0.25">
      <c r="A844" s="150" t="s">
        <v>1608</v>
      </c>
      <c r="B844" s="150" t="s">
        <v>1609</v>
      </c>
      <c r="C844" s="150"/>
      <c r="D844" s="150"/>
      <c r="E844" s="150"/>
      <c r="F844" s="150"/>
      <c r="G844" s="150"/>
      <c r="H844" s="150"/>
      <c r="I844" s="150"/>
      <c r="J844" s="150"/>
      <c r="K844" s="156"/>
      <c r="L844" s="156"/>
      <c r="M844" s="156"/>
      <c r="N844" s="156"/>
      <c r="O844" s="156"/>
    </row>
    <row r="845" spans="1:15" x14ac:dyDescent="0.25">
      <c r="A845" s="149" t="s">
        <v>1610</v>
      </c>
      <c r="B845" s="149" t="s">
        <v>8323</v>
      </c>
      <c r="C845" s="150"/>
      <c r="D845" s="150"/>
      <c r="E845" s="150"/>
      <c r="F845" s="150"/>
      <c r="G845" s="150"/>
      <c r="H845" s="150"/>
      <c r="I845" s="150"/>
      <c r="J845" s="150"/>
      <c r="K845" s="156"/>
      <c r="L845" s="156"/>
      <c r="M845" s="156"/>
      <c r="N845" s="156"/>
      <c r="O845" s="156"/>
    </row>
    <row r="846" spans="1:15" x14ac:dyDescent="0.25">
      <c r="A846" s="150" t="s">
        <v>1611</v>
      </c>
      <c r="B846" s="150" t="s">
        <v>8324</v>
      </c>
      <c r="C846" s="150"/>
      <c r="D846" s="150"/>
      <c r="E846" s="150"/>
      <c r="F846" s="150"/>
      <c r="G846" s="150"/>
      <c r="H846" s="150"/>
      <c r="I846" s="150"/>
      <c r="J846" s="150"/>
      <c r="K846" s="156"/>
      <c r="L846" s="156"/>
      <c r="M846" s="156"/>
      <c r="N846" s="156"/>
      <c r="O846" s="156"/>
    </row>
    <row r="847" spans="1:15" x14ac:dyDescent="0.25">
      <c r="A847" s="149" t="s">
        <v>1612</v>
      </c>
      <c r="B847" s="149" t="s">
        <v>1613</v>
      </c>
      <c r="C847" s="150"/>
      <c r="D847" s="150"/>
      <c r="E847" s="150"/>
      <c r="F847" s="150"/>
      <c r="G847" s="150"/>
      <c r="H847" s="150"/>
      <c r="I847" s="150"/>
      <c r="J847" s="150"/>
      <c r="K847" s="156"/>
      <c r="L847" s="156"/>
      <c r="M847" s="156"/>
      <c r="N847" s="156"/>
      <c r="O847" s="156"/>
    </row>
    <row r="848" spans="1:15" x14ac:dyDescent="0.25">
      <c r="A848" s="150" t="s">
        <v>1614</v>
      </c>
      <c r="B848" s="150" t="s">
        <v>8325</v>
      </c>
      <c r="C848" s="150"/>
      <c r="D848" s="150"/>
      <c r="E848" s="150"/>
      <c r="F848" s="150"/>
      <c r="G848" s="150"/>
      <c r="H848" s="150"/>
      <c r="I848" s="150"/>
      <c r="J848" s="150"/>
      <c r="K848" s="156"/>
      <c r="L848" s="156"/>
      <c r="M848" s="156"/>
      <c r="N848" s="156"/>
      <c r="O848" s="156"/>
    </row>
    <row r="849" spans="1:15" x14ac:dyDescent="0.25">
      <c r="A849" s="149" t="s">
        <v>1615</v>
      </c>
      <c r="B849" s="149" t="s">
        <v>1616</v>
      </c>
      <c r="C849" s="150"/>
      <c r="D849" s="150"/>
      <c r="E849" s="150"/>
      <c r="F849" s="150"/>
      <c r="G849" s="150"/>
      <c r="H849" s="150"/>
      <c r="I849" s="150"/>
      <c r="J849" s="150"/>
      <c r="K849" s="156"/>
      <c r="L849" s="156"/>
      <c r="M849" s="156"/>
      <c r="N849" s="156"/>
      <c r="O849" s="156"/>
    </row>
    <row r="850" spans="1:15" x14ac:dyDescent="0.25">
      <c r="A850" s="150" t="s">
        <v>1617</v>
      </c>
      <c r="B850" s="150" t="s">
        <v>1618</v>
      </c>
      <c r="C850" s="150"/>
      <c r="D850" s="150"/>
      <c r="E850" s="150"/>
      <c r="F850" s="150"/>
      <c r="G850" s="150"/>
      <c r="H850" s="150"/>
      <c r="I850" s="150"/>
      <c r="J850" s="150"/>
      <c r="K850" s="156"/>
      <c r="L850" s="156"/>
      <c r="M850" s="156"/>
      <c r="N850" s="156"/>
      <c r="O850" s="156"/>
    </row>
    <row r="851" spans="1:15" x14ac:dyDescent="0.25">
      <c r="A851" s="149" t="s">
        <v>1619</v>
      </c>
      <c r="B851" s="149" t="s">
        <v>8326</v>
      </c>
      <c r="C851" s="150"/>
      <c r="D851" s="150"/>
      <c r="E851" s="150"/>
      <c r="F851" s="150"/>
      <c r="G851" s="150"/>
      <c r="H851" s="150"/>
      <c r="I851" s="150"/>
      <c r="J851" s="150"/>
      <c r="K851" s="156"/>
      <c r="L851" s="156"/>
      <c r="M851" s="156"/>
      <c r="N851" s="156"/>
      <c r="O851" s="156"/>
    </row>
    <row r="852" spans="1:15" x14ac:dyDescent="0.25">
      <c r="A852" s="150" t="s">
        <v>1620</v>
      </c>
      <c r="B852" s="150" t="s">
        <v>1621</v>
      </c>
      <c r="C852" s="150"/>
      <c r="D852" s="150"/>
      <c r="E852" s="150"/>
      <c r="F852" s="150"/>
      <c r="G852" s="150"/>
      <c r="H852" s="150"/>
      <c r="I852" s="150"/>
      <c r="J852" s="150"/>
      <c r="K852" s="156"/>
      <c r="L852" s="156"/>
      <c r="M852" s="156"/>
      <c r="N852" s="156"/>
      <c r="O852" s="156"/>
    </row>
    <row r="853" spans="1:15" x14ac:dyDescent="0.25">
      <c r="A853" s="149" t="s">
        <v>1622</v>
      </c>
      <c r="B853" s="149" t="s">
        <v>8327</v>
      </c>
      <c r="C853" s="150"/>
      <c r="D853" s="150"/>
      <c r="E853" s="150"/>
      <c r="F853" s="150"/>
      <c r="G853" s="150"/>
      <c r="H853" s="150"/>
      <c r="I853" s="150"/>
      <c r="J853" s="150"/>
      <c r="K853" s="156"/>
      <c r="L853" s="156"/>
      <c r="M853" s="156"/>
      <c r="N853" s="156"/>
      <c r="O853" s="156"/>
    </row>
    <row r="854" spans="1:15" x14ac:dyDescent="0.25">
      <c r="A854" s="150" t="s">
        <v>1623</v>
      </c>
      <c r="B854" s="150" t="s">
        <v>1624</v>
      </c>
      <c r="C854" s="150"/>
      <c r="D854" s="150"/>
      <c r="E854" s="150"/>
      <c r="F854" s="150"/>
      <c r="G854" s="150"/>
      <c r="H854" s="150"/>
      <c r="I854" s="150"/>
      <c r="J854" s="150"/>
      <c r="K854" s="156"/>
      <c r="L854" s="156"/>
      <c r="M854" s="156"/>
      <c r="N854" s="156"/>
      <c r="O854" s="156"/>
    </row>
    <row r="855" spans="1:15" x14ac:dyDescent="0.25">
      <c r="A855" s="149" t="s">
        <v>1625</v>
      </c>
      <c r="B855" s="149" t="s">
        <v>1626</v>
      </c>
      <c r="C855" s="150"/>
      <c r="D855" s="150"/>
      <c r="E855" s="150"/>
      <c r="F855" s="150"/>
      <c r="G855" s="150"/>
      <c r="H855" s="150"/>
      <c r="I855" s="150"/>
      <c r="J855" s="150"/>
      <c r="K855" s="156"/>
      <c r="L855" s="156"/>
      <c r="M855" s="156"/>
      <c r="N855" s="156"/>
      <c r="O855" s="156"/>
    </row>
    <row r="856" spans="1:15" x14ac:dyDescent="0.25">
      <c r="A856" s="150" t="s">
        <v>1627</v>
      </c>
      <c r="B856" s="150" t="s">
        <v>1628</v>
      </c>
      <c r="C856" s="150"/>
      <c r="D856" s="150"/>
      <c r="E856" s="150"/>
      <c r="F856" s="150"/>
      <c r="G856" s="150"/>
      <c r="H856" s="150"/>
      <c r="I856" s="150"/>
      <c r="J856" s="150"/>
      <c r="K856" s="156"/>
      <c r="L856" s="156"/>
      <c r="M856" s="156"/>
      <c r="N856" s="156"/>
      <c r="O856" s="156"/>
    </row>
    <row r="857" spans="1:15" x14ac:dyDescent="0.25">
      <c r="A857" s="149" t="s">
        <v>1629</v>
      </c>
      <c r="B857" s="149" t="s">
        <v>1630</v>
      </c>
      <c r="C857" s="150"/>
      <c r="D857" s="150"/>
      <c r="E857" s="150"/>
      <c r="F857" s="150"/>
      <c r="G857" s="150"/>
      <c r="H857" s="150"/>
      <c r="I857" s="150"/>
      <c r="J857" s="150"/>
      <c r="K857" s="156"/>
      <c r="L857" s="156"/>
      <c r="M857" s="156"/>
      <c r="N857" s="156"/>
      <c r="O857" s="156"/>
    </row>
    <row r="858" spans="1:15" x14ac:dyDescent="0.25">
      <c r="A858" s="150" t="s">
        <v>1631</v>
      </c>
      <c r="B858" s="150" t="s">
        <v>1632</v>
      </c>
      <c r="C858" s="150"/>
      <c r="D858" s="150"/>
      <c r="E858" s="150"/>
      <c r="F858" s="150"/>
      <c r="G858" s="150"/>
      <c r="H858" s="150"/>
      <c r="I858" s="150"/>
      <c r="J858" s="150"/>
      <c r="K858" s="156"/>
      <c r="L858" s="156"/>
      <c r="M858" s="156"/>
      <c r="N858" s="156"/>
      <c r="O858" s="156"/>
    </row>
    <row r="859" spans="1:15" x14ac:dyDescent="0.25">
      <c r="A859" s="149" t="s">
        <v>1633</v>
      </c>
      <c r="B859" s="149" t="s">
        <v>1634</v>
      </c>
      <c r="C859" s="150"/>
      <c r="D859" s="150"/>
      <c r="E859" s="150"/>
      <c r="F859" s="150"/>
      <c r="G859" s="150"/>
      <c r="H859" s="150"/>
      <c r="I859" s="150"/>
      <c r="J859" s="150"/>
      <c r="K859" s="156"/>
      <c r="L859" s="156"/>
      <c r="M859" s="156"/>
      <c r="N859" s="156"/>
      <c r="O859" s="156"/>
    </row>
    <row r="860" spans="1:15" x14ac:dyDescent="0.25">
      <c r="A860" s="150" t="s">
        <v>1635</v>
      </c>
      <c r="B860" s="150" t="s">
        <v>1636</v>
      </c>
      <c r="C860" s="150"/>
      <c r="D860" s="150"/>
      <c r="E860" s="150"/>
      <c r="F860" s="150"/>
      <c r="G860" s="150"/>
      <c r="H860" s="150"/>
      <c r="I860" s="150"/>
      <c r="J860" s="150"/>
      <c r="K860" s="156"/>
      <c r="L860" s="156"/>
      <c r="M860" s="156"/>
      <c r="N860" s="156"/>
      <c r="O860" s="156"/>
    </row>
    <row r="861" spans="1:15" x14ac:dyDescent="0.25">
      <c r="A861" s="149" t="s">
        <v>1637</v>
      </c>
      <c r="B861" s="149" t="s">
        <v>1638</v>
      </c>
      <c r="C861" s="150"/>
      <c r="D861" s="150"/>
      <c r="E861" s="150"/>
      <c r="F861" s="150"/>
      <c r="G861" s="150"/>
      <c r="H861" s="150"/>
      <c r="I861" s="150"/>
      <c r="J861" s="150"/>
      <c r="K861" s="156"/>
      <c r="L861" s="156"/>
      <c r="M861" s="156"/>
      <c r="N861" s="156"/>
      <c r="O861" s="156"/>
    </row>
    <row r="862" spans="1:15" x14ac:dyDescent="0.25">
      <c r="A862" s="150" t="s">
        <v>1639</v>
      </c>
      <c r="B862" s="150" t="s">
        <v>1640</v>
      </c>
      <c r="C862" s="150"/>
      <c r="D862" s="150"/>
      <c r="E862" s="150"/>
      <c r="F862" s="150"/>
      <c r="G862" s="150"/>
      <c r="H862" s="150"/>
      <c r="I862" s="150"/>
      <c r="J862" s="150"/>
      <c r="K862" s="156"/>
      <c r="L862" s="156"/>
      <c r="M862" s="156"/>
      <c r="N862" s="156"/>
      <c r="O862" s="156"/>
    </row>
    <row r="863" spans="1:15" x14ac:dyDescent="0.25">
      <c r="A863" s="149" t="s">
        <v>1641</v>
      </c>
      <c r="B863" s="149" t="s">
        <v>1642</v>
      </c>
      <c r="C863" s="150"/>
      <c r="D863" s="150"/>
      <c r="E863" s="150"/>
      <c r="F863" s="150"/>
      <c r="G863" s="150"/>
      <c r="H863" s="150"/>
      <c r="I863" s="150"/>
      <c r="J863" s="150"/>
      <c r="K863" s="156"/>
      <c r="L863" s="156"/>
      <c r="M863" s="156"/>
      <c r="N863" s="156"/>
      <c r="O863" s="156"/>
    </row>
    <row r="864" spans="1:15" x14ac:dyDescent="0.25">
      <c r="A864" s="150" t="s">
        <v>1643</v>
      </c>
      <c r="B864" s="150" t="s">
        <v>1644</v>
      </c>
      <c r="C864" s="150"/>
      <c r="D864" s="150"/>
      <c r="E864" s="150"/>
      <c r="F864" s="150"/>
      <c r="G864" s="150"/>
      <c r="H864" s="150"/>
      <c r="I864" s="150"/>
      <c r="J864" s="150"/>
      <c r="K864" s="156"/>
      <c r="L864" s="156"/>
      <c r="M864" s="156"/>
      <c r="N864" s="156"/>
      <c r="O864" s="156"/>
    </row>
    <row r="865" spans="1:15" x14ac:dyDescent="0.25">
      <c r="A865" s="149" t="s">
        <v>1645</v>
      </c>
      <c r="B865" s="149" t="s">
        <v>1646</v>
      </c>
      <c r="C865" s="150"/>
      <c r="D865" s="150"/>
      <c r="E865" s="150"/>
      <c r="F865" s="150"/>
      <c r="G865" s="150"/>
      <c r="H865" s="150"/>
      <c r="I865" s="150"/>
      <c r="J865" s="150"/>
      <c r="K865" s="156"/>
      <c r="L865" s="156"/>
      <c r="M865" s="156"/>
      <c r="N865" s="156"/>
      <c r="O865" s="156"/>
    </row>
    <row r="866" spans="1:15" x14ac:dyDescent="0.25">
      <c r="A866" s="150" t="s">
        <v>1647</v>
      </c>
      <c r="B866" s="150" t="s">
        <v>1648</v>
      </c>
      <c r="C866" s="150"/>
      <c r="D866" s="150"/>
      <c r="E866" s="150"/>
      <c r="F866" s="150"/>
      <c r="G866" s="150"/>
      <c r="H866" s="150"/>
      <c r="I866" s="150"/>
      <c r="J866" s="150"/>
      <c r="K866" s="156"/>
      <c r="L866" s="156"/>
      <c r="M866" s="156"/>
      <c r="N866" s="156"/>
      <c r="O866" s="156"/>
    </row>
    <row r="867" spans="1:15" x14ac:dyDescent="0.25">
      <c r="A867" s="149" t="s">
        <v>1649</v>
      </c>
      <c r="B867" s="149" t="s">
        <v>1650</v>
      </c>
      <c r="C867" s="150"/>
      <c r="D867" s="150"/>
      <c r="E867" s="150"/>
      <c r="F867" s="150"/>
      <c r="G867" s="150"/>
      <c r="H867" s="150"/>
      <c r="I867" s="150"/>
      <c r="J867" s="150"/>
      <c r="K867" s="156"/>
      <c r="L867" s="156"/>
      <c r="M867" s="156"/>
      <c r="N867" s="156"/>
      <c r="O867" s="156"/>
    </row>
    <row r="868" spans="1:15" x14ac:dyDescent="0.25">
      <c r="A868" s="150" t="s">
        <v>1651</v>
      </c>
      <c r="B868" s="150" t="s">
        <v>1652</v>
      </c>
      <c r="C868" s="150"/>
      <c r="D868" s="150"/>
      <c r="E868" s="150"/>
      <c r="F868" s="150"/>
      <c r="G868" s="150"/>
      <c r="H868" s="150"/>
      <c r="I868" s="150"/>
      <c r="J868" s="150"/>
      <c r="K868" s="156"/>
      <c r="L868" s="156"/>
      <c r="M868" s="156"/>
      <c r="N868" s="156"/>
      <c r="O868" s="156"/>
    </row>
    <row r="869" spans="1:15" x14ac:dyDescent="0.25">
      <c r="A869" s="149" t="s">
        <v>1653</v>
      </c>
      <c r="B869" s="149" t="s">
        <v>1654</v>
      </c>
      <c r="C869" s="150"/>
      <c r="D869" s="150"/>
      <c r="E869" s="150"/>
      <c r="F869" s="150"/>
      <c r="G869" s="150"/>
      <c r="H869" s="150"/>
      <c r="I869" s="150"/>
      <c r="J869" s="150"/>
      <c r="K869" s="156"/>
      <c r="L869" s="156"/>
      <c r="M869" s="156"/>
      <c r="N869" s="156"/>
      <c r="O869" s="156"/>
    </row>
    <row r="870" spans="1:15" x14ac:dyDescent="0.25">
      <c r="A870" s="150" t="s">
        <v>1655</v>
      </c>
      <c r="B870" s="150" t="s">
        <v>1656</v>
      </c>
      <c r="C870" s="150"/>
      <c r="D870" s="150"/>
      <c r="E870" s="150"/>
      <c r="F870" s="150"/>
      <c r="G870" s="150"/>
      <c r="H870" s="150"/>
      <c r="I870" s="150"/>
      <c r="J870" s="150"/>
      <c r="K870" s="156"/>
      <c r="L870" s="156"/>
      <c r="M870" s="156"/>
      <c r="N870" s="156"/>
      <c r="O870" s="156"/>
    </row>
    <row r="871" spans="1:15" x14ac:dyDescent="0.25">
      <c r="A871" s="149" t="s">
        <v>1657</v>
      </c>
      <c r="B871" s="149" t="s">
        <v>1658</v>
      </c>
      <c r="C871" s="150"/>
      <c r="D871" s="150"/>
      <c r="E871" s="150"/>
      <c r="F871" s="150"/>
      <c r="G871" s="150"/>
      <c r="H871" s="150"/>
      <c r="I871" s="150"/>
      <c r="J871" s="150"/>
      <c r="K871" s="156"/>
      <c r="L871" s="156"/>
      <c r="M871" s="156"/>
      <c r="N871" s="156"/>
      <c r="O871" s="156"/>
    </row>
    <row r="872" spans="1:15" x14ac:dyDescent="0.25">
      <c r="A872" s="150" t="s">
        <v>1659</v>
      </c>
      <c r="B872" s="150" t="s">
        <v>1660</v>
      </c>
      <c r="C872" s="150"/>
      <c r="D872" s="150"/>
      <c r="E872" s="150"/>
      <c r="F872" s="150"/>
      <c r="G872" s="150"/>
      <c r="H872" s="150"/>
      <c r="I872" s="150"/>
      <c r="J872" s="150"/>
      <c r="K872" s="156"/>
      <c r="L872" s="156"/>
      <c r="M872" s="156"/>
      <c r="N872" s="156"/>
      <c r="O872" s="156"/>
    </row>
    <row r="873" spans="1:15" x14ac:dyDescent="0.25">
      <c r="A873" s="149" t="s">
        <v>1661</v>
      </c>
      <c r="B873" s="149" t="s">
        <v>1662</v>
      </c>
      <c r="C873" s="150"/>
      <c r="D873" s="150"/>
      <c r="E873" s="150"/>
      <c r="F873" s="150"/>
      <c r="G873" s="150"/>
      <c r="H873" s="150"/>
      <c r="I873" s="150"/>
      <c r="J873" s="150"/>
      <c r="K873" s="156"/>
      <c r="L873" s="156"/>
      <c r="M873" s="156"/>
      <c r="N873" s="156"/>
      <c r="O873" s="156"/>
    </row>
    <row r="874" spans="1:15" x14ac:dyDescent="0.25">
      <c r="A874" s="150" t="s">
        <v>1663</v>
      </c>
      <c r="B874" s="150" t="s">
        <v>1664</v>
      </c>
      <c r="C874" s="150"/>
      <c r="D874" s="150"/>
      <c r="E874" s="150"/>
      <c r="F874" s="150"/>
      <c r="G874" s="150"/>
      <c r="H874" s="150"/>
      <c r="I874" s="150"/>
      <c r="J874" s="150"/>
      <c r="K874" s="156"/>
      <c r="L874" s="156"/>
      <c r="M874" s="156"/>
      <c r="N874" s="156"/>
      <c r="O874" s="156"/>
    </row>
    <row r="875" spans="1:15" x14ac:dyDescent="0.25">
      <c r="A875" s="149" t="s">
        <v>1665</v>
      </c>
      <c r="B875" s="149" t="s">
        <v>1666</v>
      </c>
      <c r="C875" s="150"/>
      <c r="D875" s="150"/>
      <c r="E875" s="150"/>
      <c r="F875" s="150"/>
      <c r="G875" s="150"/>
      <c r="H875" s="150"/>
      <c r="I875" s="150"/>
      <c r="J875" s="150"/>
      <c r="K875" s="156"/>
      <c r="L875" s="156"/>
      <c r="M875" s="156"/>
      <c r="N875" s="156"/>
      <c r="O875" s="156"/>
    </row>
    <row r="876" spans="1:15" x14ac:dyDescent="0.25">
      <c r="A876" s="150" t="s">
        <v>1667</v>
      </c>
      <c r="B876" s="150" t="s">
        <v>1668</v>
      </c>
      <c r="C876" s="150"/>
      <c r="D876" s="150"/>
      <c r="E876" s="150"/>
      <c r="F876" s="150"/>
      <c r="G876" s="150"/>
      <c r="H876" s="150"/>
      <c r="I876" s="150"/>
      <c r="J876" s="150"/>
      <c r="K876" s="156"/>
      <c r="L876" s="156"/>
      <c r="M876" s="156"/>
      <c r="N876" s="156"/>
      <c r="O876" s="156"/>
    </row>
    <row r="877" spans="1:15" x14ac:dyDescent="0.25">
      <c r="A877" s="149" t="s">
        <v>1669</v>
      </c>
      <c r="B877" s="149" t="s">
        <v>1670</v>
      </c>
      <c r="C877" s="150"/>
      <c r="D877" s="150"/>
      <c r="E877" s="150"/>
      <c r="F877" s="150"/>
      <c r="G877" s="150"/>
      <c r="H877" s="150"/>
      <c r="I877" s="150"/>
      <c r="J877" s="150"/>
      <c r="K877" s="156"/>
      <c r="L877" s="156"/>
      <c r="M877" s="156"/>
      <c r="N877" s="156"/>
      <c r="O877" s="156"/>
    </row>
    <row r="878" spans="1:15" x14ac:dyDescent="0.25">
      <c r="A878" s="150" t="s">
        <v>1671</v>
      </c>
      <c r="B878" s="150" t="s">
        <v>1672</v>
      </c>
      <c r="C878" s="150"/>
      <c r="D878" s="150"/>
      <c r="E878" s="150"/>
      <c r="F878" s="150"/>
      <c r="G878" s="150"/>
      <c r="H878" s="150"/>
      <c r="I878" s="150"/>
      <c r="J878" s="150"/>
      <c r="K878" s="156"/>
      <c r="L878" s="156"/>
      <c r="M878" s="156"/>
      <c r="N878" s="156"/>
      <c r="O878" s="156"/>
    </row>
    <row r="879" spans="1:15" x14ac:dyDescent="0.25">
      <c r="A879" s="149" t="s">
        <v>1673</v>
      </c>
      <c r="B879" s="149" t="s">
        <v>1674</v>
      </c>
      <c r="C879" s="150"/>
      <c r="D879" s="150"/>
      <c r="E879" s="150"/>
      <c r="F879" s="150"/>
      <c r="G879" s="150"/>
      <c r="H879" s="150"/>
      <c r="I879" s="150"/>
      <c r="J879" s="150"/>
      <c r="K879" s="156"/>
      <c r="L879" s="156"/>
      <c r="M879" s="156"/>
      <c r="N879" s="156"/>
      <c r="O879" s="156"/>
    </row>
    <row r="880" spans="1:15" x14ac:dyDescent="0.25">
      <c r="A880" s="150" t="s">
        <v>1675</v>
      </c>
      <c r="B880" s="150" t="s">
        <v>1676</v>
      </c>
      <c r="C880" s="150"/>
      <c r="D880" s="150"/>
      <c r="E880" s="150"/>
      <c r="F880" s="150"/>
      <c r="G880" s="150"/>
      <c r="H880" s="150"/>
      <c r="I880" s="150"/>
      <c r="J880" s="150"/>
      <c r="K880" s="156"/>
      <c r="L880" s="156"/>
      <c r="M880" s="156"/>
      <c r="N880" s="156"/>
      <c r="O880" s="156"/>
    </row>
    <row r="881" spans="1:15" x14ac:dyDescent="0.25">
      <c r="A881" s="149" t="s">
        <v>1677</v>
      </c>
      <c r="B881" s="149" t="s">
        <v>1678</v>
      </c>
      <c r="C881" s="150"/>
      <c r="D881" s="150"/>
      <c r="E881" s="150"/>
      <c r="F881" s="150"/>
      <c r="G881" s="150"/>
      <c r="H881" s="150"/>
      <c r="I881" s="150"/>
      <c r="J881" s="150"/>
      <c r="K881" s="156"/>
      <c r="L881" s="156"/>
      <c r="M881" s="156"/>
      <c r="N881" s="156"/>
      <c r="O881" s="156"/>
    </row>
    <row r="882" spans="1:15" x14ac:dyDescent="0.25">
      <c r="A882" s="150" t="s">
        <v>1679</v>
      </c>
      <c r="B882" s="150" t="s">
        <v>1680</v>
      </c>
      <c r="C882" s="150"/>
      <c r="D882" s="150"/>
      <c r="E882" s="150"/>
      <c r="F882" s="150"/>
      <c r="G882" s="150"/>
      <c r="H882" s="150"/>
      <c r="I882" s="150"/>
      <c r="J882" s="150"/>
      <c r="K882" s="156"/>
      <c r="L882" s="156"/>
      <c r="M882" s="156"/>
      <c r="N882" s="156"/>
      <c r="O882" s="156"/>
    </row>
    <row r="883" spans="1:15" x14ac:dyDescent="0.25">
      <c r="A883" s="149" t="s">
        <v>1681</v>
      </c>
      <c r="B883" s="149" t="s">
        <v>1682</v>
      </c>
      <c r="C883" s="150"/>
      <c r="D883" s="150"/>
      <c r="E883" s="150"/>
      <c r="F883" s="150"/>
      <c r="G883" s="150"/>
      <c r="H883" s="150"/>
      <c r="I883" s="150"/>
      <c r="J883" s="150"/>
      <c r="K883" s="156"/>
      <c r="L883" s="156"/>
      <c r="M883" s="156"/>
      <c r="N883" s="156"/>
      <c r="O883" s="156"/>
    </row>
    <row r="884" spans="1:15" x14ac:dyDescent="0.25">
      <c r="A884" s="150" t="s">
        <v>1683</v>
      </c>
      <c r="B884" s="150" t="s">
        <v>1684</v>
      </c>
      <c r="C884" s="150"/>
      <c r="D884" s="150"/>
      <c r="E884" s="150"/>
      <c r="F884" s="150"/>
      <c r="G884" s="150"/>
      <c r="H884" s="150"/>
      <c r="I884" s="150"/>
      <c r="J884" s="150"/>
      <c r="K884" s="156"/>
      <c r="L884" s="156"/>
      <c r="M884" s="156"/>
      <c r="N884" s="156"/>
      <c r="O884" s="156"/>
    </row>
    <row r="885" spans="1:15" x14ac:dyDescent="0.25">
      <c r="A885" s="149" t="s">
        <v>1685</v>
      </c>
      <c r="B885" s="149" t="s">
        <v>1686</v>
      </c>
      <c r="C885" s="150"/>
      <c r="D885" s="150"/>
      <c r="E885" s="150"/>
      <c r="F885" s="150"/>
      <c r="G885" s="150"/>
      <c r="H885" s="150"/>
      <c r="I885" s="150"/>
      <c r="J885" s="150"/>
      <c r="K885" s="156"/>
      <c r="L885" s="156"/>
      <c r="M885" s="156"/>
      <c r="N885" s="156"/>
      <c r="O885" s="156"/>
    </row>
    <row r="886" spans="1:15" x14ac:dyDescent="0.25">
      <c r="A886" s="150" t="s">
        <v>1687</v>
      </c>
      <c r="B886" s="150" t="s">
        <v>1688</v>
      </c>
      <c r="C886" s="150"/>
      <c r="D886" s="150"/>
      <c r="E886" s="150"/>
      <c r="F886" s="150"/>
      <c r="G886" s="150"/>
      <c r="H886" s="150"/>
      <c r="I886" s="150"/>
      <c r="J886" s="150"/>
      <c r="K886" s="156"/>
      <c r="L886" s="156"/>
      <c r="M886" s="156"/>
      <c r="N886" s="156"/>
      <c r="O886" s="156"/>
    </row>
    <row r="887" spans="1:15" x14ac:dyDescent="0.25">
      <c r="A887" s="149" t="s">
        <v>1689</v>
      </c>
      <c r="B887" s="149" t="s">
        <v>1690</v>
      </c>
      <c r="C887" s="150"/>
      <c r="D887" s="150"/>
      <c r="E887" s="150"/>
      <c r="F887" s="150"/>
      <c r="G887" s="150"/>
      <c r="H887" s="150"/>
      <c r="I887" s="150"/>
      <c r="J887" s="150"/>
      <c r="K887" s="156"/>
      <c r="L887" s="156"/>
      <c r="M887" s="156"/>
      <c r="N887" s="156"/>
      <c r="O887" s="156"/>
    </row>
    <row r="888" spans="1:15" x14ac:dyDescent="0.25">
      <c r="A888" s="150" t="s">
        <v>1691</v>
      </c>
      <c r="B888" s="150" t="s">
        <v>1692</v>
      </c>
      <c r="C888" s="150"/>
      <c r="D888" s="150"/>
      <c r="E888" s="150"/>
      <c r="F888" s="150"/>
      <c r="G888" s="150"/>
      <c r="H888" s="150"/>
      <c r="I888" s="150"/>
      <c r="J888" s="150"/>
      <c r="K888" s="156"/>
      <c r="L888" s="156"/>
      <c r="M888" s="156"/>
      <c r="N888" s="156"/>
      <c r="O888" s="156"/>
    </row>
    <row r="889" spans="1:15" x14ac:dyDescent="0.25">
      <c r="A889" s="149" t="s">
        <v>1693</v>
      </c>
      <c r="B889" s="149" t="s">
        <v>1694</v>
      </c>
      <c r="C889" s="150"/>
      <c r="D889" s="150"/>
      <c r="E889" s="150"/>
      <c r="F889" s="150"/>
      <c r="G889" s="150"/>
      <c r="H889" s="150"/>
      <c r="I889" s="150"/>
      <c r="J889" s="150"/>
      <c r="K889" s="156"/>
      <c r="L889" s="156"/>
      <c r="M889" s="156"/>
      <c r="N889" s="156"/>
      <c r="O889" s="156"/>
    </row>
    <row r="890" spans="1:15" x14ac:dyDescent="0.25">
      <c r="A890" s="150" t="s">
        <v>1695</v>
      </c>
      <c r="B890" s="150" t="s">
        <v>8328</v>
      </c>
      <c r="C890" s="150"/>
      <c r="D890" s="150"/>
      <c r="E890" s="150"/>
      <c r="F890" s="150"/>
      <c r="G890" s="150"/>
      <c r="H890" s="150"/>
      <c r="I890" s="150"/>
      <c r="J890" s="150"/>
      <c r="K890" s="156"/>
      <c r="L890" s="156"/>
      <c r="M890" s="156"/>
      <c r="N890" s="156"/>
      <c r="O890" s="156"/>
    </row>
    <row r="891" spans="1:15" x14ac:dyDescent="0.25">
      <c r="A891" s="149" t="s">
        <v>1696</v>
      </c>
      <c r="B891" s="149" t="s">
        <v>1697</v>
      </c>
      <c r="C891" s="150"/>
      <c r="D891" s="150"/>
      <c r="E891" s="150"/>
      <c r="F891" s="150"/>
      <c r="G891" s="150"/>
      <c r="H891" s="150"/>
      <c r="I891" s="150"/>
      <c r="J891" s="150"/>
      <c r="K891" s="156"/>
      <c r="L891" s="156"/>
      <c r="M891" s="156"/>
      <c r="N891" s="156"/>
      <c r="O891" s="156"/>
    </row>
    <row r="892" spans="1:15" x14ac:dyDescent="0.25">
      <c r="A892" s="150" t="s">
        <v>1698</v>
      </c>
      <c r="B892" s="150" t="s">
        <v>1699</v>
      </c>
      <c r="C892" s="150"/>
      <c r="D892" s="150"/>
      <c r="E892" s="150"/>
      <c r="F892" s="150"/>
      <c r="G892" s="150"/>
      <c r="H892" s="150"/>
      <c r="I892" s="150"/>
      <c r="J892" s="150"/>
      <c r="K892" s="156"/>
      <c r="L892" s="156"/>
      <c r="M892" s="156"/>
      <c r="N892" s="156"/>
      <c r="O892" s="156"/>
    </row>
    <row r="893" spans="1:15" x14ac:dyDescent="0.25">
      <c r="A893" s="149" t="s">
        <v>1700</v>
      </c>
      <c r="B893" s="149" t="s">
        <v>8329</v>
      </c>
      <c r="C893" s="150"/>
      <c r="D893" s="150"/>
      <c r="E893" s="150"/>
      <c r="F893" s="150"/>
      <c r="G893" s="150"/>
      <c r="H893" s="150"/>
      <c r="I893" s="150"/>
      <c r="J893" s="150"/>
      <c r="K893" s="156"/>
      <c r="L893" s="156"/>
      <c r="M893" s="156"/>
      <c r="N893" s="156"/>
      <c r="O893" s="156"/>
    </row>
    <row r="894" spans="1:15" x14ac:dyDescent="0.25">
      <c r="A894" s="150" t="s">
        <v>1701</v>
      </c>
      <c r="B894" s="150" t="s">
        <v>8330</v>
      </c>
      <c r="C894" s="150"/>
      <c r="D894" s="150"/>
      <c r="E894" s="150"/>
      <c r="F894" s="150"/>
      <c r="G894" s="150"/>
      <c r="H894" s="150"/>
      <c r="I894" s="150"/>
      <c r="J894" s="150"/>
      <c r="K894" s="156"/>
      <c r="L894" s="156"/>
      <c r="M894" s="156"/>
      <c r="N894" s="156"/>
      <c r="O894" s="156"/>
    </row>
    <row r="895" spans="1:15" x14ac:dyDescent="0.25">
      <c r="A895" s="149" t="s">
        <v>1702</v>
      </c>
      <c r="B895" s="149" t="s">
        <v>8331</v>
      </c>
      <c r="C895" s="150"/>
      <c r="D895" s="150"/>
      <c r="E895" s="150"/>
      <c r="F895" s="150"/>
      <c r="G895" s="150"/>
      <c r="H895" s="150"/>
      <c r="I895" s="150"/>
      <c r="J895" s="150"/>
      <c r="K895" s="156"/>
      <c r="L895" s="156"/>
      <c r="M895" s="156"/>
      <c r="N895" s="156"/>
      <c r="O895" s="156"/>
    </row>
    <row r="896" spans="1:15" x14ac:dyDescent="0.25">
      <c r="A896" s="150" t="s">
        <v>1703</v>
      </c>
      <c r="B896" s="150" t="s">
        <v>8332</v>
      </c>
      <c r="C896" s="150"/>
      <c r="D896" s="150"/>
      <c r="E896" s="150"/>
      <c r="F896" s="150"/>
      <c r="G896" s="150"/>
      <c r="H896" s="150"/>
      <c r="I896" s="150"/>
      <c r="J896" s="150"/>
      <c r="K896" s="156"/>
      <c r="L896" s="156"/>
      <c r="M896" s="156"/>
      <c r="N896" s="156"/>
      <c r="O896" s="156"/>
    </row>
    <row r="897" spans="1:15" x14ac:dyDescent="0.25">
      <c r="A897" s="149" t="s">
        <v>1704</v>
      </c>
      <c r="B897" s="149" t="s">
        <v>1705</v>
      </c>
      <c r="C897" s="150"/>
      <c r="D897" s="150"/>
      <c r="E897" s="150"/>
      <c r="F897" s="150"/>
      <c r="G897" s="150"/>
      <c r="H897" s="150"/>
      <c r="I897" s="150"/>
      <c r="J897" s="150"/>
      <c r="K897" s="156"/>
      <c r="L897" s="156"/>
      <c r="M897" s="156"/>
      <c r="N897" s="156"/>
      <c r="O897" s="156"/>
    </row>
    <row r="898" spans="1:15" x14ac:dyDescent="0.25">
      <c r="A898" s="150" t="s">
        <v>1706</v>
      </c>
      <c r="B898" s="150" t="s">
        <v>8333</v>
      </c>
      <c r="C898" s="150"/>
      <c r="D898" s="150"/>
      <c r="E898" s="150"/>
      <c r="F898" s="150"/>
      <c r="G898" s="150"/>
      <c r="H898" s="150"/>
      <c r="I898" s="150"/>
      <c r="J898" s="150"/>
      <c r="K898" s="156"/>
      <c r="L898" s="156"/>
      <c r="M898" s="156"/>
      <c r="N898" s="156"/>
      <c r="O898" s="156"/>
    </row>
    <row r="899" spans="1:15" x14ac:dyDescent="0.25">
      <c r="A899" s="149" t="s">
        <v>1707</v>
      </c>
      <c r="B899" s="149" t="s">
        <v>1708</v>
      </c>
      <c r="C899" s="150"/>
      <c r="D899" s="150"/>
      <c r="E899" s="150"/>
      <c r="F899" s="150"/>
      <c r="G899" s="150"/>
      <c r="H899" s="150"/>
      <c r="I899" s="150"/>
      <c r="J899" s="150"/>
      <c r="K899" s="156"/>
      <c r="L899" s="156"/>
      <c r="M899" s="156"/>
      <c r="N899" s="156"/>
      <c r="O899" s="156"/>
    </row>
    <row r="900" spans="1:15" x14ac:dyDescent="0.25">
      <c r="A900" s="150" t="s">
        <v>1709</v>
      </c>
      <c r="B900" s="150" t="s">
        <v>8334</v>
      </c>
      <c r="C900" s="150"/>
      <c r="D900" s="150"/>
      <c r="E900" s="150"/>
      <c r="F900" s="150"/>
      <c r="G900" s="150"/>
      <c r="H900" s="150"/>
      <c r="I900" s="150"/>
      <c r="J900" s="150"/>
      <c r="K900" s="156"/>
      <c r="L900" s="156"/>
      <c r="M900" s="156"/>
      <c r="N900" s="156"/>
      <c r="O900" s="156"/>
    </row>
    <row r="901" spans="1:15" x14ac:dyDescent="0.25">
      <c r="A901" s="149" t="s">
        <v>1710</v>
      </c>
      <c r="B901" s="149" t="s">
        <v>1711</v>
      </c>
      <c r="C901" s="150"/>
      <c r="D901" s="150"/>
      <c r="E901" s="150"/>
      <c r="F901" s="150"/>
      <c r="G901" s="150"/>
      <c r="H901" s="150"/>
      <c r="I901" s="150"/>
      <c r="J901" s="150"/>
      <c r="K901" s="156"/>
      <c r="L901" s="156"/>
      <c r="M901" s="156"/>
      <c r="N901" s="156"/>
      <c r="O901" s="156"/>
    </row>
    <row r="902" spans="1:15" x14ac:dyDescent="0.25">
      <c r="A902" s="150" t="s">
        <v>1712</v>
      </c>
      <c r="B902" s="150" t="s">
        <v>1713</v>
      </c>
      <c r="C902" s="150"/>
      <c r="D902" s="150"/>
      <c r="E902" s="150"/>
      <c r="F902" s="150"/>
      <c r="G902" s="150"/>
      <c r="H902" s="150"/>
      <c r="I902" s="150"/>
      <c r="J902" s="150"/>
      <c r="K902" s="156"/>
      <c r="L902" s="156"/>
      <c r="M902" s="156"/>
      <c r="N902" s="156"/>
      <c r="O902" s="156"/>
    </row>
    <row r="903" spans="1:15" x14ac:dyDescent="0.25">
      <c r="A903" s="149" t="s">
        <v>1714</v>
      </c>
      <c r="B903" s="149" t="s">
        <v>1715</v>
      </c>
      <c r="C903" s="150"/>
      <c r="D903" s="150"/>
      <c r="E903" s="150"/>
      <c r="F903" s="150"/>
      <c r="G903" s="150"/>
      <c r="H903" s="150"/>
      <c r="I903" s="150"/>
      <c r="J903" s="150"/>
      <c r="K903" s="156"/>
      <c r="L903" s="156"/>
      <c r="M903" s="156"/>
      <c r="N903" s="156"/>
      <c r="O903" s="156"/>
    </row>
    <row r="904" spans="1:15" x14ac:dyDescent="0.25">
      <c r="A904" s="150" t="s">
        <v>1716</v>
      </c>
      <c r="B904" s="150" t="s">
        <v>1717</v>
      </c>
      <c r="C904" s="150"/>
      <c r="D904" s="150"/>
      <c r="E904" s="150"/>
      <c r="F904" s="150"/>
      <c r="G904" s="150"/>
      <c r="H904" s="150"/>
      <c r="I904" s="150"/>
      <c r="J904" s="150"/>
      <c r="K904" s="156"/>
      <c r="L904" s="156"/>
      <c r="M904" s="156"/>
      <c r="N904" s="156"/>
      <c r="O904" s="156"/>
    </row>
    <row r="905" spans="1:15" x14ac:dyDescent="0.25">
      <c r="A905" s="149" t="s">
        <v>1718</v>
      </c>
      <c r="B905" s="149" t="s">
        <v>1719</v>
      </c>
      <c r="C905" s="150"/>
      <c r="D905" s="150"/>
      <c r="E905" s="150"/>
      <c r="F905" s="150"/>
      <c r="G905" s="150"/>
      <c r="H905" s="150"/>
      <c r="I905" s="150"/>
      <c r="J905" s="150"/>
      <c r="K905" s="156"/>
      <c r="L905" s="156"/>
      <c r="M905" s="156"/>
      <c r="N905" s="156"/>
      <c r="O905" s="156"/>
    </row>
    <row r="906" spans="1:15" x14ac:dyDescent="0.25">
      <c r="A906" s="150" t="s">
        <v>1720</v>
      </c>
      <c r="B906" s="150" t="s">
        <v>1721</v>
      </c>
      <c r="C906" s="150"/>
      <c r="D906" s="150"/>
      <c r="E906" s="150"/>
      <c r="F906" s="150"/>
      <c r="G906" s="150"/>
      <c r="H906" s="150"/>
      <c r="I906" s="150"/>
      <c r="J906" s="150"/>
      <c r="K906" s="156"/>
      <c r="L906" s="156"/>
      <c r="M906" s="156"/>
      <c r="N906" s="156"/>
      <c r="O906" s="156"/>
    </row>
    <row r="907" spans="1:15" x14ac:dyDescent="0.25">
      <c r="A907" s="149" t="s">
        <v>5893</v>
      </c>
      <c r="B907" s="149" t="s">
        <v>164</v>
      </c>
      <c r="C907" s="150"/>
      <c r="D907" s="150"/>
      <c r="E907" s="150"/>
      <c r="F907" s="150"/>
      <c r="G907" s="150"/>
      <c r="H907" s="150"/>
      <c r="I907" s="150"/>
      <c r="J907" s="150"/>
      <c r="K907" s="156"/>
      <c r="L907" s="156"/>
      <c r="M907" s="156"/>
      <c r="N907" s="156"/>
      <c r="O907" s="156"/>
    </row>
    <row r="908" spans="1:15" x14ac:dyDescent="0.25">
      <c r="A908" s="150" t="s">
        <v>1722</v>
      </c>
      <c r="B908" s="150" t="s">
        <v>1723</v>
      </c>
      <c r="C908" s="150"/>
      <c r="D908" s="150"/>
      <c r="E908" s="150"/>
      <c r="F908" s="150"/>
      <c r="G908" s="150"/>
      <c r="H908" s="150"/>
      <c r="I908" s="150"/>
      <c r="J908" s="150"/>
      <c r="K908" s="156"/>
      <c r="L908" s="156"/>
      <c r="M908" s="156"/>
      <c r="N908" s="156"/>
      <c r="O908" s="156"/>
    </row>
    <row r="909" spans="1:15" x14ac:dyDescent="0.25">
      <c r="A909" s="149" t="s">
        <v>1724</v>
      </c>
      <c r="B909" s="149" t="s">
        <v>1725</v>
      </c>
      <c r="C909" s="150"/>
      <c r="D909" s="150"/>
      <c r="E909" s="150"/>
      <c r="F909" s="150"/>
      <c r="G909" s="150"/>
      <c r="H909" s="150"/>
      <c r="I909" s="150"/>
      <c r="J909" s="150"/>
      <c r="K909" s="156"/>
      <c r="L909" s="156"/>
      <c r="M909" s="156"/>
      <c r="N909" s="156"/>
      <c r="O909" s="156"/>
    </row>
    <row r="910" spans="1:15" x14ac:dyDescent="0.25">
      <c r="A910" s="150" t="s">
        <v>1726</v>
      </c>
      <c r="B910" s="150" t="s">
        <v>1727</v>
      </c>
      <c r="C910" s="150"/>
      <c r="D910" s="150"/>
      <c r="E910" s="150"/>
      <c r="F910" s="150"/>
      <c r="G910" s="150"/>
      <c r="H910" s="150"/>
      <c r="I910" s="150"/>
      <c r="J910" s="150"/>
      <c r="K910" s="156"/>
      <c r="L910" s="156"/>
      <c r="M910" s="156"/>
      <c r="N910" s="156"/>
      <c r="O910" s="156"/>
    </row>
    <row r="911" spans="1:15" x14ac:dyDescent="0.25">
      <c r="A911" s="149" t="s">
        <v>1728</v>
      </c>
      <c r="B911" s="149" t="s">
        <v>1729</v>
      </c>
      <c r="C911" s="150"/>
      <c r="D911" s="150"/>
      <c r="E911" s="150"/>
      <c r="F911" s="150"/>
      <c r="G911" s="150"/>
      <c r="H911" s="150"/>
      <c r="I911" s="150"/>
      <c r="J911" s="150"/>
      <c r="K911" s="156"/>
      <c r="L911" s="156"/>
      <c r="M911" s="156"/>
      <c r="N911" s="156"/>
      <c r="O911" s="156"/>
    </row>
    <row r="912" spans="1:15" x14ac:dyDescent="0.25">
      <c r="A912" s="150" t="s">
        <v>8335</v>
      </c>
      <c r="B912" s="150" t="s">
        <v>8336</v>
      </c>
      <c r="C912" s="150"/>
      <c r="D912" s="150"/>
      <c r="E912" s="150"/>
      <c r="F912" s="150"/>
      <c r="G912" s="150"/>
      <c r="H912" s="150"/>
      <c r="I912" s="150"/>
      <c r="J912" s="150"/>
      <c r="K912" s="156"/>
      <c r="L912" s="156"/>
      <c r="M912" s="156"/>
      <c r="N912" s="156"/>
      <c r="O912" s="156"/>
    </row>
    <row r="913" spans="1:15" x14ac:dyDescent="0.25">
      <c r="A913" s="149" t="s">
        <v>1730</v>
      </c>
      <c r="B913" s="149" t="s">
        <v>1731</v>
      </c>
      <c r="C913" s="150"/>
      <c r="D913" s="150"/>
      <c r="E913" s="150"/>
      <c r="F913" s="150"/>
      <c r="G913" s="150"/>
      <c r="H913" s="150"/>
      <c r="I913" s="150"/>
      <c r="J913" s="150"/>
      <c r="K913" s="156"/>
      <c r="L913" s="156"/>
      <c r="M913" s="156"/>
      <c r="N913" s="156"/>
      <c r="O913" s="156"/>
    </row>
    <row r="914" spans="1:15" x14ac:dyDescent="0.25">
      <c r="A914" s="150" t="s">
        <v>1732</v>
      </c>
      <c r="B914" s="150" t="s">
        <v>1733</v>
      </c>
      <c r="C914" s="150"/>
      <c r="D914" s="150"/>
      <c r="E914" s="150"/>
      <c r="F914" s="150"/>
      <c r="G914" s="150"/>
      <c r="H914" s="150"/>
      <c r="I914" s="150"/>
      <c r="J914" s="150"/>
      <c r="K914" s="156"/>
      <c r="L914" s="156"/>
      <c r="M914" s="156"/>
      <c r="N914" s="156"/>
      <c r="O914" s="156"/>
    </row>
    <row r="915" spans="1:15" x14ac:dyDescent="0.25">
      <c r="A915" s="149" t="s">
        <v>1734</v>
      </c>
      <c r="B915" s="149" t="s">
        <v>1735</v>
      </c>
      <c r="C915" s="150"/>
      <c r="D915" s="150"/>
      <c r="E915" s="150"/>
      <c r="F915" s="150"/>
      <c r="G915" s="150"/>
      <c r="H915" s="150"/>
      <c r="I915" s="150"/>
      <c r="J915" s="150"/>
      <c r="K915" s="156"/>
      <c r="L915" s="156"/>
      <c r="M915" s="156"/>
      <c r="N915" s="156"/>
      <c r="O915" s="156"/>
    </row>
    <row r="916" spans="1:15" x14ac:dyDescent="0.25">
      <c r="A916" s="150" t="s">
        <v>1736</v>
      </c>
      <c r="B916" s="150" t="s">
        <v>1737</v>
      </c>
      <c r="C916" s="150"/>
      <c r="D916" s="150"/>
      <c r="E916" s="150"/>
      <c r="F916" s="150"/>
      <c r="G916" s="150"/>
      <c r="H916" s="150"/>
      <c r="I916" s="150"/>
      <c r="J916" s="150"/>
      <c r="K916" s="156"/>
      <c r="L916" s="156"/>
      <c r="M916" s="156"/>
      <c r="N916" s="156"/>
      <c r="O916" s="156"/>
    </row>
    <row r="917" spans="1:15" x14ac:dyDescent="0.25">
      <c r="A917" s="149" t="s">
        <v>1738</v>
      </c>
      <c r="B917" s="149" t="s">
        <v>1739</v>
      </c>
      <c r="C917" s="150"/>
      <c r="D917" s="150"/>
      <c r="E917" s="150"/>
      <c r="F917" s="150"/>
      <c r="G917" s="150"/>
      <c r="H917" s="150"/>
      <c r="I917" s="150"/>
      <c r="J917" s="150"/>
      <c r="K917" s="156"/>
      <c r="L917" s="156"/>
      <c r="M917" s="156"/>
      <c r="N917" s="156"/>
      <c r="O917" s="156"/>
    </row>
    <row r="918" spans="1:15" x14ac:dyDescent="0.25">
      <c r="A918" s="150" t="s">
        <v>1740</v>
      </c>
      <c r="B918" s="150" t="s">
        <v>1741</v>
      </c>
      <c r="C918" s="150"/>
      <c r="D918" s="150"/>
      <c r="E918" s="150"/>
      <c r="F918" s="150"/>
      <c r="G918" s="150"/>
      <c r="H918" s="150"/>
      <c r="I918" s="150"/>
      <c r="J918" s="150"/>
      <c r="K918" s="156"/>
      <c r="L918" s="156"/>
      <c r="M918" s="156"/>
      <c r="N918" s="156"/>
      <c r="O918" s="156"/>
    </row>
    <row r="919" spans="1:15" x14ac:dyDescent="0.25">
      <c r="A919" s="149" t="s">
        <v>1742</v>
      </c>
      <c r="B919" s="149" t="s">
        <v>1743</v>
      </c>
      <c r="C919" s="150"/>
      <c r="D919" s="150"/>
      <c r="E919" s="150"/>
      <c r="F919" s="150"/>
      <c r="G919" s="150"/>
      <c r="H919" s="150"/>
      <c r="I919" s="150"/>
      <c r="J919" s="150"/>
      <c r="K919" s="156"/>
      <c r="L919" s="156"/>
      <c r="M919" s="156"/>
      <c r="N919" s="156"/>
      <c r="O919" s="156"/>
    </row>
    <row r="920" spans="1:15" x14ac:dyDescent="0.25">
      <c r="A920" s="150" t="s">
        <v>1744</v>
      </c>
      <c r="B920" s="150" t="s">
        <v>1745</v>
      </c>
      <c r="C920" s="150"/>
      <c r="D920" s="150"/>
      <c r="E920" s="150"/>
      <c r="F920" s="150"/>
      <c r="G920" s="150"/>
      <c r="H920" s="150"/>
      <c r="I920" s="150"/>
      <c r="J920" s="150"/>
      <c r="K920" s="156"/>
      <c r="L920" s="156"/>
      <c r="M920" s="156"/>
      <c r="N920" s="156"/>
      <c r="O920" s="156"/>
    </row>
    <row r="921" spans="1:15" x14ac:dyDescent="0.25">
      <c r="A921" s="149" t="s">
        <v>1746</v>
      </c>
      <c r="B921" s="149" t="s">
        <v>1747</v>
      </c>
      <c r="C921" s="150"/>
      <c r="D921" s="150"/>
      <c r="E921" s="150"/>
      <c r="F921" s="150"/>
      <c r="G921" s="150"/>
      <c r="H921" s="150"/>
      <c r="I921" s="150"/>
      <c r="J921" s="150"/>
      <c r="K921" s="156"/>
      <c r="L921" s="156"/>
      <c r="M921" s="156"/>
      <c r="N921" s="156"/>
      <c r="O921" s="156"/>
    </row>
    <row r="922" spans="1:15" x14ac:dyDescent="0.25">
      <c r="A922" s="150" t="s">
        <v>1748</v>
      </c>
      <c r="B922" s="150" t="s">
        <v>1749</v>
      </c>
      <c r="C922" s="150"/>
      <c r="D922" s="150"/>
      <c r="E922" s="150"/>
      <c r="F922" s="150"/>
      <c r="G922" s="150"/>
      <c r="H922" s="150"/>
      <c r="I922" s="150"/>
      <c r="J922" s="150"/>
      <c r="K922" s="156"/>
      <c r="L922" s="156"/>
      <c r="M922" s="156"/>
      <c r="N922" s="156"/>
      <c r="O922" s="156"/>
    </row>
    <row r="923" spans="1:15" x14ac:dyDescent="0.25">
      <c r="A923" s="149" t="s">
        <v>1750</v>
      </c>
      <c r="B923" s="149" t="s">
        <v>1751</v>
      </c>
      <c r="C923" s="150"/>
      <c r="D923" s="150"/>
      <c r="E923" s="150"/>
      <c r="F923" s="150"/>
      <c r="G923" s="150"/>
      <c r="H923" s="150"/>
      <c r="I923" s="150"/>
      <c r="J923" s="150"/>
      <c r="K923" s="156"/>
      <c r="L923" s="156"/>
      <c r="M923" s="156"/>
      <c r="N923" s="156"/>
      <c r="O923" s="156"/>
    </row>
    <row r="924" spans="1:15" x14ac:dyDescent="0.25">
      <c r="A924" s="150" t="s">
        <v>1752</v>
      </c>
      <c r="B924" s="150" t="s">
        <v>1753</v>
      </c>
      <c r="C924" s="150"/>
      <c r="D924" s="150"/>
      <c r="E924" s="150"/>
      <c r="F924" s="150"/>
      <c r="G924" s="150"/>
      <c r="H924" s="150"/>
      <c r="I924" s="150"/>
      <c r="J924" s="150"/>
      <c r="K924" s="156"/>
      <c r="L924" s="156"/>
      <c r="M924" s="156"/>
      <c r="N924" s="156"/>
      <c r="O924" s="156"/>
    </row>
    <row r="925" spans="1:15" x14ac:dyDescent="0.25">
      <c r="A925" s="149" t="s">
        <v>1754</v>
      </c>
      <c r="B925" s="149" t="s">
        <v>1755</v>
      </c>
      <c r="C925" s="150"/>
      <c r="D925" s="150"/>
      <c r="E925" s="150"/>
      <c r="F925" s="150"/>
      <c r="G925" s="150"/>
      <c r="H925" s="150"/>
      <c r="I925" s="150"/>
      <c r="J925" s="150"/>
      <c r="K925" s="156"/>
      <c r="L925" s="156"/>
      <c r="M925" s="156"/>
      <c r="N925" s="156"/>
      <c r="O925" s="156"/>
    </row>
    <row r="926" spans="1:15" x14ac:dyDescent="0.25">
      <c r="A926" s="150" t="s">
        <v>1756</v>
      </c>
      <c r="B926" s="150" t="s">
        <v>1757</v>
      </c>
      <c r="C926" s="150"/>
      <c r="D926" s="150"/>
      <c r="E926" s="150"/>
      <c r="F926" s="150"/>
      <c r="G926" s="150"/>
      <c r="H926" s="150"/>
      <c r="I926" s="150"/>
      <c r="J926" s="150"/>
      <c r="K926" s="156"/>
      <c r="L926" s="156"/>
      <c r="M926" s="156"/>
      <c r="N926" s="156"/>
      <c r="O926" s="156"/>
    </row>
    <row r="927" spans="1:15" x14ac:dyDescent="0.25">
      <c r="A927" s="149" t="s">
        <v>1758</v>
      </c>
      <c r="B927" s="149" t="s">
        <v>1759</v>
      </c>
      <c r="C927" s="150"/>
      <c r="D927" s="150"/>
      <c r="E927" s="150"/>
      <c r="F927" s="150"/>
      <c r="G927" s="150"/>
      <c r="H927" s="150"/>
      <c r="I927" s="150"/>
      <c r="J927" s="150"/>
      <c r="K927" s="156"/>
      <c r="L927" s="156"/>
      <c r="M927" s="156"/>
      <c r="N927" s="156"/>
      <c r="O927" s="156"/>
    </row>
    <row r="928" spans="1:15" x14ac:dyDescent="0.25">
      <c r="A928" s="150" t="s">
        <v>1760</v>
      </c>
      <c r="B928" s="150" t="s">
        <v>1761</v>
      </c>
      <c r="C928" s="150"/>
      <c r="D928" s="150"/>
      <c r="E928" s="150"/>
      <c r="F928" s="150"/>
      <c r="G928" s="150"/>
      <c r="H928" s="150"/>
      <c r="I928" s="150"/>
      <c r="J928" s="150"/>
      <c r="K928" s="156"/>
      <c r="L928" s="156"/>
      <c r="M928" s="156"/>
      <c r="N928" s="156"/>
      <c r="O928" s="156"/>
    </row>
    <row r="929" spans="1:15" x14ac:dyDescent="0.25">
      <c r="A929" s="149" t="s">
        <v>1762</v>
      </c>
      <c r="B929" s="149" t="s">
        <v>1763</v>
      </c>
      <c r="C929" s="150"/>
      <c r="D929" s="150"/>
      <c r="E929" s="150"/>
      <c r="F929" s="150"/>
      <c r="G929" s="150"/>
      <c r="H929" s="150"/>
      <c r="I929" s="150"/>
      <c r="J929" s="150"/>
      <c r="K929" s="156"/>
      <c r="L929" s="156"/>
      <c r="M929" s="156"/>
      <c r="N929" s="156"/>
      <c r="O929" s="156"/>
    </row>
    <row r="930" spans="1:15" x14ac:dyDescent="0.25">
      <c r="A930" s="150" t="s">
        <v>1764</v>
      </c>
      <c r="B930" s="150" t="s">
        <v>1765</v>
      </c>
      <c r="C930" s="150"/>
      <c r="D930" s="150"/>
      <c r="E930" s="150"/>
      <c r="F930" s="150"/>
      <c r="G930" s="150"/>
      <c r="H930" s="150"/>
      <c r="I930" s="150"/>
      <c r="J930" s="150"/>
      <c r="K930" s="156"/>
      <c r="L930" s="156"/>
      <c r="M930" s="156"/>
      <c r="N930" s="156"/>
      <c r="O930" s="156"/>
    </row>
    <row r="931" spans="1:15" x14ac:dyDescent="0.25">
      <c r="A931" s="149" t="s">
        <v>1766</v>
      </c>
      <c r="B931" s="149" t="s">
        <v>1767</v>
      </c>
      <c r="C931" s="150"/>
      <c r="D931" s="150"/>
      <c r="E931" s="150"/>
      <c r="F931" s="150"/>
      <c r="G931" s="150"/>
      <c r="H931" s="150"/>
      <c r="I931" s="150"/>
      <c r="J931" s="150"/>
      <c r="K931" s="156"/>
      <c r="L931" s="156"/>
      <c r="M931" s="156"/>
      <c r="N931" s="156"/>
      <c r="O931" s="156"/>
    </row>
    <row r="932" spans="1:15" x14ac:dyDescent="0.25">
      <c r="A932" s="150" t="s">
        <v>1768</v>
      </c>
      <c r="B932" s="150" t="s">
        <v>1769</v>
      </c>
      <c r="C932" s="150"/>
      <c r="D932" s="150"/>
      <c r="E932" s="150"/>
      <c r="F932" s="150"/>
      <c r="G932" s="150"/>
      <c r="H932" s="150"/>
      <c r="I932" s="150"/>
      <c r="J932" s="150"/>
      <c r="K932" s="156"/>
      <c r="L932" s="156"/>
      <c r="M932" s="156"/>
      <c r="N932" s="156"/>
      <c r="O932" s="156"/>
    </row>
    <row r="933" spans="1:15" x14ac:dyDescent="0.25">
      <c r="A933" s="149" t="s">
        <v>1770</v>
      </c>
      <c r="B933" s="149" t="s">
        <v>1771</v>
      </c>
      <c r="C933" s="150"/>
      <c r="D933" s="150"/>
      <c r="E933" s="150"/>
      <c r="F933" s="150"/>
      <c r="G933" s="150"/>
      <c r="H933" s="150"/>
      <c r="I933" s="150"/>
      <c r="J933" s="150"/>
      <c r="K933" s="156"/>
      <c r="L933" s="156"/>
      <c r="M933" s="156"/>
      <c r="N933" s="156"/>
      <c r="O933" s="156"/>
    </row>
    <row r="934" spans="1:15" x14ac:dyDescent="0.25">
      <c r="A934" s="150" t="s">
        <v>1772</v>
      </c>
      <c r="B934" s="150" t="s">
        <v>1773</v>
      </c>
      <c r="C934" s="150"/>
      <c r="D934" s="150"/>
      <c r="E934" s="150"/>
      <c r="F934" s="150"/>
      <c r="G934" s="150"/>
      <c r="H934" s="150"/>
      <c r="I934" s="150"/>
      <c r="J934" s="150"/>
      <c r="K934" s="156"/>
      <c r="L934" s="156"/>
      <c r="M934" s="156"/>
      <c r="N934" s="156"/>
      <c r="O934" s="156"/>
    </row>
    <row r="935" spans="1:15" x14ac:dyDescent="0.25">
      <c r="A935" s="149" t="s">
        <v>1774</v>
      </c>
      <c r="B935" s="149" t="s">
        <v>1775</v>
      </c>
      <c r="C935" s="150"/>
      <c r="D935" s="150"/>
      <c r="E935" s="150"/>
      <c r="F935" s="150"/>
      <c r="G935" s="150"/>
      <c r="H935" s="150"/>
      <c r="I935" s="150"/>
      <c r="J935" s="150"/>
      <c r="K935" s="156"/>
      <c r="L935" s="156"/>
      <c r="M935" s="156"/>
      <c r="N935" s="156"/>
      <c r="O935" s="156"/>
    </row>
    <row r="936" spans="1:15" x14ac:dyDescent="0.25">
      <c r="A936" s="150" t="s">
        <v>1776</v>
      </c>
      <c r="B936" s="150" t="s">
        <v>1777</v>
      </c>
      <c r="C936" s="150"/>
      <c r="D936" s="150"/>
      <c r="E936" s="150"/>
      <c r="F936" s="150"/>
      <c r="G936" s="150"/>
      <c r="H936" s="150"/>
      <c r="I936" s="150"/>
      <c r="J936" s="150"/>
      <c r="K936" s="156"/>
      <c r="L936" s="156"/>
      <c r="M936" s="156"/>
      <c r="N936" s="156"/>
      <c r="O936" s="156"/>
    </row>
    <row r="937" spans="1:15" x14ac:dyDescent="0.25">
      <c r="A937" s="149" t="s">
        <v>1778</v>
      </c>
      <c r="B937" s="149" t="s">
        <v>1779</v>
      </c>
      <c r="C937" s="150"/>
      <c r="D937" s="150"/>
      <c r="E937" s="150"/>
      <c r="F937" s="150"/>
      <c r="G937" s="150"/>
      <c r="H937" s="150"/>
      <c r="I937" s="150"/>
      <c r="J937" s="150"/>
      <c r="K937" s="156"/>
      <c r="L937" s="156"/>
      <c r="M937" s="156"/>
      <c r="N937" s="156"/>
      <c r="O937" s="156"/>
    </row>
    <row r="938" spans="1:15" x14ac:dyDescent="0.25">
      <c r="A938" s="150" t="s">
        <v>1780</v>
      </c>
      <c r="B938" s="150" t="s">
        <v>1781</v>
      </c>
      <c r="C938" s="150"/>
      <c r="D938" s="150"/>
      <c r="E938" s="150"/>
      <c r="F938" s="150"/>
      <c r="G938" s="150"/>
      <c r="H938" s="150"/>
      <c r="I938" s="150"/>
      <c r="J938" s="150"/>
      <c r="K938" s="156"/>
      <c r="L938" s="156"/>
      <c r="M938" s="156"/>
      <c r="N938" s="156"/>
      <c r="O938" s="156"/>
    </row>
    <row r="939" spans="1:15" x14ac:dyDescent="0.25">
      <c r="A939" s="149" t="s">
        <v>1782</v>
      </c>
      <c r="B939" s="149" t="s">
        <v>1783</v>
      </c>
      <c r="C939" s="150"/>
      <c r="D939" s="150"/>
      <c r="E939" s="150"/>
      <c r="F939" s="150"/>
      <c r="G939" s="150"/>
      <c r="H939" s="150"/>
      <c r="I939" s="150"/>
      <c r="J939" s="150"/>
      <c r="K939" s="156"/>
      <c r="L939" s="156"/>
      <c r="M939" s="156"/>
      <c r="N939" s="156"/>
      <c r="O939" s="156"/>
    </row>
    <row r="940" spans="1:15" x14ac:dyDescent="0.25">
      <c r="A940" s="150" t="s">
        <v>1784</v>
      </c>
      <c r="B940" s="150" t="s">
        <v>1785</v>
      </c>
      <c r="C940" s="150"/>
      <c r="D940" s="150"/>
      <c r="E940" s="150"/>
      <c r="F940" s="150"/>
      <c r="G940" s="150"/>
      <c r="H940" s="150"/>
      <c r="I940" s="150"/>
      <c r="J940" s="150"/>
      <c r="K940" s="156"/>
      <c r="L940" s="156"/>
      <c r="M940" s="156"/>
      <c r="N940" s="156"/>
      <c r="O940" s="156"/>
    </row>
    <row r="941" spans="1:15" x14ac:dyDescent="0.25">
      <c r="A941" s="149" t="s">
        <v>1786</v>
      </c>
      <c r="B941" s="149" t="s">
        <v>1787</v>
      </c>
      <c r="C941" s="150"/>
      <c r="D941" s="150"/>
      <c r="E941" s="150"/>
      <c r="F941" s="150"/>
      <c r="G941" s="150"/>
      <c r="H941" s="150"/>
      <c r="I941" s="150"/>
      <c r="J941" s="150"/>
      <c r="K941" s="156"/>
      <c r="L941" s="156"/>
      <c r="M941" s="156"/>
      <c r="N941" s="156"/>
      <c r="O941" s="156"/>
    </row>
    <row r="942" spans="1:15" x14ac:dyDescent="0.25">
      <c r="A942" s="150" t="s">
        <v>1788</v>
      </c>
      <c r="B942" s="150" t="s">
        <v>8337</v>
      </c>
      <c r="C942" s="150"/>
      <c r="D942" s="150"/>
      <c r="E942" s="150"/>
      <c r="F942" s="150"/>
      <c r="G942" s="150"/>
      <c r="H942" s="150"/>
      <c r="I942" s="150"/>
      <c r="J942" s="150"/>
      <c r="K942" s="156"/>
      <c r="L942" s="156"/>
      <c r="M942" s="156"/>
      <c r="N942" s="156"/>
      <c r="O942" s="156"/>
    </row>
    <row r="943" spans="1:15" x14ac:dyDescent="0.25">
      <c r="A943" s="149" t="s">
        <v>1789</v>
      </c>
      <c r="B943" s="149" t="s">
        <v>1790</v>
      </c>
      <c r="C943" s="150"/>
      <c r="D943" s="150"/>
      <c r="E943" s="150"/>
      <c r="F943" s="150"/>
      <c r="G943" s="150"/>
      <c r="H943" s="150"/>
      <c r="I943" s="150"/>
      <c r="J943" s="150"/>
      <c r="K943" s="156"/>
      <c r="L943" s="156"/>
      <c r="M943" s="156"/>
      <c r="N943" s="156"/>
      <c r="O943" s="156"/>
    </row>
    <row r="944" spans="1:15" x14ac:dyDescent="0.25">
      <c r="A944" s="150" t="s">
        <v>1791</v>
      </c>
      <c r="B944" s="150" t="s">
        <v>1792</v>
      </c>
      <c r="C944" s="150"/>
      <c r="D944" s="150"/>
      <c r="E944" s="150"/>
      <c r="F944" s="150"/>
      <c r="G944" s="150"/>
      <c r="H944" s="150"/>
      <c r="I944" s="150"/>
      <c r="J944" s="150"/>
      <c r="K944" s="156"/>
      <c r="L944" s="156"/>
      <c r="M944" s="156"/>
      <c r="N944" s="156"/>
      <c r="O944" s="156"/>
    </row>
    <row r="945" spans="1:15" x14ac:dyDescent="0.25">
      <c r="A945" s="149" t="s">
        <v>1793</v>
      </c>
      <c r="B945" s="149" t="s">
        <v>1794</v>
      </c>
      <c r="C945" s="150"/>
      <c r="D945" s="150"/>
      <c r="E945" s="150"/>
      <c r="F945" s="150"/>
      <c r="G945" s="150"/>
      <c r="H945" s="150"/>
      <c r="I945" s="150"/>
      <c r="J945" s="150"/>
      <c r="K945" s="156"/>
      <c r="L945" s="156"/>
      <c r="M945" s="156"/>
      <c r="N945" s="156"/>
      <c r="O945" s="156"/>
    </row>
    <row r="946" spans="1:15" x14ac:dyDescent="0.25">
      <c r="A946" s="150" t="s">
        <v>1795</v>
      </c>
      <c r="B946" s="150" t="s">
        <v>1796</v>
      </c>
      <c r="C946" s="150"/>
      <c r="D946" s="150"/>
      <c r="E946" s="150"/>
      <c r="F946" s="150"/>
      <c r="G946" s="150"/>
      <c r="H946" s="150"/>
      <c r="I946" s="150"/>
      <c r="J946" s="150"/>
      <c r="K946" s="156"/>
      <c r="L946" s="156"/>
      <c r="M946" s="156"/>
      <c r="N946" s="156"/>
      <c r="O946" s="156"/>
    </row>
    <row r="947" spans="1:15" x14ac:dyDescent="0.25">
      <c r="A947" s="149" t="s">
        <v>1797</v>
      </c>
      <c r="B947" s="149" t="s">
        <v>1798</v>
      </c>
      <c r="C947" s="150"/>
      <c r="D947" s="150"/>
      <c r="E947" s="150"/>
      <c r="F947" s="150"/>
      <c r="G947" s="150"/>
      <c r="H947" s="150"/>
      <c r="I947" s="150"/>
      <c r="J947" s="150"/>
      <c r="K947" s="156"/>
      <c r="L947" s="156"/>
      <c r="M947" s="156"/>
      <c r="N947" s="156"/>
      <c r="O947" s="156"/>
    </row>
    <row r="948" spans="1:15" x14ac:dyDescent="0.25">
      <c r="A948" s="150" t="s">
        <v>1799</v>
      </c>
      <c r="B948" s="150" t="s">
        <v>1800</v>
      </c>
      <c r="C948" s="150"/>
      <c r="D948" s="150"/>
      <c r="E948" s="150"/>
      <c r="F948" s="150"/>
      <c r="G948" s="150"/>
      <c r="H948" s="150"/>
      <c r="I948" s="150"/>
      <c r="J948" s="150"/>
      <c r="K948" s="156"/>
      <c r="L948" s="156"/>
      <c r="M948" s="156"/>
      <c r="N948" s="156"/>
      <c r="O948" s="156"/>
    </row>
    <row r="949" spans="1:15" x14ac:dyDescent="0.25">
      <c r="A949" s="149" t="s">
        <v>1801</v>
      </c>
      <c r="B949" s="149" t="s">
        <v>1802</v>
      </c>
      <c r="C949" s="150"/>
      <c r="D949" s="150"/>
      <c r="E949" s="150"/>
      <c r="F949" s="150"/>
      <c r="G949" s="150"/>
      <c r="H949" s="150"/>
      <c r="I949" s="150"/>
      <c r="J949" s="150"/>
      <c r="K949" s="156"/>
      <c r="L949" s="156"/>
      <c r="M949" s="156"/>
      <c r="N949" s="156"/>
      <c r="O949" s="156"/>
    </row>
    <row r="950" spans="1:15" x14ac:dyDescent="0.25">
      <c r="A950" s="150" t="s">
        <v>1803</v>
      </c>
      <c r="B950" s="150" t="s">
        <v>1804</v>
      </c>
      <c r="C950" s="150"/>
      <c r="D950" s="150"/>
      <c r="E950" s="150"/>
      <c r="F950" s="150"/>
      <c r="G950" s="150"/>
      <c r="H950" s="150"/>
      <c r="I950" s="150"/>
      <c r="J950" s="150"/>
      <c r="K950" s="156"/>
      <c r="L950" s="156"/>
      <c r="M950" s="156"/>
      <c r="N950" s="156"/>
      <c r="O950" s="156"/>
    </row>
    <row r="951" spans="1:15" x14ac:dyDescent="0.25">
      <c r="A951" s="149" t="s">
        <v>1805</v>
      </c>
      <c r="B951" s="149" t="s">
        <v>1806</v>
      </c>
      <c r="C951" s="150"/>
      <c r="D951" s="150"/>
      <c r="E951" s="150"/>
      <c r="F951" s="150"/>
      <c r="G951" s="150"/>
      <c r="H951" s="150"/>
      <c r="I951" s="150"/>
      <c r="J951" s="150"/>
      <c r="K951" s="156"/>
      <c r="L951" s="156"/>
      <c r="M951" s="156"/>
      <c r="N951" s="156"/>
      <c r="O951" s="156"/>
    </row>
    <row r="952" spans="1:15" x14ac:dyDescent="0.25">
      <c r="A952" s="150" t="s">
        <v>1807</v>
      </c>
      <c r="B952" s="150" t="s">
        <v>8338</v>
      </c>
      <c r="C952" s="150"/>
      <c r="D952" s="150"/>
      <c r="E952" s="150"/>
      <c r="F952" s="150"/>
      <c r="G952" s="150"/>
      <c r="H952" s="150"/>
      <c r="I952" s="150"/>
      <c r="J952" s="150"/>
      <c r="K952" s="156"/>
      <c r="L952" s="156"/>
      <c r="M952" s="156"/>
      <c r="N952" s="156"/>
      <c r="O952" s="156"/>
    </row>
    <row r="953" spans="1:15" x14ac:dyDescent="0.25">
      <c r="A953" s="149" t="s">
        <v>1808</v>
      </c>
      <c r="B953" s="149" t="s">
        <v>1809</v>
      </c>
      <c r="C953" s="150"/>
      <c r="D953" s="150"/>
      <c r="E953" s="150"/>
      <c r="F953" s="150"/>
      <c r="G953" s="150"/>
      <c r="H953" s="150"/>
      <c r="I953" s="150"/>
      <c r="J953" s="150"/>
      <c r="K953" s="156"/>
      <c r="L953" s="156"/>
      <c r="M953" s="156"/>
      <c r="N953" s="156"/>
      <c r="O953" s="156"/>
    </row>
    <row r="954" spans="1:15" x14ac:dyDescent="0.25">
      <c r="A954" s="150" t="s">
        <v>1810</v>
      </c>
      <c r="B954" s="150" t="s">
        <v>1811</v>
      </c>
      <c r="C954" s="150"/>
      <c r="D954" s="150"/>
      <c r="E954" s="150"/>
      <c r="F954" s="150"/>
      <c r="G954" s="150"/>
      <c r="H954" s="150"/>
      <c r="I954" s="150"/>
      <c r="J954" s="150"/>
      <c r="K954" s="156"/>
      <c r="L954" s="156"/>
      <c r="M954" s="156"/>
      <c r="N954" s="156"/>
      <c r="O954" s="156"/>
    </row>
    <row r="955" spans="1:15" x14ac:dyDescent="0.25">
      <c r="A955" s="149" t="s">
        <v>1812</v>
      </c>
      <c r="B955" s="149" t="s">
        <v>1813</v>
      </c>
      <c r="C955" s="150"/>
      <c r="D955" s="150"/>
      <c r="E955" s="150"/>
      <c r="F955" s="150"/>
      <c r="G955" s="150"/>
      <c r="H955" s="150"/>
      <c r="I955" s="150"/>
      <c r="J955" s="150"/>
      <c r="K955" s="156"/>
      <c r="L955" s="156"/>
      <c r="M955" s="156"/>
      <c r="N955" s="156"/>
      <c r="O955" s="156"/>
    </row>
    <row r="956" spans="1:15" x14ac:dyDescent="0.25">
      <c r="A956" s="150" t="s">
        <v>1814</v>
      </c>
      <c r="B956" s="150" t="s">
        <v>1815</v>
      </c>
      <c r="C956" s="150"/>
      <c r="D956" s="150"/>
      <c r="E956" s="150"/>
      <c r="F956" s="150"/>
      <c r="G956" s="150"/>
      <c r="H956" s="150"/>
      <c r="I956" s="150"/>
      <c r="J956" s="150"/>
      <c r="K956" s="156"/>
      <c r="L956" s="156"/>
      <c r="M956" s="156"/>
      <c r="N956" s="156"/>
      <c r="O956" s="156"/>
    </row>
    <row r="957" spans="1:15" x14ac:dyDescent="0.25">
      <c r="A957" s="149" t="s">
        <v>1816</v>
      </c>
      <c r="B957" s="149" t="s">
        <v>8339</v>
      </c>
      <c r="C957" s="150"/>
      <c r="D957" s="150"/>
      <c r="E957" s="150"/>
      <c r="F957" s="150"/>
      <c r="G957" s="150"/>
      <c r="H957" s="150"/>
      <c r="I957" s="150"/>
      <c r="J957" s="150"/>
      <c r="K957" s="156"/>
      <c r="L957" s="156"/>
      <c r="M957" s="156"/>
      <c r="N957" s="156"/>
      <c r="O957" s="156"/>
    </row>
    <row r="958" spans="1:15" x14ac:dyDescent="0.25">
      <c r="A958" s="150" t="s">
        <v>1817</v>
      </c>
      <c r="B958" s="150" t="s">
        <v>1818</v>
      </c>
      <c r="C958" s="150"/>
      <c r="D958" s="150"/>
      <c r="E958" s="150"/>
      <c r="F958" s="150"/>
      <c r="G958" s="150"/>
      <c r="H958" s="150"/>
      <c r="I958" s="150"/>
      <c r="J958" s="150"/>
      <c r="K958" s="156"/>
      <c r="L958" s="156"/>
      <c r="M958" s="156"/>
      <c r="N958" s="156"/>
      <c r="O958" s="156"/>
    </row>
    <row r="959" spans="1:15" x14ac:dyDescent="0.25">
      <c r="A959" s="149" t="s">
        <v>1819</v>
      </c>
      <c r="B959" s="149" t="s">
        <v>1820</v>
      </c>
      <c r="C959" s="150"/>
      <c r="D959" s="150"/>
      <c r="E959" s="150"/>
      <c r="F959" s="150"/>
      <c r="G959" s="150"/>
      <c r="H959" s="150"/>
      <c r="I959" s="150"/>
      <c r="J959" s="150"/>
      <c r="K959" s="156"/>
      <c r="L959" s="156"/>
      <c r="M959" s="156"/>
      <c r="N959" s="156"/>
      <c r="O959" s="156"/>
    </row>
    <row r="960" spans="1:15" x14ac:dyDescent="0.25">
      <c r="A960" s="150" t="s">
        <v>1821</v>
      </c>
      <c r="B960" s="150" t="s">
        <v>1822</v>
      </c>
      <c r="C960" s="150"/>
      <c r="D960" s="150"/>
      <c r="E960" s="150"/>
      <c r="F960" s="150"/>
      <c r="G960" s="150"/>
      <c r="H960" s="150"/>
      <c r="I960" s="150"/>
      <c r="J960" s="150"/>
      <c r="K960" s="156"/>
      <c r="L960" s="156"/>
      <c r="M960" s="156"/>
      <c r="N960" s="156"/>
      <c r="O960" s="156"/>
    </row>
    <row r="961" spans="1:15" x14ac:dyDescent="0.25">
      <c r="A961" s="149" t="s">
        <v>1823</v>
      </c>
      <c r="B961" s="149" t="s">
        <v>1824</v>
      </c>
      <c r="C961" s="150"/>
      <c r="D961" s="150"/>
      <c r="E961" s="150"/>
      <c r="F961" s="150"/>
      <c r="G961" s="150"/>
      <c r="H961" s="150"/>
      <c r="I961" s="150"/>
      <c r="J961" s="150"/>
      <c r="K961" s="156"/>
      <c r="L961" s="156"/>
      <c r="M961" s="156"/>
      <c r="N961" s="156"/>
      <c r="O961" s="156"/>
    </row>
    <row r="962" spans="1:15" x14ac:dyDescent="0.25">
      <c r="A962" s="150" t="s">
        <v>1825</v>
      </c>
      <c r="B962" s="150" t="s">
        <v>1826</v>
      </c>
      <c r="C962" s="150"/>
      <c r="D962" s="150"/>
      <c r="E962" s="150"/>
      <c r="F962" s="150"/>
      <c r="G962" s="150"/>
      <c r="H962" s="150"/>
      <c r="I962" s="150"/>
      <c r="J962" s="150"/>
      <c r="K962" s="156"/>
      <c r="L962" s="156"/>
      <c r="M962" s="156"/>
      <c r="N962" s="156"/>
      <c r="O962" s="156"/>
    </row>
    <row r="963" spans="1:15" x14ac:dyDescent="0.25">
      <c r="A963" s="149" t="s">
        <v>1827</v>
      </c>
      <c r="B963" s="149" t="s">
        <v>1828</v>
      </c>
      <c r="C963" s="150"/>
      <c r="D963" s="150"/>
      <c r="E963" s="150"/>
      <c r="F963" s="150"/>
      <c r="G963" s="150"/>
      <c r="H963" s="150"/>
      <c r="I963" s="150"/>
      <c r="J963" s="150"/>
      <c r="K963" s="156"/>
      <c r="L963" s="156"/>
      <c r="M963" s="156"/>
      <c r="N963" s="156"/>
      <c r="O963" s="156"/>
    </row>
    <row r="964" spans="1:15" x14ac:dyDescent="0.25">
      <c r="A964" s="150" t="s">
        <v>1829</v>
      </c>
      <c r="B964" s="150" t="s">
        <v>1830</v>
      </c>
      <c r="C964" s="150"/>
      <c r="D964" s="150"/>
      <c r="E964" s="150"/>
      <c r="F964" s="150"/>
      <c r="G964" s="150"/>
      <c r="H964" s="150"/>
      <c r="I964" s="150"/>
      <c r="J964" s="150"/>
      <c r="K964" s="156"/>
      <c r="L964" s="156"/>
      <c r="M964" s="156"/>
      <c r="N964" s="156"/>
      <c r="O964" s="156"/>
    </row>
    <row r="965" spans="1:15" x14ac:dyDescent="0.25">
      <c r="A965" s="149" t="s">
        <v>1831</v>
      </c>
      <c r="B965" s="149" t="s">
        <v>1832</v>
      </c>
      <c r="C965" s="150"/>
      <c r="D965" s="150"/>
      <c r="E965" s="150"/>
      <c r="F965" s="150"/>
      <c r="G965" s="150"/>
      <c r="H965" s="150"/>
      <c r="I965" s="150"/>
      <c r="J965" s="150"/>
      <c r="K965" s="156"/>
      <c r="L965" s="156"/>
      <c r="M965" s="156"/>
      <c r="N965" s="156"/>
      <c r="O965" s="156"/>
    </row>
    <row r="966" spans="1:15" x14ac:dyDescent="0.25">
      <c r="A966" s="150" t="s">
        <v>1833</v>
      </c>
      <c r="B966" s="150" t="s">
        <v>1834</v>
      </c>
      <c r="C966" s="150"/>
      <c r="D966" s="150"/>
      <c r="E966" s="150"/>
      <c r="F966" s="150"/>
      <c r="G966" s="150"/>
      <c r="H966" s="150"/>
      <c r="I966" s="150"/>
      <c r="J966" s="150"/>
      <c r="K966" s="156"/>
      <c r="L966" s="156"/>
      <c r="M966" s="156"/>
      <c r="N966" s="156"/>
      <c r="O966" s="156"/>
    </row>
    <row r="967" spans="1:15" x14ac:dyDescent="0.25">
      <c r="A967" s="149" t="s">
        <v>1835</v>
      </c>
      <c r="B967" s="149" t="s">
        <v>8340</v>
      </c>
      <c r="C967" s="150"/>
      <c r="D967" s="150"/>
      <c r="E967" s="150"/>
      <c r="F967" s="150"/>
      <c r="G967" s="150"/>
      <c r="H967" s="150"/>
      <c r="I967" s="150"/>
      <c r="J967" s="150"/>
      <c r="K967" s="156"/>
      <c r="L967" s="156"/>
      <c r="M967" s="156"/>
      <c r="N967" s="156"/>
      <c r="O967" s="156"/>
    </row>
    <row r="968" spans="1:15" x14ac:dyDescent="0.25">
      <c r="A968" s="150" t="s">
        <v>1836</v>
      </c>
      <c r="B968" s="150" t="s">
        <v>8341</v>
      </c>
      <c r="C968" s="150"/>
      <c r="D968" s="150"/>
      <c r="E968" s="150"/>
      <c r="F968" s="150"/>
      <c r="G968" s="150"/>
      <c r="H968" s="150"/>
      <c r="I968" s="150"/>
      <c r="J968" s="150"/>
      <c r="K968" s="156"/>
      <c r="L968" s="156"/>
      <c r="M968" s="156"/>
      <c r="N968" s="156"/>
      <c r="O968" s="156"/>
    </row>
    <row r="969" spans="1:15" x14ac:dyDescent="0.25">
      <c r="A969" s="149" t="s">
        <v>1837</v>
      </c>
      <c r="B969" s="149" t="s">
        <v>8342</v>
      </c>
      <c r="C969" s="150"/>
      <c r="D969" s="150"/>
      <c r="E969" s="150"/>
      <c r="F969" s="150"/>
      <c r="G969" s="150"/>
      <c r="H969" s="150"/>
      <c r="I969" s="150"/>
      <c r="J969" s="150"/>
      <c r="K969" s="156"/>
      <c r="L969" s="156"/>
      <c r="M969" s="156"/>
      <c r="N969" s="156"/>
      <c r="O969" s="156"/>
    </row>
    <row r="970" spans="1:15" x14ac:dyDescent="0.25">
      <c r="A970" s="150" t="s">
        <v>1838</v>
      </c>
      <c r="B970" s="150" t="s">
        <v>8343</v>
      </c>
      <c r="C970" s="150"/>
      <c r="D970" s="150"/>
      <c r="E970" s="150"/>
      <c r="F970" s="150"/>
      <c r="G970" s="150"/>
      <c r="H970" s="150"/>
      <c r="I970" s="150"/>
      <c r="J970" s="150"/>
      <c r="K970" s="156"/>
      <c r="L970" s="156"/>
      <c r="M970" s="156"/>
      <c r="N970" s="156"/>
      <c r="O970" s="156"/>
    </row>
    <row r="971" spans="1:15" x14ac:dyDescent="0.25">
      <c r="A971" s="149" t="s">
        <v>1839</v>
      </c>
      <c r="B971" s="149" t="s">
        <v>8344</v>
      </c>
      <c r="C971" s="150"/>
      <c r="D971" s="150"/>
      <c r="E971" s="150"/>
      <c r="F971" s="150"/>
      <c r="G971" s="150"/>
      <c r="H971" s="150"/>
      <c r="I971" s="150"/>
      <c r="J971" s="150"/>
      <c r="K971" s="156"/>
      <c r="L971" s="156"/>
      <c r="M971" s="156"/>
      <c r="N971" s="156"/>
      <c r="O971" s="156"/>
    </row>
    <row r="972" spans="1:15" x14ac:dyDescent="0.25">
      <c r="A972" s="150" t="s">
        <v>1840</v>
      </c>
      <c r="B972" s="150" t="s">
        <v>8345</v>
      </c>
      <c r="C972" s="150"/>
      <c r="D972" s="150"/>
      <c r="E972" s="150"/>
      <c r="F972" s="150"/>
      <c r="G972" s="150"/>
      <c r="H972" s="150"/>
      <c r="I972" s="150"/>
      <c r="J972" s="150"/>
      <c r="K972" s="156"/>
      <c r="L972" s="156"/>
      <c r="M972" s="156"/>
      <c r="N972" s="156"/>
      <c r="O972" s="156"/>
    </row>
    <row r="973" spans="1:15" x14ac:dyDescent="0.25">
      <c r="A973" s="149" t="s">
        <v>1841</v>
      </c>
      <c r="B973" s="149" t="s">
        <v>8346</v>
      </c>
      <c r="C973" s="150"/>
      <c r="D973" s="150"/>
      <c r="E973" s="150"/>
      <c r="F973" s="150"/>
      <c r="G973" s="150"/>
      <c r="H973" s="150"/>
      <c r="I973" s="150"/>
      <c r="J973" s="150"/>
      <c r="K973" s="156"/>
      <c r="L973" s="156"/>
      <c r="M973" s="156"/>
      <c r="N973" s="156"/>
      <c r="O973" s="156"/>
    </row>
    <row r="974" spans="1:15" x14ac:dyDescent="0.25">
      <c r="A974" s="150" t="s">
        <v>1842</v>
      </c>
      <c r="B974" s="150" t="s">
        <v>8347</v>
      </c>
      <c r="C974" s="150"/>
      <c r="D974" s="150"/>
      <c r="E974" s="150"/>
      <c r="F974" s="150"/>
      <c r="G974" s="150"/>
      <c r="H974" s="150"/>
      <c r="I974" s="150"/>
      <c r="J974" s="150"/>
      <c r="K974" s="156"/>
      <c r="L974" s="156"/>
      <c r="M974" s="156"/>
      <c r="N974" s="156"/>
      <c r="O974" s="156"/>
    </row>
    <row r="975" spans="1:15" x14ac:dyDescent="0.25">
      <c r="A975" s="149" t="s">
        <v>1843</v>
      </c>
      <c r="B975" s="149" t="s">
        <v>8348</v>
      </c>
      <c r="C975" s="150"/>
      <c r="D975" s="150"/>
      <c r="E975" s="150"/>
      <c r="F975" s="150"/>
      <c r="G975" s="150"/>
      <c r="H975" s="150"/>
      <c r="I975" s="150"/>
      <c r="J975" s="150"/>
      <c r="K975" s="156"/>
      <c r="L975" s="156"/>
      <c r="M975" s="156"/>
      <c r="N975" s="156"/>
      <c r="O975" s="156"/>
    </row>
    <row r="976" spans="1:15" x14ac:dyDescent="0.25">
      <c r="A976" s="150" t="s">
        <v>1844</v>
      </c>
      <c r="B976" s="150" t="s">
        <v>8349</v>
      </c>
      <c r="C976" s="150"/>
      <c r="D976" s="150"/>
      <c r="E976" s="150"/>
      <c r="F976" s="150"/>
      <c r="G976" s="150"/>
      <c r="H976" s="150"/>
      <c r="I976" s="150"/>
      <c r="J976" s="150"/>
      <c r="K976" s="156"/>
      <c r="L976" s="156"/>
      <c r="M976" s="156"/>
      <c r="N976" s="156"/>
      <c r="O976" s="156"/>
    </row>
    <row r="977" spans="1:15" x14ac:dyDescent="0.25">
      <c r="A977" s="149" t="s">
        <v>1845</v>
      </c>
      <c r="B977" s="149" t="s">
        <v>8350</v>
      </c>
      <c r="C977" s="150"/>
      <c r="D977" s="150"/>
      <c r="E977" s="150"/>
      <c r="F977" s="150"/>
      <c r="G977" s="150"/>
      <c r="H977" s="150"/>
      <c r="I977" s="150"/>
      <c r="J977" s="150"/>
      <c r="K977" s="156"/>
      <c r="L977" s="156"/>
      <c r="M977" s="156"/>
      <c r="N977" s="156"/>
      <c r="O977" s="156"/>
    </row>
    <row r="978" spans="1:15" x14ac:dyDescent="0.25">
      <c r="A978" s="150" t="s">
        <v>1846</v>
      </c>
      <c r="B978" s="150" t="s">
        <v>8351</v>
      </c>
      <c r="C978" s="150"/>
      <c r="D978" s="150"/>
      <c r="E978" s="150"/>
      <c r="F978" s="150"/>
      <c r="G978" s="150"/>
      <c r="H978" s="150"/>
      <c r="I978" s="150"/>
      <c r="J978" s="150"/>
      <c r="K978" s="156"/>
      <c r="L978" s="156"/>
      <c r="M978" s="156"/>
      <c r="N978" s="156"/>
      <c r="O978" s="156"/>
    </row>
    <row r="979" spans="1:15" x14ac:dyDescent="0.25">
      <c r="A979" s="149" t="s">
        <v>1847</v>
      </c>
      <c r="B979" s="149" t="s">
        <v>1848</v>
      </c>
      <c r="C979" s="150"/>
      <c r="D979" s="150"/>
      <c r="E979" s="150"/>
      <c r="F979" s="150"/>
      <c r="G979" s="150"/>
      <c r="H979" s="150"/>
      <c r="I979" s="150"/>
      <c r="J979" s="150"/>
      <c r="K979" s="156"/>
      <c r="L979" s="156"/>
      <c r="M979" s="156"/>
      <c r="N979" s="156"/>
      <c r="O979" s="156"/>
    </row>
    <row r="980" spans="1:15" x14ac:dyDescent="0.25">
      <c r="A980" s="150" t="s">
        <v>1849</v>
      </c>
      <c r="B980" s="150" t="s">
        <v>1850</v>
      </c>
      <c r="C980" s="150"/>
      <c r="D980" s="150"/>
      <c r="E980" s="150"/>
      <c r="F980" s="150"/>
      <c r="G980" s="150"/>
      <c r="H980" s="150"/>
      <c r="I980" s="150"/>
      <c r="J980" s="150"/>
      <c r="K980" s="156"/>
      <c r="L980" s="156"/>
      <c r="M980" s="156"/>
      <c r="N980" s="156"/>
      <c r="O980" s="156"/>
    </row>
    <row r="981" spans="1:15" x14ac:dyDescent="0.25">
      <c r="A981" s="149" t="s">
        <v>1851</v>
      </c>
      <c r="B981" s="149" t="s">
        <v>1852</v>
      </c>
      <c r="C981" s="150"/>
      <c r="D981" s="150"/>
      <c r="E981" s="150"/>
      <c r="F981" s="150"/>
      <c r="G981" s="150"/>
      <c r="H981" s="150"/>
      <c r="I981" s="150"/>
      <c r="J981" s="150"/>
      <c r="K981" s="156"/>
      <c r="L981" s="156"/>
      <c r="M981" s="156"/>
      <c r="N981" s="156"/>
      <c r="O981" s="156"/>
    </row>
    <row r="982" spans="1:15" x14ac:dyDescent="0.25">
      <c r="A982" s="150" t="s">
        <v>1853</v>
      </c>
      <c r="B982" s="150" t="s">
        <v>1854</v>
      </c>
      <c r="C982" s="150"/>
      <c r="D982" s="150"/>
      <c r="E982" s="150"/>
      <c r="F982" s="150"/>
      <c r="G982" s="150"/>
      <c r="H982" s="150"/>
      <c r="I982" s="150"/>
      <c r="J982" s="150"/>
      <c r="K982" s="156"/>
      <c r="L982" s="156"/>
      <c r="M982" s="156"/>
      <c r="N982" s="156"/>
      <c r="O982" s="156"/>
    </row>
    <row r="983" spans="1:15" x14ac:dyDescent="0.25">
      <c r="A983" s="149" t="s">
        <v>1855</v>
      </c>
      <c r="B983" s="149" t="s">
        <v>1856</v>
      </c>
      <c r="C983" s="150"/>
      <c r="D983" s="150"/>
      <c r="E983" s="150"/>
      <c r="F983" s="150"/>
      <c r="G983" s="150"/>
      <c r="H983" s="150"/>
      <c r="I983" s="150"/>
      <c r="J983" s="150"/>
      <c r="K983" s="156"/>
      <c r="L983" s="156"/>
      <c r="M983" s="156"/>
      <c r="N983" s="156"/>
      <c r="O983" s="156"/>
    </row>
    <row r="984" spans="1:15" x14ac:dyDescent="0.25">
      <c r="A984" s="150" t="s">
        <v>1857</v>
      </c>
      <c r="B984" s="150" t="s">
        <v>8352</v>
      </c>
      <c r="C984" s="150"/>
      <c r="D984" s="150"/>
      <c r="E984" s="150"/>
      <c r="F984" s="150"/>
      <c r="G984" s="150"/>
      <c r="H984" s="150"/>
      <c r="I984" s="150"/>
      <c r="J984" s="150"/>
      <c r="K984" s="156"/>
      <c r="L984" s="156"/>
      <c r="M984" s="156"/>
      <c r="N984" s="156"/>
      <c r="O984" s="156"/>
    </row>
    <row r="985" spans="1:15" x14ac:dyDescent="0.25">
      <c r="A985" s="149" t="s">
        <v>1858</v>
      </c>
      <c r="B985" s="149" t="s">
        <v>1859</v>
      </c>
      <c r="C985" s="150"/>
      <c r="D985" s="150"/>
      <c r="E985" s="150"/>
      <c r="F985" s="150"/>
      <c r="G985" s="150"/>
      <c r="H985" s="150"/>
      <c r="I985" s="150"/>
      <c r="J985" s="150"/>
      <c r="K985" s="156"/>
      <c r="L985" s="156"/>
      <c r="M985" s="156"/>
      <c r="N985" s="156"/>
      <c r="O985" s="156"/>
    </row>
    <row r="986" spans="1:15" x14ac:dyDescent="0.25">
      <c r="A986" s="150" t="s">
        <v>1860</v>
      </c>
      <c r="B986" s="150" t="s">
        <v>1861</v>
      </c>
      <c r="C986" s="150"/>
      <c r="D986" s="150"/>
      <c r="E986" s="150"/>
      <c r="F986" s="150"/>
      <c r="G986" s="150"/>
      <c r="H986" s="150"/>
      <c r="I986" s="150"/>
      <c r="J986" s="150"/>
      <c r="K986" s="156"/>
      <c r="L986" s="156"/>
      <c r="M986" s="156"/>
      <c r="N986" s="156"/>
      <c r="O986" s="156"/>
    </row>
    <row r="987" spans="1:15" x14ac:dyDescent="0.25">
      <c r="A987" s="149" t="s">
        <v>1862</v>
      </c>
      <c r="B987" s="149" t="s">
        <v>1863</v>
      </c>
      <c r="C987" s="150"/>
      <c r="D987" s="150"/>
      <c r="E987" s="150"/>
      <c r="F987" s="150"/>
      <c r="G987" s="150"/>
      <c r="H987" s="150"/>
      <c r="I987" s="150"/>
      <c r="J987" s="150"/>
      <c r="K987" s="156"/>
      <c r="L987" s="156"/>
      <c r="M987" s="156"/>
      <c r="N987" s="156"/>
      <c r="O987" s="156"/>
    </row>
    <row r="988" spans="1:15" x14ac:dyDescent="0.25">
      <c r="A988" s="150" t="s">
        <v>1864</v>
      </c>
      <c r="B988" s="150" t="s">
        <v>1865</v>
      </c>
      <c r="C988" s="150"/>
      <c r="D988" s="150"/>
      <c r="E988" s="150"/>
      <c r="F988" s="150"/>
      <c r="G988" s="150"/>
      <c r="H988" s="150"/>
      <c r="I988" s="150"/>
      <c r="J988" s="150"/>
      <c r="K988" s="156"/>
      <c r="L988" s="156"/>
      <c r="M988" s="156"/>
      <c r="N988" s="156"/>
      <c r="O988" s="156"/>
    </row>
    <row r="989" spans="1:15" x14ac:dyDescent="0.25">
      <c r="A989" s="149" t="s">
        <v>1866</v>
      </c>
      <c r="B989" s="149" t="s">
        <v>1867</v>
      </c>
      <c r="C989" s="150"/>
      <c r="D989" s="150"/>
      <c r="E989" s="150"/>
      <c r="F989" s="150"/>
      <c r="G989" s="150"/>
      <c r="H989" s="150"/>
      <c r="I989" s="150"/>
      <c r="J989" s="150"/>
      <c r="K989" s="156"/>
      <c r="L989" s="156"/>
      <c r="M989" s="156"/>
      <c r="N989" s="156"/>
      <c r="O989" s="156"/>
    </row>
    <row r="990" spans="1:15" x14ac:dyDescent="0.25">
      <c r="A990" s="150" t="s">
        <v>1868</v>
      </c>
      <c r="B990" s="150" t="s">
        <v>1869</v>
      </c>
      <c r="C990" s="150"/>
      <c r="D990" s="150"/>
      <c r="E990" s="150"/>
      <c r="F990" s="150"/>
      <c r="G990" s="150"/>
      <c r="H990" s="150"/>
      <c r="I990" s="150"/>
      <c r="J990" s="150"/>
      <c r="K990" s="156"/>
      <c r="L990" s="156"/>
      <c r="M990" s="156"/>
      <c r="N990" s="156"/>
      <c r="O990" s="156"/>
    </row>
    <row r="991" spans="1:15" x14ac:dyDescent="0.25">
      <c r="A991" s="149" t="s">
        <v>1870</v>
      </c>
      <c r="B991" s="149" t="s">
        <v>1871</v>
      </c>
      <c r="C991" s="150"/>
      <c r="D991" s="150"/>
      <c r="E991" s="150"/>
      <c r="F991" s="150"/>
      <c r="G991" s="150"/>
      <c r="H991" s="150"/>
      <c r="I991" s="150"/>
      <c r="J991" s="150"/>
      <c r="K991" s="156"/>
      <c r="L991" s="156"/>
      <c r="M991" s="156"/>
      <c r="N991" s="156"/>
      <c r="O991" s="156"/>
    </row>
    <row r="992" spans="1:15" x14ac:dyDescent="0.25">
      <c r="A992" s="150" t="s">
        <v>1872</v>
      </c>
      <c r="B992" s="150" t="s">
        <v>1873</v>
      </c>
      <c r="C992" s="150"/>
      <c r="D992" s="150"/>
      <c r="E992" s="150"/>
      <c r="F992" s="150"/>
      <c r="G992" s="150"/>
      <c r="H992" s="150"/>
      <c r="I992" s="150"/>
      <c r="J992" s="150"/>
      <c r="K992" s="156"/>
      <c r="L992" s="156"/>
      <c r="M992" s="156"/>
      <c r="N992" s="156"/>
      <c r="O992" s="156"/>
    </row>
    <row r="993" spans="1:15" x14ac:dyDescent="0.25">
      <c r="A993" s="149" t="s">
        <v>1874</v>
      </c>
      <c r="B993" s="149" t="s">
        <v>1875</v>
      </c>
      <c r="C993" s="150"/>
      <c r="D993" s="150"/>
      <c r="E993" s="150"/>
      <c r="F993" s="150"/>
      <c r="G993" s="150"/>
      <c r="H993" s="150"/>
      <c r="I993" s="150"/>
      <c r="J993" s="150"/>
      <c r="K993" s="156"/>
      <c r="L993" s="156"/>
      <c r="M993" s="156"/>
      <c r="N993" s="156"/>
      <c r="O993" s="156"/>
    </row>
    <row r="994" spans="1:15" x14ac:dyDescent="0.25">
      <c r="A994" s="150" t="s">
        <v>1876</v>
      </c>
      <c r="B994" s="150" t="s">
        <v>1877</v>
      </c>
      <c r="C994" s="150"/>
      <c r="D994" s="150"/>
      <c r="E994" s="150"/>
      <c r="F994" s="150"/>
      <c r="G994" s="150"/>
      <c r="H994" s="150"/>
      <c r="I994" s="150"/>
      <c r="J994" s="150"/>
      <c r="K994" s="156"/>
      <c r="L994" s="156"/>
      <c r="M994" s="156"/>
      <c r="N994" s="156"/>
      <c r="O994" s="156"/>
    </row>
    <row r="995" spans="1:15" x14ac:dyDescent="0.25">
      <c r="A995" s="149" t="s">
        <v>1878</v>
      </c>
      <c r="B995" s="149" t="s">
        <v>1879</v>
      </c>
      <c r="C995" s="150"/>
      <c r="D995" s="150"/>
      <c r="E995" s="150"/>
      <c r="F995" s="150"/>
      <c r="G995" s="150"/>
      <c r="H995" s="150"/>
      <c r="I995" s="150"/>
      <c r="J995" s="150"/>
      <c r="K995" s="156"/>
      <c r="L995" s="156"/>
      <c r="M995" s="156"/>
      <c r="N995" s="156"/>
      <c r="O995" s="156"/>
    </row>
    <row r="996" spans="1:15" x14ac:dyDescent="0.25">
      <c r="A996" s="150" t="s">
        <v>1880</v>
      </c>
      <c r="B996" s="150" t="s">
        <v>1881</v>
      </c>
      <c r="C996" s="150"/>
      <c r="D996" s="150"/>
      <c r="E996" s="150"/>
      <c r="F996" s="150"/>
      <c r="G996" s="150"/>
      <c r="H996" s="150"/>
      <c r="I996" s="150"/>
      <c r="J996" s="150"/>
      <c r="K996" s="156"/>
      <c r="L996" s="156"/>
      <c r="M996" s="156"/>
      <c r="N996" s="156"/>
      <c r="O996" s="156"/>
    </row>
    <row r="997" spans="1:15" x14ac:dyDescent="0.25">
      <c r="A997" s="149" t="s">
        <v>1882</v>
      </c>
      <c r="B997" s="149" t="s">
        <v>1883</v>
      </c>
      <c r="C997" s="150"/>
      <c r="D997" s="150"/>
      <c r="E997" s="150"/>
      <c r="F997" s="150"/>
      <c r="G997" s="150"/>
      <c r="H997" s="150"/>
      <c r="I997" s="150"/>
      <c r="J997" s="150"/>
      <c r="K997" s="156"/>
      <c r="L997" s="156"/>
      <c r="M997" s="156"/>
      <c r="N997" s="156"/>
      <c r="O997" s="156"/>
    </row>
    <row r="998" spans="1:15" x14ac:dyDescent="0.25">
      <c r="A998" s="150" t="s">
        <v>1884</v>
      </c>
      <c r="B998" s="150" t="s">
        <v>1885</v>
      </c>
      <c r="C998" s="150"/>
      <c r="D998" s="150"/>
      <c r="E998" s="150"/>
      <c r="F998" s="150"/>
      <c r="G998" s="150"/>
      <c r="H998" s="150"/>
      <c r="I998" s="150"/>
      <c r="J998" s="150"/>
      <c r="K998" s="156"/>
      <c r="L998" s="156"/>
      <c r="M998" s="156"/>
      <c r="N998" s="156"/>
      <c r="O998" s="156"/>
    </row>
    <row r="999" spans="1:15" x14ac:dyDescent="0.25">
      <c r="A999" s="149" t="s">
        <v>1886</v>
      </c>
      <c r="B999" s="149" t="s">
        <v>1887</v>
      </c>
      <c r="C999" s="150"/>
      <c r="D999" s="150"/>
      <c r="E999" s="150"/>
      <c r="F999" s="150"/>
      <c r="G999" s="150"/>
      <c r="H999" s="150"/>
      <c r="I999" s="150"/>
      <c r="J999" s="150"/>
      <c r="K999" s="156"/>
      <c r="L999" s="156"/>
      <c r="M999" s="156"/>
      <c r="N999" s="156"/>
      <c r="O999" s="156"/>
    </row>
    <row r="1000" spans="1:15" x14ac:dyDescent="0.25">
      <c r="A1000" s="150" t="s">
        <v>1888</v>
      </c>
      <c r="B1000" s="150" t="s">
        <v>8353</v>
      </c>
      <c r="C1000" s="150"/>
      <c r="D1000" s="150"/>
      <c r="E1000" s="150"/>
      <c r="F1000" s="150"/>
      <c r="G1000" s="150"/>
      <c r="H1000" s="150"/>
      <c r="I1000" s="150"/>
      <c r="J1000" s="150"/>
      <c r="K1000" s="156"/>
      <c r="L1000" s="156"/>
      <c r="M1000" s="156"/>
      <c r="N1000" s="156"/>
      <c r="O1000" s="156"/>
    </row>
    <row r="1001" spans="1:15" x14ac:dyDescent="0.25">
      <c r="A1001" s="149" t="s">
        <v>1889</v>
      </c>
      <c r="B1001" s="149" t="s">
        <v>1890</v>
      </c>
      <c r="C1001" s="150"/>
      <c r="D1001" s="150"/>
      <c r="E1001" s="150"/>
      <c r="F1001" s="150"/>
      <c r="G1001" s="150"/>
      <c r="H1001" s="150"/>
      <c r="I1001" s="150"/>
      <c r="J1001" s="150"/>
      <c r="K1001" s="156"/>
      <c r="L1001" s="156"/>
      <c r="M1001" s="156"/>
      <c r="N1001" s="156"/>
      <c r="O1001" s="156"/>
    </row>
    <row r="1002" spans="1:15" x14ac:dyDescent="0.25">
      <c r="A1002" s="150" t="s">
        <v>1891</v>
      </c>
      <c r="B1002" s="150" t="s">
        <v>1892</v>
      </c>
      <c r="C1002" s="150"/>
      <c r="D1002" s="150"/>
      <c r="E1002" s="150"/>
      <c r="F1002" s="150"/>
      <c r="G1002" s="150"/>
      <c r="H1002" s="150"/>
      <c r="I1002" s="150"/>
      <c r="J1002" s="150"/>
      <c r="K1002" s="156"/>
      <c r="L1002" s="156"/>
      <c r="M1002" s="156"/>
      <c r="N1002" s="156"/>
      <c r="O1002" s="156"/>
    </row>
    <row r="1003" spans="1:15" x14ac:dyDescent="0.25">
      <c r="A1003" s="149" t="s">
        <v>1893</v>
      </c>
      <c r="B1003" s="149" t="s">
        <v>1894</v>
      </c>
      <c r="C1003" s="150"/>
      <c r="D1003" s="150"/>
      <c r="E1003" s="150"/>
      <c r="F1003" s="150"/>
      <c r="G1003" s="150"/>
      <c r="H1003" s="150"/>
      <c r="I1003" s="150"/>
      <c r="J1003" s="150"/>
      <c r="K1003" s="156"/>
      <c r="L1003" s="156"/>
      <c r="M1003" s="156"/>
      <c r="N1003" s="156"/>
      <c r="O1003" s="156"/>
    </row>
    <row r="1004" spans="1:15" x14ac:dyDescent="0.25">
      <c r="A1004" s="150" t="s">
        <v>1895</v>
      </c>
      <c r="B1004" s="150" t="s">
        <v>1896</v>
      </c>
      <c r="C1004" s="150"/>
      <c r="D1004" s="150"/>
      <c r="E1004" s="150"/>
      <c r="F1004" s="150"/>
      <c r="G1004" s="150"/>
      <c r="H1004" s="150"/>
      <c r="I1004" s="150"/>
      <c r="J1004" s="150"/>
      <c r="K1004" s="156"/>
      <c r="L1004" s="156"/>
      <c r="M1004" s="156"/>
      <c r="N1004" s="156"/>
      <c r="O1004" s="156"/>
    </row>
    <row r="1005" spans="1:15" x14ac:dyDescent="0.25">
      <c r="A1005" s="149" t="s">
        <v>1897</v>
      </c>
      <c r="B1005" s="149" t="s">
        <v>1898</v>
      </c>
      <c r="C1005" s="150"/>
      <c r="D1005" s="150"/>
      <c r="E1005" s="150"/>
      <c r="F1005" s="150"/>
      <c r="G1005" s="150"/>
      <c r="H1005" s="150"/>
      <c r="I1005" s="150"/>
      <c r="J1005" s="150"/>
      <c r="K1005" s="156"/>
      <c r="L1005" s="156"/>
      <c r="M1005" s="156"/>
      <c r="N1005" s="156"/>
      <c r="O1005" s="156"/>
    </row>
    <row r="1006" spans="1:15" x14ac:dyDescent="0.25">
      <c r="A1006" s="150" t="s">
        <v>1899</v>
      </c>
      <c r="B1006" s="150" t="s">
        <v>1900</v>
      </c>
      <c r="C1006" s="150"/>
      <c r="D1006" s="150"/>
      <c r="E1006" s="150"/>
      <c r="F1006" s="150"/>
      <c r="G1006" s="150"/>
      <c r="H1006" s="150"/>
      <c r="I1006" s="150"/>
      <c r="J1006" s="150"/>
      <c r="K1006" s="156"/>
      <c r="L1006" s="156"/>
      <c r="M1006" s="156"/>
      <c r="N1006" s="156"/>
      <c r="O1006" s="156"/>
    </row>
    <row r="1007" spans="1:15" x14ac:dyDescent="0.25">
      <c r="A1007" s="149" t="s">
        <v>1901</v>
      </c>
      <c r="B1007" s="149" t="s">
        <v>1902</v>
      </c>
      <c r="C1007" s="150"/>
      <c r="D1007" s="150"/>
      <c r="E1007" s="150"/>
      <c r="F1007" s="150"/>
      <c r="G1007" s="150"/>
      <c r="H1007" s="150"/>
      <c r="I1007" s="150"/>
      <c r="J1007" s="150"/>
      <c r="K1007" s="156"/>
      <c r="L1007" s="156"/>
      <c r="M1007" s="156"/>
      <c r="N1007" s="156"/>
      <c r="O1007" s="156"/>
    </row>
    <row r="1008" spans="1:15" x14ac:dyDescent="0.25">
      <c r="A1008" s="150" t="s">
        <v>1903</v>
      </c>
      <c r="B1008" s="150" t="s">
        <v>1904</v>
      </c>
      <c r="C1008" s="150"/>
      <c r="D1008" s="150"/>
      <c r="E1008" s="150"/>
      <c r="F1008" s="150"/>
      <c r="G1008" s="150"/>
      <c r="H1008" s="150"/>
      <c r="I1008" s="150"/>
      <c r="J1008" s="150"/>
      <c r="K1008" s="156"/>
      <c r="L1008" s="156"/>
      <c r="M1008" s="156"/>
      <c r="N1008" s="156"/>
      <c r="O1008" s="156"/>
    </row>
    <row r="1009" spans="1:15" x14ac:dyDescent="0.25">
      <c r="A1009" s="149" t="s">
        <v>1905</v>
      </c>
      <c r="B1009" s="149" t="s">
        <v>1906</v>
      </c>
      <c r="C1009" s="150"/>
      <c r="D1009" s="150"/>
      <c r="E1009" s="150"/>
      <c r="F1009" s="150"/>
      <c r="G1009" s="150"/>
      <c r="H1009" s="150"/>
      <c r="I1009" s="150"/>
      <c r="J1009" s="150"/>
      <c r="K1009" s="156"/>
      <c r="L1009" s="156"/>
      <c r="M1009" s="156"/>
      <c r="N1009" s="156"/>
      <c r="O1009" s="156"/>
    </row>
    <row r="1010" spans="1:15" x14ac:dyDescent="0.25">
      <c r="A1010" s="150" t="s">
        <v>1907</v>
      </c>
      <c r="B1010" s="150" t="s">
        <v>1908</v>
      </c>
      <c r="C1010" s="150"/>
      <c r="D1010" s="150"/>
      <c r="E1010" s="150"/>
      <c r="F1010" s="150"/>
      <c r="G1010" s="150"/>
      <c r="H1010" s="150"/>
      <c r="I1010" s="150"/>
      <c r="J1010" s="150"/>
      <c r="K1010" s="156"/>
      <c r="L1010" s="156"/>
      <c r="M1010" s="156"/>
      <c r="N1010" s="156"/>
      <c r="O1010" s="156"/>
    </row>
    <row r="1011" spans="1:15" x14ac:dyDescent="0.25">
      <c r="A1011" s="149" t="s">
        <v>1909</v>
      </c>
      <c r="B1011" s="149" t="s">
        <v>1910</v>
      </c>
      <c r="C1011" s="150"/>
      <c r="D1011" s="150"/>
      <c r="E1011" s="150"/>
      <c r="F1011" s="150"/>
      <c r="G1011" s="150"/>
      <c r="H1011" s="150"/>
      <c r="I1011" s="150"/>
      <c r="J1011" s="150"/>
      <c r="K1011" s="156"/>
      <c r="L1011" s="156"/>
      <c r="M1011" s="156"/>
      <c r="N1011" s="156"/>
      <c r="O1011" s="156"/>
    </row>
    <row r="1012" spans="1:15" x14ac:dyDescent="0.25">
      <c r="A1012" s="150" t="s">
        <v>1911</v>
      </c>
      <c r="B1012" s="150" t="s">
        <v>1912</v>
      </c>
      <c r="C1012" s="150"/>
      <c r="D1012" s="150"/>
      <c r="E1012" s="150"/>
      <c r="F1012" s="150"/>
      <c r="G1012" s="150"/>
      <c r="H1012" s="150"/>
      <c r="I1012" s="150"/>
      <c r="J1012" s="150"/>
      <c r="K1012" s="156"/>
      <c r="L1012" s="156"/>
      <c r="M1012" s="156"/>
      <c r="N1012" s="156"/>
      <c r="O1012" s="156"/>
    </row>
    <row r="1013" spans="1:15" x14ac:dyDescent="0.25">
      <c r="A1013" s="149" t="s">
        <v>1913</v>
      </c>
      <c r="B1013" s="149" t="s">
        <v>1914</v>
      </c>
      <c r="C1013" s="150"/>
      <c r="D1013" s="150"/>
      <c r="E1013" s="150"/>
      <c r="F1013" s="150"/>
      <c r="G1013" s="150"/>
      <c r="H1013" s="150"/>
      <c r="I1013" s="150"/>
      <c r="J1013" s="150"/>
      <c r="K1013" s="156"/>
      <c r="L1013" s="156"/>
      <c r="M1013" s="156"/>
      <c r="N1013" s="156"/>
      <c r="O1013" s="156"/>
    </row>
    <row r="1014" spans="1:15" x14ac:dyDescent="0.25">
      <c r="A1014" s="150" t="s">
        <v>1915</v>
      </c>
      <c r="B1014" s="150" t="s">
        <v>1916</v>
      </c>
      <c r="C1014" s="150"/>
      <c r="D1014" s="150"/>
      <c r="E1014" s="150"/>
      <c r="F1014" s="150"/>
      <c r="G1014" s="150"/>
      <c r="H1014" s="150"/>
      <c r="I1014" s="150"/>
      <c r="J1014" s="150"/>
      <c r="K1014" s="156"/>
      <c r="L1014" s="156"/>
      <c r="M1014" s="156"/>
      <c r="N1014" s="156"/>
      <c r="O1014" s="156"/>
    </row>
    <row r="1015" spans="1:15" x14ac:dyDescent="0.25">
      <c r="A1015" s="149" t="s">
        <v>8354</v>
      </c>
      <c r="B1015" s="149" t="s">
        <v>8355</v>
      </c>
      <c r="C1015" s="150"/>
      <c r="D1015" s="150"/>
      <c r="E1015" s="150"/>
      <c r="F1015" s="150"/>
      <c r="G1015" s="150"/>
      <c r="H1015" s="150"/>
      <c r="I1015" s="150"/>
      <c r="J1015" s="150"/>
      <c r="K1015" s="156"/>
      <c r="L1015" s="156"/>
      <c r="M1015" s="156"/>
      <c r="N1015" s="156"/>
      <c r="O1015" s="156"/>
    </row>
    <row r="1016" spans="1:15" x14ac:dyDescent="0.25">
      <c r="A1016" s="150" t="s">
        <v>1917</v>
      </c>
      <c r="B1016" s="150" t="s">
        <v>1918</v>
      </c>
      <c r="C1016" s="150"/>
      <c r="D1016" s="150"/>
      <c r="E1016" s="150"/>
      <c r="F1016" s="150"/>
      <c r="G1016" s="150"/>
      <c r="H1016" s="150"/>
      <c r="I1016" s="150"/>
      <c r="J1016" s="150"/>
      <c r="K1016" s="156"/>
      <c r="L1016" s="156"/>
      <c r="M1016" s="156"/>
      <c r="N1016" s="156"/>
      <c r="O1016" s="156"/>
    </row>
    <row r="1017" spans="1:15" x14ac:dyDescent="0.25">
      <c r="A1017" s="149" t="s">
        <v>1919</v>
      </c>
      <c r="B1017" s="149" t="s">
        <v>1920</v>
      </c>
      <c r="C1017" s="150"/>
      <c r="D1017" s="150"/>
      <c r="E1017" s="150"/>
      <c r="F1017" s="150"/>
      <c r="G1017" s="150"/>
      <c r="H1017" s="150"/>
      <c r="I1017" s="150"/>
      <c r="J1017" s="150"/>
      <c r="K1017" s="156"/>
      <c r="L1017" s="156"/>
      <c r="M1017" s="156"/>
      <c r="N1017" s="156"/>
      <c r="O1017" s="156"/>
    </row>
    <row r="1018" spans="1:15" x14ac:dyDescent="0.25">
      <c r="A1018" s="150" t="s">
        <v>1921</v>
      </c>
      <c r="B1018" s="150" t="s">
        <v>1922</v>
      </c>
      <c r="C1018" s="150"/>
      <c r="D1018" s="150"/>
      <c r="E1018" s="150"/>
      <c r="F1018" s="150"/>
      <c r="G1018" s="150"/>
      <c r="H1018" s="150"/>
      <c r="I1018" s="150"/>
      <c r="J1018" s="150"/>
      <c r="K1018" s="156"/>
      <c r="L1018" s="156"/>
      <c r="M1018" s="156"/>
      <c r="N1018" s="156"/>
      <c r="O1018" s="156"/>
    </row>
    <row r="1019" spans="1:15" x14ac:dyDescent="0.25">
      <c r="A1019" s="149" t="s">
        <v>1923</v>
      </c>
      <c r="B1019" s="149" t="s">
        <v>1924</v>
      </c>
      <c r="C1019" s="150"/>
      <c r="D1019" s="150"/>
      <c r="E1019" s="150"/>
      <c r="F1019" s="150"/>
      <c r="G1019" s="150"/>
      <c r="H1019" s="150"/>
      <c r="I1019" s="150"/>
      <c r="J1019" s="150"/>
      <c r="K1019" s="156"/>
      <c r="L1019" s="156"/>
      <c r="M1019" s="156"/>
      <c r="N1019" s="156"/>
      <c r="O1019" s="156"/>
    </row>
    <row r="1020" spans="1:15" x14ac:dyDescent="0.25">
      <c r="A1020" s="150" t="s">
        <v>1925</v>
      </c>
      <c r="B1020" s="150" t="s">
        <v>1926</v>
      </c>
      <c r="C1020" s="150"/>
      <c r="D1020" s="150"/>
      <c r="E1020" s="150"/>
      <c r="F1020" s="150"/>
      <c r="G1020" s="150"/>
      <c r="H1020" s="150"/>
      <c r="I1020" s="150"/>
      <c r="J1020" s="150"/>
      <c r="K1020" s="156"/>
      <c r="L1020" s="156"/>
      <c r="M1020" s="156"/>
      <c r="N1020" s="156"/>
      <c r="O1020" s="156"/>
    </row>
    <row r="1021" spans="1:15" x14ac:dyDescent="0.25">
      <c r="A1021" s="149" t="s">
        <v>1927</v>
      </c>
      <c r="B1021" s="149" t="s">
        <v>1928</v>
      </c>
      <c r="C1021" s="150"/>
      <c r="D1021" s="150"/>
      <c r="E1021" s="150"/>
      <c r="F1021" s="150"/>
      <c r="G1021" s="150"/>
      <c r="H1021" s="150"/>
      <c r="I1021" s="150"/>
      <c r="J1021" s="150"/>
      <c r="K1021" s="156"/>
      <c r="L1021" s="156"/>
      <c r="M1021" s="156"/>
      <c r="N1021" s="156"/>
      <c r="O1021" s="156"/>
    </row>
    <row r="1022" spans="1:15" x14ac:dyDescent="0.25">
      <c r="A1022" s="150" t="s">
        <v>5984</v>
      </c>
      <c r="B1022" s="150" t="s">
        <v>8356</v>
      </c>
      <c r="C1022" s="150"/>
      <c r="D1022" s="150"/>
      <c r="E1022" s="150"/>
      <c r="F1022" s="150"/>
      <c r="G1022" s="150"/>
      <c r="H1022" s="150"/>
      <c r="I1022" s="150"/>
      <c r="J1022" s="150"/>
      <c r="K1022" s="156"/>
      <c r="L1022" s="156"/>
      <c r="M1022" s="156"/>
      <c r="N1022" s="156"/>
      <c r="O1022" s="156"/>
    </row>
    <row r="1023" spans="1:15" x14ac:dyDescent="0.25">
      <c r="A1023" s="149" t="s">
        <v>1929</v>
      </c>
      <c r="B1023" s="149" t="s">
        <v>1930</v>
      </c>
      <c r="C1023" s="150"/>
      <c r="D1023" s="150"/>
      <c r="E1023" s="150"/>
      <c r="F1023" s="150"/>
      <c r="G1023" s="150"/>
      <c r="H1023" s="150"/>
      <c r="I1023" s="150"/>
      <c r="J1023" s="150"/>
      <c r="K1023" s="156"/>
      <c r="L1023" s="156"/>
      <c r="M1023" s="156"/>
      <c r="N1023" s="156"/>
      <c r="O1023" s="156"/>
    </row>
    <row r="1024" spans="1:15" x14ac:dyDescent="0.25">
      <c r="A1024" s="150" t="s">
        <v>1931</v>
      </c>
      <c r="B1024" s="150" t="s">
        <v>1932</v>
      </c>
      <c r="C1024" s="150"/>
      <c r="D1024" s="150"/>
      <c r="E1024" s="150"/>
      <c r="F1024" s="150"/>
      <c r="G1024" s="150"/>
      <c r="H1024" s="150"/>
      <c r="I1024" s="150"/>
      <c r="J1024" s="150"/>
      <c r="K1024" s="156"/>
      <c r="L1024" s="156"/>
      <c r="M1024" s="156"/>
      <c r="N1024" s="156"/>
      <c r="O1024" s="156"/>
    </row>
    <row r="1025" spans="1:15" x14ac:dyDescent="0.25">
      <c r="A1025" s="149" t="s">
        <v>1933</v>
      </c>
      <c r="B1025" s="149" t="s">
        <v>1934</v>
      </c>
      <c r="C1025" s="150"/>
      <c r="D1025" s="150"/>
      <c r="E1025" s="150"/>
      <c r="F1025" s="150"/>
      <c r="G1025" s="150"/>
      <c r="H1025" s="150"/>
      <c r="I1025" s="150"/>
      <c r="J1025" s="150"/>
      <c r="K1025" s="156"/>
      <c r="L1025" s="156"/>
      <c r="M1025" s="156"/>
      <c r="N1025" s="156"/>
      <c r="O1025" s="156"/>
    </row>
    <row r="1026" spans="1:15" x14ac:dyDescent="0.25">
      <c r="A1026" s="150" t="s">
        <v>1935</v>
      </c>
      <c r="B1026" s="150" t="s">
        <v>1936</v>
      </c>
      <c r="C1026" s="150"/>
      <c r="D1026" s="150"/>
      <c r="E1026" s="150"/>
      <c r="F1026" s="150"/>
      <c r="G1026" s="150"/>
      <c r="H1026" s="150"/>
      <c r="I1026" s="150"/>
      <c r="J1026" s="150"/>
      <c r="K1026" s="156"/>
      <c r="L1026" s="156"/>
      <c r="M1026" s="156"/>
      <c r="N1026" s="156"/>
      <c r="O1026" s="156"/>
    </row>
    <row r="1027" spans="1:15" x14ac:dyDescent="0.25">
      <c r="A1027" s="149" t="s">
        <v>1937</v>
      </c>
      <c r="B1027" s="149" t="s">
        <v>1938</v>
      </c>
      <c r="C1027" s="150"/>
      <c r="D1027" s="150"/>
      <c r="E1027" s="150"/>
      <c r="F1027" s="150"/>
      <c r="G1027" s="150"/>
      <c r="H1027" s="150"/>
      <c r="I1027" s="150"/>
      <c r="J1027" s="150"/>
      <c r="K1027" s="156"/>
      <c r="L1027" s="156"/>
      <c r="M1027" s="156"/>
      <c r="N1027" s="156"/>
      <c r="O1027" s="156"/>
    </row>
    <row r="1028" spans="1:15" x14ac:dyDescent="0.25">
      <c r="A1028" s="150" t="s">
        <v>1939</v>
      </c>
      <c r="B1028" s="150" t="s">
        <v>1940</v>
      </c>
      <c r="C1028" s="150"/>
      <c r="D1028" s="150"/>
      <c r="E1028" s="150"/>
      <c r="F1028" s="150"/>
      <c r="G1028" s="150"/>
      <c r="H1028" s="150"/>
      <c r="I1028" s="150"/>
      <c r="J1028" s="150"/>
      <c r="K1028" s="156"/>
      <c r="L1028" s="156"/>
      <c r="M1028" s="156"/>
      <c r="N1028" s="156"/>
      <c r="O1028" s="156"/>
    </row>
    <row r="1029" spans="1:15" x14ac:dyDescent="0.25">
      <c r="A1029" s="149" t="s">
        <v>1941</v>
      </c>
      <c r="B1029" s="149" t="s">
        <v>1942</v>
      </c>
      <c r="C1029" s="150"/>
      <c r="D1029" s="150"/>
      <c r="E1029" s="150"/>
      <c r="F1029" s="150"/>
      <c r="G1029" s="150"/>
      <c r="H1029" s="150"/>
      <c r="I1029" s="150"/>
      <c r="J1029" s="150"/>
      <c r="K1029" s="156"/>
      <c r="L1029" s="156"/>
      <c r="M1029" s="156"/>
      <c r="N1029" s="156"/>
      <c r="O1029" s="156"/>
    </row>
    <row r="1030" spans="1:15" x14ac:dyDescent="0.25">
      <c r="A1030" s="150" t="s">
        <v>1943</v>
      </c>
      <c r="B1030" s="150" t="s">
        <v>1944</v>
      </c>
      <c r="C1030" s="150"/>
      <c r="D1030" s="150"/>
      <c r="E1030" s="150"/>
      <c r="F1030" s="150"/>
      <c r="G1030" s="150"/>
      <c r="H1030" s="150"/>
      <c r="I1030" s="150"/>
      <c r="J1030" s="150"/>
      <c r="K1030" s="156"/>
      <c r="L1030" s="156"/>
      <c r="M1030" s="156"/>
      <c r="N1030" s="156"/>
      <c r="O1030" s="156"/>
    </row>
    <row r="1031" spans="1:15" x14ac:dyDescent="0.25">
      <c r="A1031" s="149" t="s">
        <v>1945</v>
      </c>
      <c r="B1031" s="149" t="s">
        <v>1946</v>
      </c>
      <c r="C1031" s="150"/>
      <c r="D1031" s="150"/>
      <c r="E1031" s="150"/>
      <c r="F1031" s="150"/>
      <c r="G1031" s="150"/>
      <c r="H1031" s="150"/>
      <c r="I1031" s="150"/>
      <c r="J1031" s="150"/>
      <c r="K1031" s="156"/>
      <c r="L1031" s="156"/>
      <c r="M1031" s="156"/>
      <c r="N1031" s="156"/>
      <c r="O1031" s="156"/>
    </row>
    <row r="1032" spans="1:15" x14ac:dyDescent="0.25">
      <c r="A1032" s="150" t="s">
        <v>1947</v>
      </c>
      <c r="B1032" s="150" t="s">
        <v>1948</v>
      </c>
      <c r="C1032" s="150"/>
      <c r="D1032" s="150"/>
      <c r="E1032" s="150"/>
      <c r="F1032" s="150"/>
      <c r="G1032" s="150"/>
      <c r="H1032" s="150"/>
      <c r="I1032" s="150"/>
      <c r="J1032" s="150"/>
      <c r="K1032" s="156"/>
      <c r="L1032" s="156"/>
      <c r="M1032" s="156"/>
      <c r="N1032" s="156"/>
      <c r="O1032" s="156"/>
    </row>
    <row r="1033" spans="1:15" x14ac:dyDescent="0.25">
      <c r="A1033" s="149" t="s">
        <v>1949</v>
      </c>
      <c r="B1033" s="149" t="s">
        <v>1950</v>
      </c>
      <c r="C1033" s="150"/>
      <c r="D1033" s="150"/>
      <c r="E1033" s="150"/>
      <c r="F1033" s="150"/>
      <c r="G1033" s="150"/>
      <c r="H1033" s="150"/>
      <c r="I1033" s="150"/>
      <c r="J1033" s="150"/>
      <c r="K1033" s="156"/>
      <c r="L1033" s="156"/>
      <c r="M1033" s="156"/>
      <c r="N1033" s="156"/>
      <c r="O1033" s="156"/>
    </row>
    <row r="1034" spans="1:15" x14ac:dyDescent="0.25">
      <c r="A1034" s="150" t="s">
        <v>1951</v>
      </c>
      <c r="B1034" s="150" t="s">
        <v>1952</v>
      </c>
      <c r="C1034" s="150"/>
      <c r="D1034" s="150"/>
      <c r="E1034" s="150"/>
      <c r="F1034" s="150"/>
      <c r="G1034" s="150"/>
      <c r="H1034" s="150"/>
      <c r="I1034" s="150"/>
      <c r="J1034" s="150"/>
      <c r="K1034" s="156"/>
      <c r="L1034" s="156"/>
      <c r="M1034" s="156"/>
      <c r="N1034" s="156"/>
      <c r="O1034" s="156"/>
    </row>
    <row r="1035" spans="1:15" x14ac:dyDescent="0.25">
      <c r="A1035" s="149" t="s">
        <v>1953</v>
      </c>
      <c r="B1035" s="149" t="s">
        <v>1954</v>
      </c>
      <c r="C1035" s="150"/>
      <c r="D1035" s="150"/>
      <c r="E1035" s="150"/>
      <c r="F1035" s="150"/>
      <c r="G1035" s="150"/>
      <c r="H1035" s="150"/>
      <c r="I1035" s="150"/>
      <c r="J1035" s="150"/>
      <c r="K1035" s="156"/>
      <c r="L1035" s="156"/>
      <c r="M1035" s="156"/>
      <c r="N1035" s="156"/>
      <c r="O1035" s="156"/>
    </row>
    <row r="1036" spans="1:15" x14ac:dyDescent="0.25">
      <c r="A1036" s="150" t="s">
        <v>1955</v>
      </c>
      <c r="B1036" s="150" t="s">
        <v>1956</v>
      </c>
      <c r="C1036" s="150"/>
      <c r="D1036" s="150"/>
      <c r="E1036" s="150"/>
      <c r="F1036" s="150"/>
      <c r="G1036" s="150"/>
      <c r="H1036" s="150"/>
      <c r="I1036" s="150"/>
      <c r="J1036" s="150"/>
      <c r="K1036" s="156"/>
      <c r="L1036" s="156"/>
      <c r="M1036" s="156"/>
      <c r="N1036" s="156"/>
      <c r="O1036" s="156"/>
    </row>
    <row r="1037" spans="1:15" x14ac:dyDescent="0.25">
      <c r="A1037" s="149" t="s">
        <v>1957</v>
      </c>
      <c r="B1037" s="149" t="s">
        <v>1958</v>
      </c>
      <c r="C1037" s="150"/>
      <c r="D1037" s="150"/>
      <c r="E1037" s="150"/>
      <c r="F1037" s="150"/>
      <c r="G1037" s="150"/>
      <c r="H1037" s="150"/>
      <c r="I1037" s="150"/>
      <c r="J1037" s="150"/>
      <c r="K1037" s="156"/>
      <c r="L1037" s="156"/>
      <c r="M1037" s="156"/>
      <c r="N1037" s="156"/>
      <c r="O1037" s="156"/>
    </row>
    <row r="1038" spans="1:15" x14ac:dyDescent="0.25">
      <c r="A1038" s="150" t="s">
        <v>1959</v>
      </c>
      <c r="B1038" s="150" t="s">
        <v>1960</v>
      </c>
      <c r="C1038" s="150"/>
      <c r="D1038" s="150"/>
      <c r="E1038" s="150"/>
      <c r="F1038" s="150"/>
      <c r="G1038" s="150"/>
      <c r="H1038" s="150"/>
      <c r="I1038" s="150"/>
      <c r="J1038" s="150"/>
      <c r="K1038" s="156"/>
      <c r="L1038" s="156"/>
      <c r="M1038" s="156"/>
      <c r="N1038" s="156"/>
      <c r="O1038" s="156"/>
    </row>
    <row r="1039" spans="1:15" x14ac:dyDescent="0.25">
      <c r="A1039" s="149" t="s">
        <v>1961</v>
      </c>
      <c r="B1039" s="149" t="s">
        <v>1962</v>
      </c>
      <c r="C1039" s="150"/>
      <c r="D1039" s="150"/>
      <c r="E1039" s="150"/>
      <c r="F1039" s="150"/>
      <c r="G1039" s="150"/>
      <c r="H1039" s="150"/>
      <c r="I1039" s="150"/>
      <c r="J1039" s="150"/>
      <c r="K1039" s="156"/>
      <c r="L1039" s="156"/>
      <c r="M1039" s="156"/>
      <c r="N1039" s="156"/>
      <c r="O1039" s="156"/>
    </row>
    <row r="1040" spans="1:15" x14ac:dyDescent="0.25">
      <c r="A1040" s="150" t="s">
        <v>1963</v>
      </c>
      <c r="B1040" s="150" t="s">
        <v>1964</v>
      </c>
      <c r="C1040" s="150"/>
      <c r="D1040" s="150"/>
      <c r="E1040" s="150"/>
      <c r="F1040" s="150"/>
      <c r="G1040" s="150"/>
      <c r="H1040" s="150"/>
      <c r="I1040" s="150"/>
      <c r="J1040" s="150"/>
      <c r="K1040" s="156"/>
      <c r="L1040" s="156"/>
      <c r="M1040" s="156"/>
      <c r="N1040" s="156"/>
      <c r="O1040" s="156"/>
    </row>
    <row r="1041" spans="1:15" x14ac:dyDescent="0.25">
      <c r="A1041" s="149" t="s">
        <v>1965</v>
      </c>
      <c r="B1041" s="149" t="s">
        <v>1966</v>
      </c>
      <c r="C1041" s="150"/>
      <c r="D1041" s="150"/>
      <c r="E1041" s="150"/>
      <c r="F1041" s="150"/>
      <c r="G1041" s="150"/>
      <c r="H1041" s="150"/>
      <c r="I1041" s="150"/>
      <c r="J1041" s="150"/>
      <c r="K1041" s="156"/>
      <c r="L1041" s="156"/>
      <c r="M1041" s="156"/>
      <c r="N1041" s="156"/>
      <c r="O1041" s="156"/>
    </row>
    <row r="1042" spans="1:15" x14ac:dyDescent="0.25">
      <c r="A1042" s="150" t="s">
        <v>1967</v>
      </c>
      <c r="B1042" s="150" t="s">
        <v>1968</v>
      </c>
      <c r="C1042" s="150"/>
      <c r="D1042" s="150"/>
      <c r="E1042" s="150"/>
      <c r="F1042" s="150"/>
      <c r="G1042" s="150"/>
      <c r="H1042" s="150"/>
      <c r="I1042" s="150"/>
      <c r="J1042" s="150"/>
      <c r="K1042" s="156"/>
      <c r="L1042" s="156"/>
      <c r="M1042" s="156"/>
      <c r="N1042" s="156"/>
      <c r="O1042" s="156"/>
    </row>
    <row r="1043" spans="1:15" x14ac:dyDescent="0.25">
      <c r="A1043" s="149" t="s">
        <v>1969</v>
      </c>
      <c r="B1043" s="149" t="s">
        <v>1970</v>
      </c>
      <c r="C1043" s="150"/>
      <c r="D1043" s="150"/>
      <c r="E1043" s="150"/>
      <c r="F1043" s="150"/>
      <c r="G1043" s="150"/>
      <c r="H1043" s="150"/>
      <c r="I1043" s="150"/>
      <c r="J1043" s="150"/>
      <c r="K1043" s="156"/>
      <c r="L1043" s="156"/>
      <c r="M1043" s="156"/>
      <c r="N1043" s="156"/>
      <c r="O1043" s="156"/>
    </row>
    <row r="1044" spans="1:15" x14ac:dyDescent="0.25">
      <c r="A1044" s="150" t="s">
        <v>1971</v>
      </c>
      <c r="B1044" s="150" t="s">
        <v>1972</v>
      </c>
      <c r="C1044" s="150"/>
      <c r="D1044" s="150"/>
      <c r="E1044" s="150"/>
      <c r="F1044" s="150"/>
      <c r="G1044" s="150"/>
      <c r="H1044" s="150"/>
      <c r="I1044" s="150"/>
      <c r="J1044" s="150"/>
      <c r="K1044" s="156"/>
      <c r="L1044" s="156"/>
      <c r="M1044" s="156"/>
      <c r="N1044" s="156"/>
      <c r="O1044" s="156"/>
    </row>
    <row r="1045" spans="1:15" x14ac:dyDescent="0.25">
      <c r="A1045" s="149" t="s">
        <v>1973</v>
      </c>
      <c r="B1045" s="149" t="s">
        <v>1974</v>
      </c>
      <c r="C1045" s="150"/>
      <c r="D1045" s="150"/>
      <c r="E1045" s="150"/>
      <c r="F1045" s="150"/>
      <c r="G1045" s="150"/>
      <c r="H1045" s="150"/>
      <c r="I1045" s="150"/>
      <c r="J1045" s="150"/>
      <c r="K1045" s="156"/>
      <c r="L1045" s="156"/>
      <c r="M1045" s="156"/>
      <c r="N1045" s="156"/>
      <c r="O1045" s="156"/>
    </row>
    <row r="1046" spans="1:15" x14ac:dyDescent="0.25">
      <c r="A1046" s="150" t="s">
        <v>1975</v>
      </c>
      <c r="B1046" s="150" t="s">
        <v>1976</v>
      </c>
      <c r="C1046" s="150"/>
      <c r="D1046" s="150"/>
      <c r="E1046" s="150"/>
      <c r="F1046" s="150"/>
      <c r="G1046" s="150"/>
      <c r="H1046" s="150"/>
      <c r="I1046" s="150"/>
      <c r="J1046" s="150"/>
      <c r="K1046" s="156"/>
      <c r="L1046" s="156"/>
      <c r="M1046" s="156"/>
      <c r="N1046" s="156"/>
      <c r="O1046" s="156"/>
    </row>
    <row r="1047" spans="1:15" x14ac:dyDescent="0.25">
      <c r="A1047" s="149" t="s">
        <v>1977</v>
      </c>
      <c r="B1047" s="149" t="s">
        <v>1978</v>
      </c>
      <c r="C1047" s="150"/>
      <c r="D1047" s="150"/>
      <c r="E1047" s="150"/>
      <c r="F1047" s="150"/>
      <c r="G1047" s="150"/>
      <c r="H1047" s="150"/>
      <c r="I1047" s="150"/>
      <c r="J1047" s="150"/>
      <c r="K1047" s="156"/>
      <c r="L1047" s="156"/>
      <c r="M1047" s="156"/>
      <c r="N1047" s="156"/>
      <c r="O1047" s="156"/>
    </row>
    <row r="1048" spans="1:15" x14ac:dyDescent="0.25">
      <c r="A1048" s="150" t="s">
        <v>1979</v>
      </c>
      <c r="B1048" s="150" t="s">
        <v>1980</v>
      </c>
      <c r="C1048" s="150"/>
      <c r="D1048" s="150"/>
      <c r="E1048" s="150"/>
      <c r="F1048" s="150"/>
      <c r="G1048" s="150"/>
      <c r="H1048" s="150"/>
      <c r="I1048" s="150"/>
      <c r="J1048" s="150"/>
      <c r="K1048" s="156"/>
      <c r="L1048" s="156"/>
      <c r="M1048" s="156"/>
      <c r="N1048" s="156"/>
      <c r="O1048" s="156"/>
    </row>
    <row r="1049" spans="1:15" x14ac:dyDescent="0.25">
      <c r="A1049" s="149" t="s">
        <v>1981</v>
      </c>
      <c r="B1049" s="149" t="s">
        <v>1982</v>
      </c>
      <c r="C1049" s="150"/>
      <c r="D1049" s="150"/>
      <c r="E1049" s="150"/>
      <c r="F1049" s="150"/>
      <c r="G1049" s="150"/>
      <c r="H1049" s="150"/>
      <c r="I1049" s="150"/>
      <c r="J1049" s="150"/>
      <c r="K1049" s="156"/>
      <c r="L1049" s="156"/>
      <c r="M1049" s="156"/>
      <c r="N1049" s="156"/>
      <c r="O1049" s="156"/>
    </row>
    <row r="1050" spans="1:15" x14ac:dyDescent="0.25">
      <c r="A1050" s="150" t="s">
        <v>1983</v>
      </c>
      <c r="B1050" s="150" t="s">
        <v>1984</v>
      </c>
      <c r="C1050" s="150"/>
      <c r="D1050" s="150"/>
      <c r="E1050" s="150"/>
      <c r="F1050" s="150"/>
      <c r="G1050" s="150"/>
      <c r="H1050" s="150"/>
      <c r="I1050" s="150"/>
      <c r="J1050" s="150"/>
      <c r="K1050" s="156"/>
      <c r="L1050" s="156"/>
      <c r="M1050" s="156"/>
      <c r="N1050" s="156"/>
      <c r="O1050" s="156"/>
    </row>
    <row r="1051" spans="1:15" x14ac:dyDescent="0.25">
      <c r="A1051" s="149" t="s">
        <v>1985</v>
      </c>
      <c r="B1051" s="149" t="s">
        <v>8357</v>
      </c>
      <c r="C1051" s="150"/>
      <c r="D1051" s="150"/>
      <c r="E1051" s="150"/>
      <c r="F1051" s="150"/>
      <c r="G1051" s="150"/>
      <c r="H1051" s="150"/>
      <c r="I1051" s="150"/>
      <c r="J1051" s="150"/>
      <c r="K1051" s="156"/>
      <c r="L1051" s="156"/>
      <c r="M1051" s="156"/>
      <c r="N1051" s="156"/>
      <c r="O1051" s="156"/>
    </row>
    <row r="1052" spans="1:15" x14ac:dyDescent="0.25">
      <c r="A1052" s="150" t="s">
        <v>1986</v>
      </c>
      <c r="B1052" s="150" t="s">
        <v>8358</v>
      </c>
      <c r="C1052" s="150"/>
      <c r="D1052" s="150"/>
      <c r="E1052" s="150"/>
      <c r="F1052" s="150"/>
      <c r="G1052" s="150"/>
      <c r="H1052" s="150"/>
      <c r="I1052" s="150"/>
      <c r="J1052" s="150"/>
      <c r="K1052" s="156"/>
      <c r="L1052" s="156"/>
      <c r="M1052" s="156"/>
      <c r="N1052" s="156"/>
      <c r="O1052" s="156"/>
    </row>
    <row r="1053" spans="1:15" x14ac:dyDescent="0.25">
      <c r="A1053" s="149" t="s">
        <v>1987</v>
      </c>
      <c r="B1053" s="149" t="s">
        <v>1988</v>
      </c>
      <c r="C1053" s="150"/>
      <c r="D1053" s="150"/>
      <c r="E1053" s="150"/>
      <c r="F1053" s="150"/>
      <c r="G1053" s="150"/>
      <c r="H1053" s="150"/>
      <c r="I1053" s="150"/>
      <c r="J1053" s="150"/>
      <c r="K1053" s="156"/>
      <c r="L1053" s="156"/>
      <c r="M1053" s="156"/>
      <c r="N1053" s="156"/>
      <c r="O1053" s="156"/>
    </row>
    <row r="1054" spans="1:15" x14ac:dyDescent="0.25">
      <c r="A1054" s="150" t="s">
        <v>1989</v>
      </c>
      <c r="B1054" s="150" t="s">
        <v>8359</v>
      </c>
      <c r="C1054" s="150"/>
      <c r="D1054" s="150"/>
      <c r="E1054" s="150"/>
      <c r="F1054" s="150"/>
      <c r="G1054" s="150"/>
      <c r="H1054" s="150"/>
      <c r="I1054" s="150"/>
      <c r="J1054" s="150"/>
      <c r="K1054" s="156"/>
      <c r="L1054" s="156"/>
      <c r="M1054" s="156"/>
      <c r="N1054" s="156"/>
      <c r="O1054" s="156"/>
    </row>
    <row r="1055" spans="1:15" x14ac:dyDescent="0.25">
      <c r="A1055" s="149" t="s">
        <v>1990</v>
      </c>
      <c r="B1055" s="149" t="s">
        <v>1991</v>
      </c>
      <c r="C1055" s="150"/>
      <c r="D1055" s="150"/>
      <c r="E1055" s="150"/>
      <c r="F1055" s="150"/>
      <c r="G1055" s="150"/>
      <c r="H1055" s="150"/>
      <c r="I1055" s="150"/>
      <c r="J1055" s="150"/>
      <c r="K1055" s="156"/>
      <c r="L1055" s="156"/>
      <c r="M1055" s="156"/>
      <c r="N1055" s="156"/>
      <c r="O1055" s="156"/>
    </row>
    <row r="1056" spans="1:15" x14ac:dyDescent="0.25">
      <c r="A1056" s="150" t="s">
        <v>1992</v>
      </c>
      <c r="B1056" s="150" t="s">
        <v>1993</v>
      </c>
      <c r="C1056" s="150"/>
      <c r="D1056" s="150"/>
      <c r="E1056" s="150"/>
      <c r="F1056" s="150"/>
      <c r="G1056" s="150"/>
      <c r="H1056" s="150"/>
      <c r="I1056" s="150"/>
      <c r="J1056" s="150"/>
      <c r="K1056" s="156"/>
      <c r="L1056" s="156"/>
      <c r="M1056" s="156"/>
      <c r="N1056" s="156"/>
      <c r="O1056" s="156"/>
    </row>
    <row r="1057" spans="1:15" x14ac:dyDescent="0.25">
      <c r="A1057" s="149" t="s">
        <v>1994</v>
      </c>
      <c r="B1057" s="149" t="s">
        <v>1995</v>
      </c>
      <c r="C1057" s="150"/>
      <c r="D1057" s="150"/>
      <c r="E1057" s="150"/>
      <c r="F1057" s="150"/>
      <c r="G1057" s="150"/>
      <c r="H1057" s="150"/>
      <c r="I1057" s="150"/>
      <c r="J1057" s="150"/>
      <c r="K1057" s="156"/>
      <c r="L1057" s="156"/>
      <c r="M1057" s="156"/>
      <c r="N1057" s="156"/>
      <c r="O1057" s="156"/>
    </row>
    <row r="1058" spans="1:15" x14ac:dyDescent="0.25">
      <c r="A1058" s="150" t="s">
        <v>1996</v>
      </c>
      <c r="B1058" s="150" t="s">
        <v>1997</v>
      </c>
      <c r="C1058" s="150"/>
      <c r="D1058" s="150"/>
      <c r="E1058" s="150"/>
      <c r="F1058" s="150"/>
      <c r="G1058" s="150"/>
      <c r="H1058" s="150"/>
      <c r="I1058" s="150"/>
      <c r="J1058" s="150"/>
      <c r="K1058" s="156"/>
      <c r="L1058" s="156"/>
      <c r="M1058" s="156"/>
      <c r="N1058" s="156"/>
      <c r="O1058" s="156"/>
    </row>
    <row r="1059" spans="1:15" x14ac:dyDescent="0.25">
      <c r="A1059" s="149" t="s">
        <v>1998</v>
      </c>
      <c r="B1059" s="149" t="s">
        <v>1999</v>
      </c>
      <c r="C1059" s="150"/>
      <c r="D1059" s="150"/>
      <c r="E1059" s="150"/>
      <c r="F1059" s="150"/>
      <c r="G1059" s="150"/>
      <c r="H1059" s="150"/>
      <c r="I1059" s="150"/>
      <c r="J1059" s="150"/>
      <c r="K1059" s="156"/>
      <c r="L1059" s="156"/>
      <c r="M1059" s="156"/>
      <c r="N1059" s="156"/>
      <c r="O1059" s="156"/>
    </row>
    <row r="1060" spans="1:15" x14ac:dyDescent="0.25">
      <c r="A1060" s="150" t="s">
        <v>2000</v>
      </c>
      <c r="B1060" s="150" t="s">
        <v>2001</v>
      </c>
      <c r="C1060" s="150"/>
      <c r="D1060" s="150"/>
      <c r="E1060" s="150"/>
      <c r="F1060" s="150"/>
      <c r="G1060" s="150"/>
      <c r="H1060" s="150"/>
      <c r="I1060" s="150"/>
      <c r="J1060" s="150"/>
      <c r="K1060" s="156"/>
      <c r="L1060" s="156"/>
      <c r="M1060" s="156"/>
      <c r="N1060" s="156"/>
      <c r="O1060" s="156"/>
    </row>
    <row r="1061" spans="1:15" x14ac:dyDescent="0.25">
      <c r="A1061" s="149" t="s">
        <v>2002</v>
      </c>
      <c r="B1061" s="149" t="s">
        <v>8360</v>
      </c>
      <c r="C1061" s="150"/>
      <c r="D1061" s="150"/>
      <c r="E1061" s="150"/>
      <c r="F1061" s="150"/>
      <c r="G1061" s="150"/>
      <c r="H1061" s="150"/>
      <c r="I1061" s="150"/>
      <c r="J1061" s="150"/>
      <c r="K1061" s="156"/>
      <c r="L1061" s="156"/>
      <c r="M1061" s="156"/>
      <c r="N1061" s="156"/>
      <c r="O1061" s="156"/>
    </row>
    <row r="1062" spans="1:15" x14ac:dyDescent="0.25">
      <c r="A1062" s="150" t="s">
        <v>2003</v>
      </c>
      <c r="B1062" s="150" t="s">
        <v>8361</v>
      </c>
      <c r="C1062" s="150"/>
      <c r="D1062" s="150"/>
      <c r="E1062" s="150"/>
      <c r="F1062" s="150"/>
      <c r="G1062" s="150"/>
      <c r="H1062" s="150"/>
      <c r="I1062" s="150"/>
      <c r="J1062" s="150"/>
      <c r="K1062" s="156"/>
      <c r="L1062" s="156"/>
      <c r="M1062" s="156"/>
      <c r="N1062" s="156"/>
      <c r="O1062" s="156"/>
    </row>
    <row r="1063" spans="1:15" x14ac:dyDescent="0.25">
      <c r="A1063" s="149" t="s">
        <v>2004</v>
      </c>
      <c r="B1063" s="149" t="s">
        <v>8362</v>
      </c>
      <c r="C1063" s="150"/>
      <c r="D1063" s="150"/>
      <c r="E1063" s="150"/>
      <c r="F1063" s="150"/>
      <c r="G1063" s="150"/>
      <c r="H1063" s="150"/>
      <c r="I1063" s="150"/>
      <c r="J1063" s="150"/>
      <c r="K1063" s="156"/>
      <c r="L1063" s="156"/>
      <c r="M1063" s="156"/>
      <c r="N1063" s="156"/>
      <c r="O1063" s="156"/>
    </row>
    <row r="1064" spans="1:15" x14ac:dyDescent="0.25">
      <c r="A1064" s="150" t="s">
        <v>2005</v>
      </c>
      <c r="B1064" s="150" t="s">
        <v>2006</v>
      </c>
      <c r="C1064" s="150"/>
      <c r="D1064" s="150"/>
      <c r="E1064" s="150"/>
      <c r="F1064" s="150"/>
      <c r="G1064" s="150"/>
      <c r="H1064" s="150"/>
      <c r="I1064" s="150"/>
      <c r="J1064" s="150"/>
      <c r="K1064" s="156"/>
      <c r="L1064" s="156"/>
      <c r="M1064" s="156"/>
      <c r="N1064" s="156"/>
      <c r="O1064" s="156"/>
    </row>
    <row r="1065" spans="1:15" x14ac:dyDescent="0.25">
      <c r="A1065" s="149" t="s">
        <v>2007</v>
      </c>
      <c r="B1065" s="149" t="s">
        <v>2008</v>
      </c>
      <c r="C1065" s="150"/>
      <c r="D1065" s="150"/>
      <c r="E1065" s="150"/>
      <c r="F1065" s="150"/>
      <c r="G1065" s="150"/>
      <c r="H1065" s="150"/>
      <c r="I1065" s="150"/>
      <c r="J1065" s="150"/>
      <c r="K1065" s="156"/>
      <c r="L1065" s="156"/>
      <c r="M1065" s="156"/>
      <c r="N1065" s="156"/>
      <c r="O1065" s="156"/>
    </row>
    <row r="1066" spans="1:15" x14ac:dyDescent="0.25">
      <c r="A1066" s="150" t="s">
        <v>2009</v>
      </c>
      <c r="B1066" s="150" t="s">
        <v>2010</v>
      </c>
      <c r="C1066" s="150"/>
      <c r="D1066" s="150"/>
      <c r="E1066" s="150"/>
      <c r="F1066" s="150"/>
      <c r="G1066" s="150"/>
      <c r="H1066" s="150"/>
      <c r="I1066" s="150"/>
      <c r="J1066" s="150"/>
      <c r="K1066" s="156"/>
      <c r="L1066" s="156"/>
      <c r="M1066" s="156"/>
      <c r="N1066" s="156"/>
      <c r="O1066" s="156"/>
    </row>
    <row r="1067" spans="1:15" x14ac:dyDescent="0.25">
      <c r="A1067" s="149" t="s">
        <v>2011</v>
      </c>
      <c r="B1067" s="149" t="s">
        <v>8363</v>
      </c>
      <c r="C1067" s="150"/>
      <c r="D1067" s="150"/>
      <c r="E1067" s="150"/>
      <c r="F1067" s="150"/>
      <c r="G1067" s="150"/>
      <c r="H1067" s="150"/>
      <c r="I1067" s="150"/>
      <c r="J1067" s="150"/>
      <c r="K1067" s="156"/>
      <c r="L1067" s="156"/>
      <c r="M1067" s="156"/>
      <c r="N1067" s="156"/>
      <c r="O1067" s="156"/>
    </row>
    <row r="1068" spans="1:15" x14ac:dyDescent="0.25">
      <c r="A1068" s="150" t="s">
        <v>2012</v>
      </c>
      <c r="B1068" s="150" t="s">
        <v>8364</v>
      </c>
      <c r="C1068" s="150"/>
      <c r="D1068" s="150"/>
      <c r="E1068" s="150"/>
      <c r="F1068" s="150"/>
      <c r="G1068" s="150"/>
      <c r="H1068" s="150"/>
      <c r="I1068" s="150"/>
      <c r="J1068" s="150"/>
      <c r="K1068" s="156"/>
      <c r="L1068" s="156"/>
      <c r="M1068" s="156"/>
      <c r="N1068" s="156"/>
      <c r="O1068" s="156"/>
    </row>
    <row r="1069" spans="1:15" x14ac:dyDescent="0.25">
      <c r="A1069" s="149" t="s">
        <v>2013</v>
      </c>
      <c r="B1069" s="149" t="s">
        <v>2014</v>
      </c>
      <c r="C1069" s="150"/>
      <c r="D1069" s="150"/>
      <c r="E1069" s="150"/>
      <c r="F1069" s="150"/>
      <c r="G1069" s="150"/>
      <c r="H1069" s="150"/>
      <c r="I1069" s="150"/>
      <c r="J1069" s="150"/>
      <c r="K1069" s="156"/>
      <c r="L1069" s="156"/>
      <c r="M1069" s="156"/>
      <c r="N1069" s="156"/>
      <c r="O1069" s="156"/>
    </row>
    <row r="1070" spans="1:15" x14ac:dyDescent="0.25">
      <c r="A1070" s="150" t="s">
        <v>2015</v>
      </c>
      <c r="B1070" s="150" t="s">
        <v>2016</v>
      </c>
      <c r="C1070" s="150"/>
      <c r="D1070" s="150"/>
      <c r="E1070" s="150"/>
      <c r="F1070" s="150"/>
      <c r="G1070" s="150"/>
      <c r="H1070" s="150"/>
      <c r="I1070" s="150"/>
      <c r="J1070" s="150"/>
      <c r="K1070" s="156"/>
      <c r="L1070" s="156"/>
      <c r="M1070" s="156"/>
      <c r="N1070" s="156"/>
      <c r="O1070" s="156"/>
    </row>
    <row r="1071" spans="1:15" x14ac:dyDescent="0.25">
      <c r="A1071" s="149" t="s">
        <v>2017</v>
      </c>
      <c r="B1071" s="149" t="s">
        <v>2018</v>
      </c>
      <c r="C1071" s="150"/>
      <c r="D1071" s="150"/>
      <c r="E1071" s="150"/>
      <c r="F1071" s="150"/>
      <c r="G1071" s="150"/>
      <c r="H1071" s="150"/>
      <c r="I1071" s="150"/>
      <c r="J1071" s="150"/>
      <c r="K1071" s="156"/>
      <c r="L1071" s="156"/>
      <c r="M1071" s="156"/>
      <c r="N1071" s="156"/>
      <c r="O1071" s="156"/>
    </row>
    <row r="1072" spans="1:15" x14ac:dyDescent="0.25">
      <c r="A1072" s="150" t="s">
        <v>2019</v>
      </c>
      <c r="B1072" s="150" t="s">
        <v>2020</v>
      </c>
      <c r="C1072" s="150"/>
      <c r="D1072" s="150"/>
      <c r="E1072" s="150"/>
      <c r="F1072" s="150"/>
      <c r="G1072" s="150"/>
      <c r="H1072" s="150"/>
      <c r="I1072" s="150"/>
      <c r="J1072" s="150"/>
      <c r="K1072" s="156"/>
      <c r="L1072" s="156"/>
      <c r="M1072" s="156"/>
      <c r="N1072" s="156"/>
      <c r="O1072" s="156"/>
    </row>
    <row r="1073" spans="1:15" x14ac:dyDescent="0.25">
      <c r="A1073" s="149" t="s">
        <v>6027</v>
      </c>
      <c r="B1073" s="149" t="s">
        <v>8365</v>
      </c>
      <c r="C1073" s="150"/>
      <c r="D1073" s="150"/>
      <c r="E1073" s="150"/>
      <c r="F1073" s="150"/>
      <c r="G1073" s="150"/>
      <c r="H1073" s="150"/>
      <c r="I1073" s="150"/>
      <c r="J1073" s="150"/>
      <c r="K1073" s="156"/>
      <c r="L1073" s="156"/>
      <c r="M1073" s="156"/>
      <c r="N1073" s="156"/>
      <c r="O1073" s="156"/>
    </row>
    <row r="1074" spans="1:15" x14ac:dyDescent="0.25">
      <c r="A1074" s="150" t="s">
        <v>2021</v>
      </c>
      <c r="B1074" s="150" t="s">
        <v>2022</v>
      </c>
      <c r="C1074" s="150"/>
      <c r="D1074" s="150"/>
      <c r="E1074" s="150"/>
      <c r="F1074" s="150"/>
      <c r="G1074" s="150"/>
      <c r="H1074" s="150"/>
      <c r="I1074" s="150"/>
      <c r="J1074" s="150"/>
      <c r="K1074" s="156"/>
      <c r="L1074" s="156"/>
      <c r="M1074" s="156"/>
      <c r="N1074" s="156"/>
      <c r="O1074" s="156"/>
    </row>
    <row r="1075" spans="1:15" x14ac:dyDescent="0.25">
      <c r="A1075" s="149" t="s">
        <v>2023</v>
      </c>
      <c r="B1075" s="149" t="s">
        <v>2024</v>
      </c>
      <c r="C1075" s="150"/>
      <c r="D1075" s="150"/>
      <c r="E1075" s="150"/>
      <c r="F1075" s="150"/>
      <c r="G1075" s="150"/>
      <c r="H1075" s="150"/>
      <c r="I1075" s="150"/>
      <c r="J1075" s="150"/>
      <c r="K1075" s="156"/>
      <c r="L1075" s="156"/>
      <c r="M1075" s="156"/>
      <c r="N1075" s="156"/>
      <c r="O1075" s="156"/>
    </row>
    <row r="1076" spans="1:15" x14ac:dyDescent="0.25">
      <c r="A1076" s="150" t="s">
        <v>2025</v>
      </c>
      <c r="B1076" s="150" t="s">
        <v>2026</v>
      </c>
      <c r="C1076" s="150"/>
      <c r="D1076" s="150"/>
      <c r="E1076" s="150"/>
      <c r="F1076" s="150"/>
      <c r="G1076" s="150"/>
      <c r="H1076" s="150"/>
      <c r="I1076" s="150"/>
      <c r="J1076" s="150"/>
      <c r="K1076" s="156"/>
      <c r="L1076" s="156"/>
      <c r="M1076" s="156"/>
      <c r="N1076" s="156"/>
      <c r="O1076" s="156"/>
    </row>
    <row r="1077" spans="1:15" x14ac:dyDescent="0.25">
      <c r="A1077" s="149" t="s">
        <v>2027</v>
      </c>
      <c r="B1077" s="149" t="s">
        <v>2028</v>
      </c>
      <c r="C1077" s="150"/>
      <c r="D1077" s="150"/>
      <c r="E1077" s="150"/>
      <c r="F1077" s="150"/>
      <c r="G1077" s="150"/>
      <c r="H1077" s="150"/>
      <c r="I1077" s="150"/>
      <c r="J1077" s="150"/>
      <c r="K1077" s="156"/>
      <c r="L1077" s="156"/>
      <c r="M1077" s="156"/>
      <c r="N1077" s="156"/>
      <c r="O1077" s="156"/>
    </row>
    <row r="1078" spans="1:15" x14ac:dyDescent="0.25">
      <c r="A1078" s="150" t="s">
        <v>2029</v>
      </c>
      <c r="B1078" s="150" t="s">
        <v>2030</v>
      </c>
      <c r="C1078" s="150"/>
      <c r="D1078" s="150"/>
      <c r="E1078" s="150"/>
      <c r="F1078" s="150"/>
      <c r="G1078" s="150"/>
      <c r="H1078" s="150"/>
      <c r="I1078" s="150"/>
      <c r="J1078" s="150"/>
      <c r="K1078" s="156"/>
      <c r="L1078" s="156"/>
      <c r="M1078" s="156"/>
      <c r="N1078" s="156"/>
      <c r="O1078" s="156"/>
    </row>
    <row r="1079" spans="1:15" x14ac:dyDescent="0.25">
      <c r="A1079" s="149" t="s">
        <v>2031</v>
      </c>
      <c r="B1079" s="149" t="s">
        <v>2032</v>
      </c>
      <c r="C1079" s="150"/>
      <c r="D1079" s="150"/>
      <c r="E1079" s="150"/>
      <c r="F1079" s="150"/>
      <c r="G1079" s="150"/>
      <c r="H1079" s="150"/>
      <c r="I1079" s="150"/>
      <c r="J1079" s="150"/>
      <c r="K1079" s="156"/>
      <c r="L1079" s="156"/>
      <c r="M1079" s="156"/>
      <c r="N1079" s="156"/>
      <c r="O1079" s="156"/>
    </row>
    <row r="1080" spans="1:15" x14ac:dyDescent="0.25">
      <c r="A1080" s="150" t="s">
        <v>2033</v>
      </c>
      <c r="B1080" s="150" t="s">
        <v>2034</v>
      </c>
      <c r="C1080" s="150"/>
      <c r="D1080" s="150"/>
      <c r="E1080" s="150"/>
      <c r="F1080" s="150"/>
      <c r="G1080" s="150"/>
      <c r="H1080" s="150"/>
      <c r="I1080" s="150"/>
      <c r="J1080" s="150"/>
      <c r="K1080" s="156"/>
      <c r="L1080" s="156"/>
      <c r="M1080" s="156"/>
      <c r="N1080" s="156"/>
      <c r="O1080" s="156"/>
    </row>
    <row r="1081" spans="1:15" x14ac:dyDescent="0.25">
      <c r="A1081" s="149" t="s">
        <v>2035</v>
      </c>
      <c r="B1081" s="149" t="s">
        <v>2036</v>
      </c>
      <c r="C1081" s="150"/>
      <c r="D1081" s="150"/>
      <c r="E1081" s="150"/>
      <c r="F1081" s="150"/>
      <c r="G1081" s="150"/>
      <c r="H1081" s="150"/>
      <c r="I1081" s="150"/>
      <c r="J1081" s="150"/>
      <c r="K1081" s="156"/>
      <c r="L1081" s="156"/>
      <c r="M1081" s="156"/>
      <c r="N1081" s="156"/>
      <c r="O1081" s="156"/>
    </row>
    <row r="1082" spans="1:15" x14ac:dyDescent="0.25">
      <c r="A1082" s="150" t="s">
        <v>2037</v>
      </c>
      <c r="B1082" s="150" t="s">
        <v>2038</v>
      </c>
      <c r="C1082" s="150"/>
      <c r="D1082" s="150"/>
      <c r="E1082" s="150"/>
      <c r="F1082" s="150"/>
      <c r="G1082" s="150"/>
      <c r="H1082" s="150"/>
      <c r="I1082" s="150"/>
      <c r="J1082" s="150"/>
      <c r="K1082" s="156"/>
      <c r="L1082" s="156"/>
      <c r="M1082" s="156"/>
      <c r="N1082" s="156"/>
      <c r="O1082" s="156"/>
    </row>
    <row r="1083" spans="1:15" x14ac:dyDescent="0.25">
      <c r="A1083" s="149" t="s">
        <v>2039</v>
      </c>
      <c r="B1083" s="149" t="s">
        <v>2040</v>
      </c>
      <c r="C1083" s="150"/>
      <c r="D1083" s="150"/>
      <c r="E1083" s="150"/>
      <c r="F1083" s="150"/>
      <c r="G1083" s="150"/>
      <c r="H1083" s="150"/>
      <c r="I1083" s="150"/>
      <c r="J1083" s="150"/>
      <c r="K1083" s="156"/>
      <c r="L1083" s="156"/>
      <c r="M1083" s="156"/>
      <c r="N1083" s="156"/>
      <c r="O1083" s="156"/>
    </row>
    <row r="1084" spans="1:15" x14ac:dyDescent="0.25">
      <c r="A1084" s="150" t="s">
        <v>2041</v>
      </c>
      <c r="B1084" s="150" t="s">
        <v>8366</v>
      </c>
      <c r="C1084" s="150"/>
      <c r="D1084" s="150"/>
      <c r="E1084" s="150"/>
      <c r="F1084" s="150"/>
      <c r="G1084" s="150"/>
      <c r="H1084" s="150"/>
      <c r="I1084" s="150"/>
      <c r="J1084" s="150"/>
      <c r="K1084" s="156"/>
      <c r="L1084" s="156"/>
      <c r="M1084" s="156"/>
      <c r="N1084" s="156"/>
      <c r="O1084" s="156"/>
    </row>
    <row r="1085" spans="1:15" x14ac:dyDescent="0.25">
      <c r="A1085" s="149" t="s">
        <v>2042</v>
      </c>
      <c r="B1085" s="149" t="s">
        <v>8367</v>
      </c>
      <c r="C1085" s="150"/>
      <c r="D1085" s="150"/>
      <c r="E1085" s="150"/>
      <c r="F1085" s="150"/>
      <c r="G1085" s="150"/>
      <c r="H1085" s="150"/>
      <c r="I1085" s="150"/>
      <c r="J1085" s="150"/>
      <c r="K1085" s="156"/>
      <c r="L1085" s="156"/>
      <c r="M1085" s="156"/>
      <c r="N1085" s="156"/>
      <c r="O1085" s="156"/>
    </row>
    <row r="1086" spans="1:15" x14ac:dyDescent="0.25">
      <c r="A1086" s="150" t="s">
        <v>2043</v>
      </c>
      <c r="B1086" s="150" t="s">
        <v>2044</v>
      </c>
      <c r="C1086" s="150"/>
      <c r="D1086" s="150"/>
      <c r="E1086" s="150"/>
      <c r="F1086" s="150"/>
      <c r="G1086" s="150"/>
      <c r="H1086" s="150"/>
      <c r="I1086" s="150"/>
      <c r="J1086" s="150"/>
      <c r="K1086" s="156"/>
      <c r="L1086" s="156"/>
      <c r="M1086" s="156"/>
      <c r="N1086" s="156"/>
      <c r="O1086" s="156"/>
    </row>
    <row r="1087" spans="1:15" x14ac:dyDescent="0.25">
      <c r="A1087" s="149" t="s">
        <v>2045</v>
      </c>
      <c r="B1087" s="149" t="s">
        <v>2046</v>
      </c>
      <c r="C1087" s="150"/>
      <c r="D1087" s="150"/>
      <c r="E1087" s="150"/>
      <c r="F1087" s="150"/>
      <c r="G1087" s="150"/>
      <c r="H1087" s="150"/>
      <c r="I1087" s="150"/>
      <c r="J1087" s="150"/>
      <c r="K1087" s="156"/>
      <c r="L1087" s="156"/>
      <c r="M1087" s="156"/>
      <c r="N1087" s="156"/>
      <c r="O1087" s="156"/>
    </row>
    <row r="1088" spans="1:15" x14ac:dyDescent="0.25">
      <c r="A1088" s="150" t="s">
        <v>2047</v>
      </c>
      <c r="B1088" s="150" t="s">
        <v>2048</v>
      </c>
      <c r="C1088" s="150"/>
      <c r="D1088" s="150"/>
      <c r="E1088" s="150"/>
      <c r="F1088" s="150"/>
      <c r="G1088" s="150"/>
      <c r="H1088" s="150"/>
      <c r="I1088" s="150"/>
      <c r="J1088" s="150"/>
      <c r="K1088" s="156"/>
      <c r="L1088" s="156"/>
      <c r="M1088" s="156"/>
      <c r="N1088" s="156"/>
      <c r="O1088" s="156"/>
    </row>
    <row r="1089" spans="1:15" x14ac:dyDescent="0.25">
      <c r="A1089" s="149" t="s">
        <v>2049</v>
      </c>
      <c r="B1089" s="149" t="s">
        <v>8368</v>
      </c>
      <c r="C1089" s="150"/>
      <c r="D1089" s="150"/>
      <c r="E1089" s="150"/>
      <c r="F1089" s="150"/>
      <c r="G1089" s="150"/>
      <c r="H1089" s="150"/>
      <c r="I1089" s="150"/>
      <c r="J1089" s="150"/>
      <c r="K1089" s="156"/>
      <c r="L1089" s="156"/>
      <c r="M1089" s="156"/>
      <c r="N1089" s="156"/>
      <c r="O1089" s="156"/>
    </row>
    <row r="1090" spans="1:15" x14ac:dyDescent="0.25">
      <c r="A1090" s="150" t="s">
        <v>2050</v>
      </c>
      <c r="B1090" s="150" t="s">
        <v>8369</v>
      </c>
      <c r="C1090" s="150"/>
      <c r="D1090" s="150"/>
      <c r="E1090" s="150"/>
      <c r="F1090" s="150"/>
      <c r="G1090" s="150"/>
      <c r="H1090" s="150"/>
      <c r="I1090" s="150"/>
      <c r="J1090" s="150"/>
      <c r="K1090" s="156"/>
      <c r="L1090" s="156"/>
      <c r="M1090" s="156"/>
      <c r="N1090" s="156"/>
      <c r="O1090" s="156"/>
    </row>
    <row r="1091" spans="1:15" x14ac:dyDescent="0.25">
      <c r="A1091" s="149" t="s">
        <v>2051</v>
      </c>
      <c r="B1091" s="149" t="s">
        <v>2052</v>
      </c>
      <c r="C1091" s="150"/>
      <c r="D1091" s="150"/>
      <c r="E1091" s="150"/>
      <c r="F1091" s="150"/>
      <c r="G1091" s="150"/>
      <c r="H1091" s="150"/>
      <c r="I1091" s="150"/>
      <c r="J1091" s="150"/>
      <c r="K1091" s="156"/>
      <c r="L1091" s="156"/>
      <c r="M1091" s="156"/>
      <c r="N1091" s="156"/>
      <c r="O1091" s="156"/>
    </row>
    <row r="1092" spans="1:15" x14ac:dyDescent="0.25">
      <c r="A1092" s="150" t="s">
        <v>2053</v>
      </c>
      <c r="B1092" s="150" t="s">
        <v>2054</v>
      </c>
      <c r="C1092" s="150"/>
      <c r="D1092" s="150"/>
      <c r="E1092" s="150"/>
      <c r="F1092" s="150"/>
      <c r="G1092" s="150"/>
      <c r="H1092" s="150"/>
      <c r="I1092" s="150"/>
      <c r="J1092" s="150"/>
      <c r="K1092" s="156"/>
      <c r="L1092" s="156"/>
      <c r="M1092" s="156"/>
      <c r="N1092" s="156"/>
      <c r="O1092" s="156"/>
    </row>
    <row r="1093" spans="1:15" x14ac:dyDescent="0.25">
      <c r="A1093" s="149" t="s">
        <v>2055</v>
      </c>
      <c r="B1093" s="149" t="s">
        <v>2056</v>
      </c>
      <c r="C1093" s="150"/>
      <c r="D1093" s="150"/>
      <c r="E1093" s="150"/>
      <c r="F1093" s="150"/>
      <c r="G1093" s="150"/>
      <c r="H1093" s="150"/>
      <c r="I1093" s="150"/>
      <c r="J1093" s="150"/>
      <c r="K1093" s="156"/>
      <c r="L1093" s="156"/>
      <c r="M1093" s="156"/>
      <c r="N1093" s="161" t="s">
        <v>8847</v>
      </c>
      <c r="O1093" s="161" t="s">
        <v>2502</v>
      </c>
    </row>
    <row r="1094" spans="1:15" x14ac:dyDescent="0.25">
      <c r="A1094" s="149" t="s">
        <v>2059</v>
      </c>
      <c r="B1094" s="149" t="s">
        <v>8370</v>
      </c>
      <c r="C1094" s="150"/>
      <c r="D1094" s="150"/>
      <c r="E1094" s="150"/>
      <c r="F1094" s="150"/>
      <c r="G1094" s="150"/>
      <c r="H1094" s="150"/>
      <c r="I1094" s="150"/>
      <c r="J1094" s="150"/>
      <c r="K1094" s="156"/>
      <c r="L1094" s="156"/>
      <c r="M1094" s="156"/>
      <c r="N1094" s="156"/>
      <c r="O1094" s="156"/>
    </row>
    <row r="1095" spans="1:15" x14ac:dyDescent="0.25">
      <c r="A1095" s="150" t="s">
        <v>2060</v>
      </c>
      <c r="B1095" s="150" t="s">
        <v>2061</v>
      </c>
      <c r="C1095" s="150"/>
      <c r="D1095" s="150"/>
      <c r="E1095" s="150"/>
      <c r="F1095" s="150"/>
      <c r="G1095" s="150"/>
      <c r="H1095" s="150"/>
      <c r="I1095" s="150"/>
      <c r="J1095" s="150"/>
      <c r="K1095" s="156"/>
      <c r="L1095" s="156"/>
      <c r="M1095" s="156"/>
      <c r="N1095" s="156"/>
      <c r="O1095" s="156"/>
    </row>
    <row r="1096" spans="1:15" x14ac:dyDescent="0.25">
      <c r="A1096" s="149" t="s">
        <v>2062</v>
      </c>
      <c r="B1096" s="149" t="s">
        <v>2063</v>
      </c>
      <c r="C1096" s="150"/>
      <c r="D1096" s="150"/>
      <c r="E1096" s="150"/>
      <c r="F1096" s="150"/>
      <c r="G1096" s="150"/>
      <c r="H1096" s="150"/>
      <c r="I1096" s="150"/>
      <c r="J1096" s="150"/>
      <c r="K1096" s="156"/>
      <c r="L1096" s="156"/>
      <c r="M1096" s="156"/>
      <c r="N1096" s="156"/>
      <c r="O1096" s="156"/>
    </row>
    <row r="1097" spans="1:15" x14ac:dyDescent="0.25">
      <c r="A1097" s="150" t="s">
        <v>2064</v>
      </c>
      <c r="B1097" s="150" t="s">
        <v>2065</v>
      </c>
      <c r="C1097" s="150"/>
      <c r="D1097" s="150"/>
      <c r="E1097" s="150"/>
      <c r="F1097" s="150"/>
      <c r="G1097" s="150"/>
      <c r="H1097" s="150"/>
      <c r="I1097" s="150"/>
      <c r="J1097" s="150"/>
      <c r="K1097" s="156"/>
      <c r="L1097" s="156"/>
      <c r="M1097" s="156"/>
      <c r="N1097" s="156"/>
      <c r="O1097" s="156"/>
    </row>
    <row r="1098" spans="1:15" x14ac:dyDescent="0.25">
      <c r="A1098" s="149" t="s">
        <v>2066</v>
      </c>
      <c r="B1098" s="149" t="s">
        <v>2067</v>
      </c>
      <c r="C1098" s="150"/>
      <c r="D1098" s="150"/>
      <c r="E1098" s="150"/>
      <c r="F1098" s="150"/>
      <c r="G1098" s="150"/>
      <c r="H1098" s="150"/>
      <c r="I1098" s="150"/>
      <c r="J1098" s="150"/>
      <c r="K1098" s="156"/>
      <c r="L1098" s="156"/>
      <c r="M1098" s="156"/>
      <c r="N1098" s="156"/>
      <c r="O1098" s="156"/>
    </row>
    <row r="1099" spans="1:15" x14ac:dyDescent="0.25">
      <c r="A1099" s="150" t="s">
        <v>2068</v>
      </c>
      <c r="B1099" s="150" t="s">
        <v>2069</v>
      </c>
      <c r="C1099" s="150"/>
      <c r="D1099" s="150"/>
      <c r="E1099" s="150"/>
      <c r="F1099" s="150"/>
      <c r="G1099" s="150"/>
      <c r="H1099" s="150"/>
      <c r="I1099" s="150"/>
      <c r="J1099" s="150"/>
      <c r="K1099" s="156"/>
      <c r="L1099" s="156"/>
      <c r="M1099" s="156"/>
      <c r="N1099" s="156"/>
      <c r="O1099" s="156"/>
    </row>
    <row r="1100" spans="1:15" x14ac:dyDescent="0.25">
      <c r="A1100" s="149" t="s">
        <v>2070</v>
      </c>
      <c r="B1100" s="149" t="s">
        <v>2071</v>
      </c>
      <c r="C1100" s="150"/>
      <c r="D1100" s="150"/>
      <c r="E1100" s="150"/>
      <c r="F1100" s="150"/>
      <c r="G1100" s="150"/>
      <c r="H1100" s="150"/>
      <c r="I1100" s="150"/>
      <c r="J1100" s="150"/>
      <c r="K1100" s="156"/>
      <c r="L1100" s="156"/>
      <c r="M1100" s="156"/>
      <c r="N1100" s="156"/>
      <c r="O1100" s="156"/>
    </row>
    <row r="1101" spans="1:15" x14ac:dyDescent="0.25">
      <c r="A1101" s="150" t="s">
        <v>2072</v>
      </c>
      <c r="B1101" s="150" t="s">
        <v>2073</v>
      </c>
      <c r="C1101" s="150"/>
      <c r="D1101" s="150"/>
      <c r="E1101" s="150"/>
      <c r="F1101" s="150"/>
      <c r="G1101" s="150"/>
      <c r="H1101" s="150"/>
      <c r="I1101" s="150"/>
      <c r="J1101" s="150"/>
      <c r="K1101" s="156"/>
      <c r="L1101" s="156"/>
      <c r="M1101" s="156"/>
      <c r="N1101" s="156"/>
      <c r="O1101" s="156"/>
    </row>
    <row r="1102" spans="1:15" x14ac:dyDescent="0.25">
      <c r="A1102" s="149" t="s">
        <v>2074</v>
      </c>
      <c r="B1102" s="149" t="s">
        <v>2075</v>
      </c>
      <c r="C1102" s="150"/>
      <c r="D1102" s="150"/>
      <c r="E1102" s="150"/>
      <c r="F1102" s="150"/>
      <c r="G1102" s="150"/>
      <c r="H1102" s="150"/>
      <c r="I1102" s="150"/>
      <c r="J1102" s="150"/>
      <c r="K1102" s="156"/>
      <c r="L1102" s="156"/>
      <c r="M1102" s="156"/>
      <c r="N1102" s="156"/>
      <c r="O1102" s="156"/>
    </row>
    <row r="1103" spans="1:15" x14ac:dyDescent="0.25">
      <c r="A1103" s="150" t="s">
        <v>2076</v>
      </c>
      <c r="B1103" s="150" t="s">
        <v>2077</v>
      </c>
      <c r="C1103" s="150"/>
      <c r="D1103" s="150"/>
      <c r="E1103" s="150"/>
      <c r="F1103" s="150"/>
      <c r="G1103" s="150"/>
      <c r="H1103" s="150"/>
      <c r="I1103" s="150"/>
      <c r="J1103" s="150"/>
      <c r="K1103" s="156"/>
      <c r="L1103" s="156"/>
      <c r="M1103" s="156"/>
      <c r="N1103" s="156"/>
      <c r="O1103" s="156"/>
    </row>
    <row r="1104" spans="1:15" x14ac:dyDescent="0.25">
      <c r="A1104" s="149" t="s">
        <v>2078</v>
      </c>
      <c r="B1104" s="149" t="s">
        <v>2079</v>
      </c>
      <c r="C1104" s="150"/>
      <c r="D1104" s="150"/>
      <c r="E1104" s="150"/>
      <c r="F1104" s="150"/>
      <c r="G1104" s="150"/>
      <c r="H1104" s="150"/>
      <c r="I1104" s="150"/>
      <c r="J1104" s="150"/>
      <c r="K1104" s="156"/>
      <c r="L1104" s="156"/>
      <c r="M1104" s="156"/>
      <c r="N1104" s="156"/>
      <c r="O1104" s="156"/>
    </row>
    <row r="1105" spans="1:15" x14ac:dyDescent="0.25">
      <c r="A1105" s="150" t="s">
        <v>2080</v>
      </c>
      <c r="B1105" s="150" t="s">
        <v>8371</v>
      </c>
      <c r="C1105" s="150"/>
      <c r="D1105" s="150"/>
      <c r="E1105" s="150"/>
      <c r="F1105" s="150"/>
      <c r="G1105" s="150"/>
      <c r="H1105" s="150"/>
      <c r="I1105" s="150"/>
      <c r="J1105" s="150"/>
      <c r="K1105" s="156"/>
      <c r="L1105" s="156"/>
      <c r="M1105" s="156"/>
      <c r="N1105" s="156"/>
      <c r="O1105" s="156"/>
    </row>
    <row r="1106" spans="1:15" x14ac:dyDescent="0.25">
      <c r="A1106" s="149" t="s">
        <v>2081</v>
      </c>
      <c r="B1106" s="149" t="s">
        <v>2082</v>
      </c>
      <c r="C1106" s="150"/>
      <c r="D1106" s="150"/>
      <c r="E1106" s="150"/>
      <c r="F1106" s="150"/>
      <c r="G1106" s="150"/>
      <c r="H1106" s="150"/>
      <c r="I1106" s="150"/>
      <c r="J1106" s="150"/>
      <c r="K1106" s="156"/>
      <c r="L1106" s="156"/>
      <c r="M1106" s="156"/>
      <c r="N1106" s="156"/>
      <c r="O1106" s="156"/>
    </row>
    <row r="1107" spans="1:15" x14ac:dyDescent="0.25">
      <c r="A1107" s="150" t="s">
        <v>2083</v>
      </c>
      <c r="B1107" s="150" t="s">
        <v>8372</v>
      </c>
      <c r="C1107" s="150"/>
      <c r="D1107" s="150"/>
      <c r="E1107" s="150"/>
      <c r="F1107" s="150"/>
      <c r="G1107" s="150"/>
      <c r="H1107" s="150"/>
      <c r="I1107" s="150"/>
      <c r="J1107" s="150"/>
      <c r="K1107" s="156"/>
      <c r="L1107" s="156"/>
      <c r="M1107" s="156"/>
      <c r="N1107" s="156"/>
      <c r="O1107" s="156"/>
    </row>
    <row r="1108" spans="1:15" x14ac:dyDescent="0.25">
      <c r="A1108" s="149" t="s">
        <v>2084</v>
      </c>
      <c r="B1108" s="149" t="s">
        <v>2085</v>
      </c>
      <c r="C1108" s="150"/>
      <c r="D1108" s="150"/>
      <c r="E1108" s="150"/>
      <c r="F1108" s="150"/>
      <c r="G1108" s="150"/>
      <c r="H1108" s="150"/>
      <c r="I1108" s="150"/>
      <c r="J1108" s="150"/>
      <c r="K1108" s="156"/>
      <c r="L1108" s="156"/>
      <c r="M1108" s="156"/>
      <c r="N1108" s="156"/>
      <c r="O1108" s="156"/>
    </row>
    <row r="1109" spans="1:15" x14ac:dyDescent="0.25">
      <c r="A1109" s="150" t="s">
        <v>2086</v>
      </c>
      <c r="B1109" s="150" t="s">
        <v>2087</v>
      </c>
      <c r="C1109" s="150"/>
      <c r="D1109" s="150"/>
      <c r="E1109" s="150"/>
      <c r="F1109" s="150"/>
      <c r="G1109" s="150"/>
      <c r="H1109" s="150"/>
      <c r="I1109" s="150"/>
      <c r="J1109" s="150"/>
      <c r="K1109" s="156"/>
      <c r="L1109" s="156"/>
      <c r="M1109" s="156"/>
      <c r="N1109" s="156"/>
      <c r="O1109" s="156"/>
    </row>
    <row r="1110" spans="1:15" x14ac:dyDescent="0.25">
      <c r="A1110" s="149" t="s">
        <v>2088</v>
      </c>
      <c r="B1110" s="149" t="s">
        <v>2089</v>
      </c>
      <c r="C1110" s="150"/>
      <c r="D1110" s="150"/>
      <c r="E1110" s="150"/>
      <c r="F1110" s="150"/>
      <c r="G1110" s="150"/>
      <c r="H1110" s="150"/>
      <c r="I1110" s="150"/>
      <c r="J1110" s="150"/>
      <c r="K1110" s="156"/>
      <c r="L1110" s="156"/>
      <c r="M1110" s="156"/>
      <c r="N1110" s="156"/>
      <c r="O1110" s="156"/>
    </row>
    <row r="1111" spans="1:15" x14ac:dyDescent="0.25">
      <c r="A1111" s="150" t="s">
        <v>2090</v>
      </c>
      <c r="B1111" s="150" t="s">
        <v>2091</v>
      </c>
      <c r="C1111" s="150"/>
      <c r="D1111" s="150"/>
      <c r="E1111" s="150"/>
      <c r="F1111" s="150"/>
      <c r="G1111" s="150"/>
      <c r="H1111" s="150"/>
      <c r="I1111" s="150"/>
      <c r="J1111" s="150"/>
      <c r="K1111" s="156"/>
      <c r="L1111" s="156"/>
      <c r="M1111" s="156"/>
      <c r="N1111" s="156"/>
      <c r="O1111" s="156"/>
    </row>
    <row r="1112" spans="1:15" x14ac:dyDescent="0.25">
      <c r="A1112" s="149" t="s">
        <v>2092</v>
      </c>
      <c r="B1112" s="149" t="s">
        <v>2093</v>
      </c>
      <c r="C1112" s="150"/>
      <c r="D1112" s="150"/>
      <c r="E1112" s="150"/>
      <c r="F1112" s="150"/>
      <c r="G1112" s="150"/>
      <c r="H1112" s="150"/>
      <c r="I1112" s="150"/>
      <c r="J1112" s="150"/>
      <c r="K1112" s="156"/>
      <c r="L1112" s="156"/>
      <c r="M1112" s="156"/>
      <c r="N1112" s="156"/>
      <c r="O1112" s="156"/>
    </row>
    <row r="1113" spans="1:15" x14ac:dyDescent="0.25">
      <c r="A1113" s="150" t="s">
        <v>2094</v>
      </c>
      <c r="B1113" s="150" t="s">
        <v>2095</v>
      </c>
      <c r="C1113" s="150"/>
      <c r="D1113" s="150"/>
      <c r="E1113" s="150"/>
      <c r="F1113" s="150"/>
      <c r="G1113" s="150"/>
      <c r="H1113" s="150"/>
      <c r="I1113" s="150"/>
      <c r="J1113" s="150"/>
      <c r="K1113" s="156"/>
      <c r="L1113" s="156"/>
      <c r="M1113" s="156"/>
      <c r="N1113" s="156"/>
      <c r="O1113" s="156"/>
    </row>
    <row r="1114" spans="1:15" x14ac:dyDescent="0.25">
      <c r="A1114" s="149" t="s">
        <v>2096</v>
      </c>
      <c r="B1114" s="149" t="s">
        <v>8373</v>
      </c>
      <c r="C1114" s="150"/>
      <c r="D1114" s="150"/>
      <c r="E1114" s="150"/>
      <c r="F1114" s="150"/>
      <c r="G1114" s="150"/>
      <c r="H1114" s="150"/>
      <c r="I1114" s="150"/>
      <c r="J1114" s="150"/>
      <c r="K1114" s="156"/>
      <c r="L1114" s="156"/>
      <c r="M1114" s="156"/>
      <c r="N1114" s="156"/>
      <c r="O1114" s="156"/>
    </row>
    <row r="1115" spans="1:15" x14ac:dyDescent="0.25">
      <c r="A1115" s="150" t="s">
        <v>2097</v>
      </c>
      <c r="B1115" s="150" t="s">
        <v>8374</v>
      </c>
      <c r="C1115" s="150"/>
      <c r="D1115" s="150"/>
      <c r="E1115" s="150"/>
      <c r="F1115" s="150"/>
      <c r="G1115" s="150"/>
      <c r="H1115" s="150"/>
      <c r="I1115" s="150"/>
      <c r="J1115" s="150"/>
      <c r="K1115" s="156"/>
      <c r="L1115" s="156"/>
      <c r="M1115" s="156"/>
      <c r="N1115" s="156"/>
      <c r="O1115" s="156"/>
    </row>
    <row r="1116" spans="1:15" x14ac:dyDescent="0.25">
      <c r="A1116" s="149" t="s">
        <v>2098</v>
      </c>
      <c r="B1116" s="149" t="s">
        <v>2099</v>
      </c>
      <c r="C1116" s="150"/>
      <c r="D1116" s="150"/>
      <c r="E1116" s="150"/>
      <c r="F1116" s="150"/>
      <c r="G1116" s="150"/>
      <c r="H1116" s="150"/>
      <c r="I1116" s="150"/>
      <c r="J1116" s="150"/>
      <c r="K1116" s="156"/>
      <c r="L1116" s="156"/>
      <c r="M1116" s="156"/>
      <c r="N1116" s="156"/>
      <c r="O1116" s="156"/>
    </row>
    <row r="1117" spans="1:15" x14ac:dyDescent="0.25">
      <c r="A1117" s="150" t="s">
        <v>2100</v>
      </c>
      <c r="B1117" s="150" t="s">
        <v>2101</v>
      </c>
      <c r="C1117" s="150"/>
      <c r="D1117" s="150"/>
      <c r="E1117" s="150"/>
      <c r="F1117" s="150"/>
      <c r="G1117" s="150"/>
      <c r="H1117" s="150"/>
      <c r="I1117" s="150"/>
      <c r="J1117" s="150"/>
      <c r="K1117" s="156"/>
      <c r="L1117" s="156"/>
      <c r="M1117" s="156"/>
      <c r="N1117" s="156"/>
      <c r="O1117" s="156"/>
    </row>
    <row r="1118" spans="1:15" x14ac:dyDescent="0.25">
      <c r="A1118" s="149" t="s">
        <v>2102</v>
      </c>
      <c r="B1118" s="149" t="s">
        <v>8375</v>
      </c>
      <c r="C1118" s="150"/>
      <c r="D1118" s="150"/>
      <c r="E1118" s="150"/>
      <c r="F1118" s="150"/>
      <c r="G1118" s="150"/>
      <c r="H1118" s="150"/>
      <c r="I1118" s="150"/>
      <c r="J1118" s="150"/>
      <c r="K1118" s="156"/>
      <c r="L1118" s="156"/>
      <c r="M1118" s="156"/>
      <c r="N1118" s="156"/>
      <c r="O1118" s="156"/>
    </row>
    <row r="1119" spans="1:15" x14ac:dyDescent="0.25">
      <c r="A1119" s="150" t="s">
        <v>2103</v>
      </c>
      <c r="B1119" s="150" t="s">
        <v>8376</v>
      </c>
      <c r="C1119" s="150"/>
      <c r="D1119" s="150"/>
      <c r="E1119" s="150"/>
      <c r="F1119" s="150"/>
      <c r="G1119" s="150"/>
      <c r="H1119" s="150"/>
      <c r="I1119" s="150"/>
      <c r="J1119" s="150"/>
      <c r="K1119" s="156"/>
      <c r="L1119" s="156"/>
      <c r="M1119" s="156"/>
      <c r="N1119" s="156"/>
      <c r="O1119" s="156"/>
    </row>
    <row r="1120" spans="1:15" x14ac:dyDescent="0.25">
      <c r="A1120" s="149" t="s">
        <v>2104</v>
      </c>
      <c r="B1120" s="149" t="s">
        <v>2105</v>
      </c>
      <c r="C1120" s="150"/>
      <c r="D1120" s="150"/>
      <c r="E1120" s="150"/>
      <c r="F1120" s="150"/>
      <c r="G1120" s="150"/>
      <c r="H1120" s="150"/>
      <c r="I1120" s="150"/>
      <c r="J1120" s="150"/>
      <c r="K1120" s="156"/>
      <c r="L1120" s="156"/>
      <c r="M1120" s="156"/>
      <c r="N1120" s="156"/>
      <c r="O1120" s="156"/>
    </row>
    <row r="1121" spans="1:15" x14ac:dyDescent="0.25">
      <c r="A1121" s="150" t="s">
        <v>2106</v>
      </c>
      <c r="B1121" s="150" t="s">
        <v>2107</v>
      </c>
      <c r="C1121" s="150"/>
      <c r="D1121" s="150"/>
      <c r="E1121" s="150"/>
      <c r="F1121" s="150"/>
      <c r="G1121" s="150"/>
      <c r="H1121" s="150"/>
      <c r="I1121" s="150"/>
      <c r="J1121" s="150"/>
      <c r="K1121" s="156"/>
      <c r="L1121" s="156"/>
      <c r="M1121" s="156"/>
      <c r="N1121" s="156"/>
      <c r="O1121" s="156"/>
    </row>
    <row r="1122" spans="1:15" x14ac:dyDescent="0.25">
      <c r="A1122" s="149" t="s">
        <v>2108</v>
      </c>
      <c r="B1122" s="149" t="s">
        <v>8377</v>
      </c>
      <c r="C1122" s="150"/>
      <c r="D1122" s="150"/>
      <c r="E1122" s="150"/>
      <c r="F1122" s="150"/>
      <c r="G1122" s="150"/>
      <c r="H1122" s="150"/>
      <c r="I1122" s="150"/>
      <c r="J1122" s="150"/>
      <c r="K1122" s="156"/>
      <c r="L1122" s="156"/>
      <c r="M1122" s="156"/>
      <c r="N1122" s="156"/>
      <c r="O1122" s="156"/>
    </row>
    <row r="1123" spans="1:15" x14ac:dyDescent="0.25">
      <c r="A1123" s="149" t="s">
        <v>2111</v>
      </c>
      <c r="B1123" s="149" t="s">
        <v>2112</v>
      </c>
      <c r="C1123" s="150"/>
      <c r="D1123" s="150"/>
      <c r="E1123" s="150"/>
      <c r="F1123" s="150"/>
      <c r="G1123" s="150"/>
      <c r="H1123" s="150"/>
      <c r="I1123" s="150"/>
      <c r="J1123" s="150"/>
      <c r="K1123" s="156"/>
      <c r="L1123" s="156"/>
      <c r="M1123" s="156"/>
      <c r="N1123" s="161" t="s">
        <v>8847</v>
      </c>
      <c r="O1123" s="161" t="s">
        <v>2502</v>
      </c>
    </row>
    <row r="1124" spans="1:15" x14ac:dyDescent="0.25">
      <c r="A1124" s="150" t="s">
        <v>2113</v>
      </c>
      <c r="B1124" s="150" t="s">
        <v>2114</v>
      </c>
      <c r="C1124" s="150"/>
      <c r="D1124" s="150"/>
      <c r="E1124" s="150"/>
      <c r="F1124" s="150"/>
      <c r="G1124" s="150"/>
      <c r="H1124" s="150"/>
      <c r="I1124" s="150"/>
      <c r="J1124" s="150"/>
      <c r="K1124" s="156"/>
      <c r="L1124" s="156"/>
      <c r="M1124" s="156"/>
      <c r="N1124" s="161" t="s">
        <v>8847</v>
      </c>
      <c r="O1124" s="161" t="s">
        <v>2502</v>
      </c>
    </row>
    <row r="1125" spans="1:15" x14ac:dyDescent="0.25">
      <c r="A1125" s="149" t="s">
        <v>2115</v>
      </c>
      <c r="B1125" s="149" t="s">
        <v>2116</v>
      </c>
      <c r="C1125" s="150"/>
      <c r="D1125" s="150"/>
      <c r="E1125" s="150"/>
      <c r="F1125" s="150"/>
      <c r="G1125" s="150"/>
      <c r="H1125" s="150"/>
      <c r="I1125" s="150"/>
      <c r="J1125" s="150"/>
      <c r="K1125" s="156"/>
      <c r="L1125" s="156"/>
      <c r="M1125" s="156"/>
      <c r="N1125" s="156"/>
      <c r="O1125" s="156"/>
    </row>
    <row r="1126" spans="1:15" x14ac:dyDescent="0.25">
      <c r="A1126" s="150" t="s">
        <v>2117</v>
      </c>
      <c r="B1126" s="150" t="s">
        <v>2118</v>
      </c>
      <c r="C1126" s="150"/>
      <c r="D1126" s="150"/>
      <c r="E1126" s="150"/>
      <c r="F1126" s="150"/>
      <c r="G1126" s="150"/>
      <c r="H1126" s="150"/>
      <c r="I1126" s="150"/>
      <c r="J1126" s="150"/>
      <c r="K1126" s="156"/>
      <c r="L1126" s="156"/>
      <c r="M1126" s="156"/>
      <c r="N1126" s="156"/>
      <c r="O1126" s="156"/>
    </row>
    <row r="1127" spans="1:15" x14ac:dyDescent="0.25">
      <c r="A1127" s="149" t="s">
        <v>2119</v>
      </c>
      <c r="B1127" s="149" t="s">
        <v>2120</v>
      </c>
      <c r="C1127" s="150"/>
      <c r="D1127" s="150"/>
      <c r="E1127" s="150"/>
      <c r="F1127" s="150"/>
      <c r="G1127" s="150"/>
      <c r="H1127" s="150"/>
      <c r="I1127" s="150"/>
      <c r="J1127" s="150"/>
      <c r="K1127" s="156"/>
      <c r="L1127" s="156"/>
      <c r="M1127" s="156"/>
      <c r="N1127" s="156"/>
      <c r="O1127" s="156"/>
    </row>
    <row r="1128" spans="1:15" x14ac:dyDescent="0.25">
      <c r="A1128" s="150" t="s">
        <v>2121</v>
      </c>
      <c r="B1128" s="150" t="s">
        <v>2122</v>
      </c>
      <c r="C1128" s="150"/>
      <c r="D1128" s="150"/>
      <c r="E1128" s="150"/>
      <c r="F1128" s="150"/>
      <c r="G1128" s="150"/>
      <c r="H1128" s="150"/>
      <c r="I1128" s="150"/>
      <c r="J1128" s="150"/>
      <c r="K1128" s="156"/>
      <c r="L1128" s="156"/>
      <c r="M1128" s="156"/>
      <c r="N1128" s="156"/>
      <c r="O1128" s="156"/>
    </row>
    <row r="1129" spans="1:15" x14ac:dyDescent="0.25">
      <c r="A1129" s="149" t="s">
        <v>2123</v>
      </c>
      <c r="B1129" s="149" t="s">
        <v>2124</v>
      </c>
      <c r="C1129" s="150"/>
      <c r="D1129" s="150"/>
      <c r="E1129" s="150"/>
      <c r="F1129" s="150"/>
      <c r="G1129" s="150"/>
      <c r="H1129" s="150"/>
      <c r="I1129" s="150"/>
      <c r="J1129" s="150"/>
      <c r="K1129" s="156"/>
      <c r="L1129" s="156"/>
      <c r="M1129" s="156"/>
      <c r="N1129" s="156"/>
      <c r="O1129" s="156"/>
    </row>
    <row r="1130" spans="1:15" x14ac:dyDescent="0.25">
      <c r="A1130" s="150" t="s">
        <v>2125</v>
      </c>
      <c r="B1130" s="150" t="s">
        <v>8378</v>
      </c>
      <c r="C1130" s="150"/>
      <c r="D1130" s="150"/>
      <c r="E1130" s="150"/>
      <c r="F1130" s="150"/>
      <c r="G1130" s="150"/>
      <c r="H1130" s="150"/>
      <c r="I1130" s="150"/>
      <c r="J1130" s="150"/>
      <c r="K1130" s="156"/>
      <c r="L1130" s="156"/>
      <c r="M1130" s="156"/>
      <c r="N1130" s="156"/>
      <c r="O1130" s="156"/>
    </row>
    <row r="1131" spans="1:15" x14ac:dyDescent="0.25">
      <c r="A1131" s="149" t="s">
        <v>2126</v>
      </c>
      <c r="B1131" s="149" t="s">
        <v>2127</v>
      </c>
      <c r="C1131" s="150"/>
      <c r="D1131" s="150"/>
      <c r="E1131" s="150"/>
      <c r="F1131" s="150"/>
      <c r="G1131" s="150"/>
      <c r="H1131" s="150"/>
      <c r="I1131" s="150"/>
      <c r="J1131" s="150"/>
      <c r="K1131" s="156"/>
      <c r="L1131" s="156"/>
      <c r="M1131" s="156"/>
      <c r="N1131" s="156"/>
      <c r="O1131" s="156"/>
    </row>
    <row r="1132" spans="1:15" x14ac:dyDescent="0.25">
      <c r="A1132" s="150" t="s">
        <v>2128</v>
      </c>
      <c r="B1132" s="150" t="s">
        <v>2129</v>
      </c>
      <c r="C1132" s="150"/>
      <c r="D1132" s="150"/>
      <c r="E1132" s="150"/>
      <c r="F1132" s="150"/>
      <c r="G1132" s="150"/>
      <c r="H1132" s="150"/>
      <c r="I1132" s="150"/>
      <c r="J1132" s="150"/>
      <c r="K1132" s="156"/>
      <c r="L1132" s="156"/>
      <c r="M1132" s="156"/>
      <c r="N1132" s="156"/>
      <c r="O1132" s="156"/>
    </row>
    <row r="1133" spans="1:15" x14ac:dyDescent="0.25">
      <c r="A1133" s="149" t="s">
        <v>2130</v>
      </c>
      <c r="B1133" s="149" t="s">
        <v>2131</v>
      </c>
      <c r="C1133" s="150"/>
      <c r="D1133" s="150"/>
      <c r="E1133" s="150"/>
      <c r="F1133" s="150"/>
      <c r="G1133" s="150"/>
      <c r="H1133" s="150"/>
      <c r="I1133" s="150"/>
      <c r="J1133" s="150"/>
      <c r="K1133" s="156"/>
      <c r="L1133" s="156"/>
      <c r="M1133" s="156"/>
      <c r="N1133" s="156"/>
      <c r="O1133" s="156"/>
    </row>
    <row r="1134" spans="1:15" x14ac:dyDescent="0.25">
      <c r="A1134" s="150" t="s">
        <v>2132</v>
      </c>
      <c r="B1134" s="150" t="s">
        <v>8379</v>
      </c>
      <c r="C1134" s="150"/>
      <c r="D1134" s="150"/>
      <c r="E1134" s="150"/>
      <c r="F1134" s="150"/>
      <c r="G1134" s="150"/>
      <c r="H1134" s="150"/>
      <c r="I1134" s="150"/>
      <c r="J1134" s="150"/>
      <c r="K1134" s="156"/>
      <c r="L1134" s="156"/>
      <c r="M1134" s="156"/>
      <c r="N1134" s="156"/>
      <c r="O1134" s="156"/>
    </row>
    <row r="1135" spans="1:15" x14ac:dyDescent="0.25">
      <c r="A1135" s="149" t="s">
        <v>2133</v>
      </c>
      <c r="B1135" s="149" t="s">
        <v>8380</v>
      </c>
      <c r="C1135" s="150"/>
      <c r="D1135" s="150"/>
      <c r="E1135" s="150"/>
      <c r="F1135" s="150"/>
      <c r="G1135" s="150"/>
      <c r="H1135" s="150"/>
      <c r="I1135" s="150"/>
      <c r="J1135" s="150"/>
      <c r="K1135" s="156"/>
      <c r="L1135" s="156"/>
      <c r="M1135" s="156"/>
      <c r="N1135" s="156"/>
      <c r="O1135" s="156"/>
    </row>
    <row r="1136" spans="1:15" x14ac:dyDescent="0.25">
      <c r="A1136" s="150" t="s">
        <v>2134</v>
      </c>
      <c r="B1136" s="150" t="s">
        <v>8381</v>
      </c>
      <c r="C1136" s="150"/>
      <c r="D1136" s="150"/>
      <c r="E1136" s="150"/>
      <c r="F1136" s="150"/>
      <c r="G1136" s="150"/>
      <c r="H1136" s="150"/>
      <c r="I1136" s="150"/>
      <c r="J1136" s="150"/>
      <c r="K1136" s="156"/>
      <c r="L1136" s="156"/>
      <c r="M1136" s="156"/>
      <c r="N1136" s="156"/>
      <c r="O1136" s="156"/>
    </row>
    <row r="1137" spans="1:15" x14ac:dyDescent="0.25">
      <c r="A1137" s="149" t="s">
        <v>2135</v>
      </c>
      <c r="B1137" s="149" t="s">
        <v>8382</v>
      </c>
      <c r="C1137" s="150"/>
      <c r="D1137" s="150"/>
      <c r="E1137" s="150"/>
      <c r="F1137" s="150"/>
      <c r="G1137" s="150"/>
      <c r="H1137" s="150"/>
      <c r="I1137" s="150"/>
      <c r="J1137" s="150"/>
      <c r="K1137" s="156"/>
      <c r="L1137" s="156"/>
      <c r="M1137" s="156"/>
      <c r="N1137" s="156"/>
      <c r="O1137" s="156"/>
    </row>
    <row r="1138" spans="1:15" x14ac:dyDescent="0.25">
      <c r="A1138" s="150" t="s">
        <v>2136</v>
      </c>
      <c r="B1138" s="150" t="s">
        <v>8383</v>
      </c>
      <c r="C1138" s="150"/>
      <c r="D1138" s="150"/>
      <c r="E1138" s="150"/>
      <c r="F1138" s="150"/>
      <c r="G1138" s="150"/>
      <c r="H1138" s="150"/>
      <c r="I1138" s="150"/>
      <c r="J1138" s="150"/>
      <c r="K1138" s="156"/>
      <c r="L1138" s="156"/>
      <c r="M1138" s="156"/>
      <c r="N1138" s="156"/>
      <c r="O1138" s="156"/>
    </row>
    <row r="1139" spans="1:15" x14ac:dyDescent="0.25">
      <c r="A1139" s="149" t="s">
        <v>2137</v>
      </c>
      <c r="B1139" s="149" t="s">
        <v>8384</v>
      </c>
      <c r="C1139" s="150"/>
      <c r="D1139" s="150"/>
      <c r="E1139" s="150"/>
      <c r="F1139" s="150"/>
      <c r="G1139" s="150"/>
      <c r="H1139" s="150"/>
      <c r="I1139" s="150"/>
      <c r="J1139" s="150"/>
      <c r="K1139" s="156"/>
      <c r="L1139" s="156"/>
      <c r="M1139" s="156"/>
      <c r="N1139" s="156"/>
      <c r="O1139" s="156"/>
    </row>
    <row r="1140" spans="1:15" x14ac:dyDescent="0.25">
      <c r="A1140" s="150" t="s">
        <v>2138</v>
      </c>
      <c r="B1140" s="150" t="s">
        <v>8385</v>
      </c>
      <c r="C1140" s="150"/>
      <c r="D1140" s="150"/>
      <c r="E1140" s="150"/>
      <c r="F1140" s="150"/>
      <c r="G1140" s="150"/>
      <c r="H1140" s="150"/>
      <c r="I1140" s="150"/>
      <c r="J1140" s="150"/>
      <c r="K1140" s="156"/>
      <c r="L1140" s="156"/>
      <c r="M1140" s="156"/>
      <c r="N1140" s="156"/>
      <c r="O1140" s="156"/>
    </row>
    <row r="1141" spans="1:15" x14ac:dyDescent="0.25">
      <c r="A1141" s="149" t="s">
        <v>2139</v>
      </c>
      <c r="B1141" s="149" t="s">
        <v>8386</v>
      </c>
      <c r="C1141" s="150"/>
      <c r="D1141" s="150"/>
      <c r="E1141" s="150"/>
      <c r="F1141" s="150"/>
      <c r="G1141" s="150"/>
      <c r="H1141" s="150"/>
      <c r="I1141" s="150"/>
      <c r="J1141" s="150"/>
      <c r="K1141" s="156"/>
      <c r="L1141" s="156"/>
      <c r="M1141" s="156"/>
      <c r="N1141" s="156"/>
      <c r="O1141" s="156"/>
    </row>
    <row r="1142" spans="1:15" x14ac:dyDescent="0.25">
      <c r="A1142" s="150" t="s">
        <v>2140</v>
      </c>
      <c r="B1142" s="150" t="s">
        <v>8387</v>
      </c>
      <c r="C1142" s="150"/>
      <c r="D1142" s="150"/>
      <c r="E1142" s="150"/>
      <c r="F1142" s="150"/>
      <c r="G1142" s="150"/>
      <c r="H1142" s="150"/>
      <c r="I1142" s="150"/>
      <c r="J1142" s="150"/>
      <c r="K1142" s="156"/>
      <c r="L1142" s="156"/>
      <c r="M1142" s="156"/>
      <c r="N1142" s="156"/>
      <c r="O1142" s="156"/>
    </row>
    <row r="1143" spans="1:15" x14ac:dyDescent="0.25">
      <c r="A1143" s="149" t="s">
        <v>2141</v>
      </c>
      <c r="B1143" s="149" t="s">
        <v>8388</v>
      </c>
      <c r="C1143" s="150"/>
      <c r="D1143" s="150"/>
      <c r="E1143" s="150"/>
      <c r="F1143" s="150"/>
      <c r="G1143" s="150"/>
      <c r="H1143" s="150"/>
      <c r="I1143" s="150"/>
      <c r="J1143" s="150"/>
      <c r="K1143" s="156"/>
      <c r="L1143" s="156"/>
      <c r="M1143" s="156"/>
      <c r="N1143" s="156"/>
      <c r="O1143" s="156"/>
    </row>
    <row r="1144" spans="1:15" x14ac:dyDescent="0.25">
      <c r="A1144" s="150" t="s">
        <v>2142</v>
      </c>
      <c r="B1144" s="150" t="s">
        <v>8389</v>
      </c>
      <c r="C1144" s="150"/>
      <c r="D1144" s="150"/>
      <c r="E1144" s="150"/>
      <c r="F1144" s="150"/>
      <c r="G1144" s="150"/>
      <c r="H1144" s="150"/>
      <c r="I1144" s="150"/>
      <c r="J1144" s="150"/>
      <c r="K1144" s="156"/>
      <c r="L1144" s="156"/>
      <c r="M1144" s="156"/>
      <c r="N1144" s="156"/>
      <c r="O1144" s="156"/>
    </row>
    <row r="1145" spans="1:15" x14ac:dyDescent="0.25">
      <c r="A1145" s="149" t="s">
        <v>2143</v>
      </c>
      <c r="B1145" s="149" t="s">
        <v>8390</v>
      </c>
      <c r="C1145" s="150"/>
      <c r="D1145" s="150"/>
      <c r="E1145" s="150"/>
      <c r="F1145" s="150"/>
      <c r="G1145" s="150"/>
      <c r="H1145" s="150"/>
      <c r="I1145" s="150"/>
      <c r="J1145" s="150"/>
      <c r="K1145" s="156"/>
      <c r="L1145" s="156"/>
      <c r="M1145" s="156"/>
      <c r="N1145" s="156"/>
      <c r="O1145" s="156"/>
    </row>
    <row r="1146" spans="1:15" x14ac:dyDescent="0.25">
      <c r="A1146" s="150" t="s">
        <v>2144</v>
      </c>
      <c r="B1146" s="150" t="s">
        <v>8391</v>
      </c>
      <c r="C1146" s="150"/>
      <c r="D1146" s="150"/>
      <c r="E1146" s="150"/>
      <c r="F1146" s="150"/>
      <c r="G1146" s="150"/>
      <c r="H1146" s="150"/>
      <c r="I1146" s="150"/>
      <c r="J1146" s="150"/>
      <c r="K1146" s="156"/>
      <c r="L1146" s="156"/>
      <c r="M1146" s="156"/>
      <c r="N1146" s="156"/>
      <c r="O1146" s="156"/>
    </row>
    <row r="1147" spans="1:15" x14ac:dyDescent="0.25">
      <c r="A1147" s="149" t="s">
        <v>2145</v>
      </c>
      <c r="B1147" s="149" t="s">
        <v>8392</v>
      </c>
      <c r="C1147" s="150"/>
      <c r="D1147" s="150"/>
      <c r="E1147" s="150"/>
      <c r="F1147" s="150"/>
      <c r="G1147" s="150"/>
      <c r="H1147" s="150"/>
      <c r="I1147" s="150"/>
      <c r="J1147" s="150"/>
      <c r="K1147" s="156"/>
      <c r="L1147" s="156"/>
      <c r="M1147" s="156"/>
      <c r="N1147" s="156"/>
      <c r="O1147" s="156"/>
    </row>
    <row r="1148" spans="1:15" x14ac:dyDescent="0.25">
      <c r="A1148" s="150" t="s">
        <v>2146</v>
      </c>
      <c r="B1148" s="150" t="s">
        <v>8393</v>
      </c>
      <c r="C1148" s="150"/>
      <c r="D1148" s="150"/>
      <c r="E1148" s="150"/>
      <c r="F1148" s="150"/>
      <c r="G1148" s="150"/>
      <c r="H1148" s="150"/>
      <c r="I1148" s="150"/>
      <c r="J1148" s="150"/>
      <c r="K1148" s="156"/>
      <c r="L1148" s="156"/>
      <c r="M1148" s="156"/>
      <c r="N1148" s="156"/>
      <c r="O1148" s="156"/>
    </row>
    <row r="1149" spans="1:15" x14ac:dyDescent="0.25">
      <c r="A1149" s="149" t="s">
        <v>2147</v>
      </c>
      <c r="B1149" s="149" t="s">
        <v>8394</v>
      </c>
      <c r="C1149" s="150"/>
      <c r="D1149" s="150"/>
      <c r="E1149" s="150"/>
      <c r="F1149" s="150"/>
      <c r="G1149" s="150"/>
      <c r="H1149" s="150"/>
      <c r="I1149" s="150"/>
      <c r="J1149" s="150"/>
      <c r="K1149" s="156"/>
      <c r="L1149" s="156"/>
      <c r="M1149" s="156"/>
      <c r="N1149" s="156"/>
      <c r="O1149" s="156"/>
    </row>
    <row r="1150" spans="1:15" x14ac:dyDescent="0.25">
      <c r="A1150" s="150" t="s">
        <v>2148</v>
      </c>
      <c r="B1150" s="150" t="s">
        <v>8395</v>
      </c>
      <c r="C1150" s="150"/>
      <c r="D1150" s="150"/>
      <c r="E1150" s="150"/>
      <c r="F1150" s="150"/>
      <c r="G1150" s="150"/>
      <c r="H1150" s="150"/>
      <c r="I1150" s="150"/>
      <c r="J1150" s="150"/>
      <c r="K1150" s="156"/>
      <c r="L1150" s="156"/>
      <c r="M1150" s="156"/>
      <c r="N1150" s="156"/>
      <c r="O1150" s="156"/>
    </row>
    <row r="1151" spans="1:15" x14ac:dyDescent="0.25">
      <c r="A1151" s="149" t="s">
        <v>2149</v>
      </c>
      <c r="B1151" s="149" t="s">
        <v>8396</v>
      </c>
      <c r="C1151" s="150"/>
      <c r="D1151" s="150"/>
      <c r="E1151" s="150"/>
      <c r="F1151" s="150"/>
      <c r="G1151" s="150"/>
      <c r="H1151" s="150"/>
      <c r="I1151" s="150"/>
      <c r="J1151" s="150"/>
      <c r="K1151" s="156"/>
      <c r="L1151" s="156"/>
      <c r="M1151" s="156"/>
      <c r="N1151" s="156"/>
      <c r="O1151" s="156"/>
    </row>
    <row r="1152" spans="1:15" x14ac:dyDescent="0.25">
      <c r="A1152" s="150" t="s">
        <v>2150</v>
      </c>
      <c r="B1152" s="150" t="s">
        <v>8397</v>
      </c>
      <c r="C1152" s="150"/>
      <c r="D1152" s="150"/>
      <c r="E1152" s="150"/>
      <c r="F1152" s="150"/>
      <c r="G1152" s="150"/>
      <c r="H1152" s="150"/>
      <c r="I1152" s="150"/>
      <c r="J1152" s="150"/>
      <c r="K1152" s="156"/>
      <c r="L1152" s="156"/>
      <c r="M1152" s="156"/>
      <c r="N1152" s="156"/>
      <c r="O1152" s="156"/>
    </row>
    <row r="1153" spans="1:15" x14ac:dyDescent="0.25">
      <c r="A1153" s="149" t="s">
        <v>2151</v>
      </c>
      <c r="B1153" s="149" t="s">
        <v>8398</v>
      </c>
      <c r="C1153" s="150"/>
      <c r="D1153" s="150"/>
      <c r="E1153" s="150"/>
      <c r="F1153" s="150"/>
      <c r="G1153" s="150"/>
      <c r="H1153" s="150"/>
      <c r="I1153" s="150"/>
      <c r="J1153" s="150"/>
      <c r="K1153" s="156"/>
      <c r="L1153" s="156"/>
      <c r="M1153" s="156"/>
      <c r="N1153" s="156"/>
      <c r="O1153" s="156"/>
    </row>
    <row r="1154" spans="1:15" x14ac:dyDescent="0.25">
      <c r="A1154" s="150" t="s">
        <v>2152</v>
      </c>
      <c r="B1154" s="150" t="s">
        <v>8399</v>
      </c>
      <c r="C1154" s="150"/>
      <c r="D1154" s="150"/>
      <c r="E1154" s="150"/>
      <c r="F1154" s="150"/>
      <c r="G1154" s="150"/>
      <c r="H1154" s="150"/>
      <c r="I1154" s="150"/>
      <c r="J1154" s="150"/>
      <c r="K1154" s="156"/>
      <c r="L1154" s="156"/>
      <c r="M1154" s="156"/>
      <c r="N1154" s="156"/>
      <c r="O1154" s="156"/>
    </row>
    <row r="1155" spans="1:15" x14ac:dyDescent="0.25">
      <c r="A1155" s="149" t="s">
        <v>2153</v>
      </c>
      <c r="B1155" s="149" t="s">
        <v>8400</v>
      </c>
      <c r="C1155" s="150"/>
      <c r="D1155" s="150"/>
      <c r="E1155" s="150"/>
      <c r="F1155" s="150"/>
      <c r="G1155" s="150"/>
      <c r="H1155" s="150"/>
      <c r="I1155" s="150"/>
      <c r="J1155" s="150"/>
      <c r="K1155" s="156"/>
      <c r="L1155" s="156"/>
      <c r="M1155" s="156"/>
      <c r="N1155" s="156"/>
      <c r="O1155" s="156"/>
    </row>
    <row r="1156" spans="1:15" x14ac:dyDescent="0.25">
      <c r="A1156" s="150" t="s">
        <v>2154</v>
      </c>
      <c r="B1156" s="150" t="s">
        <v>2155</v>
      </c>
      <c r="C1156" s="150"/>
      <c r="D1156" s="150"/>
      <c r="E1156" s="150"/>
      <c r="F1156" s="150"/>
      <c r="G1156" s="150"/>
      <c r="H1156" s="150"/>
      <c r="I1156" s="150"/>
      <c r="J1156" s="150"/>
      <c r="K1156" s="156"/>
      <c r="L1156" s="156"/>
      <c r="M1156" s="156"/>
      <c r="N1156" s="156"/>
      <c r="O1156" s="156"/>
    </row>
    <row r="1157" spans="1:15" x14ac:dyDescent="0.25">
      <c r="A1157" s="149" t="s">
        <v>2156</v>
      </c>
      <c r="B1157" s="149" t="s">
        <v>2157</v>
      </c>
      <c r="C1157" s="150"/>
      <c r="D1157" s="150"/>
      <c r="E1157" s="150"/>
      <c r="F1157" s="150"/>
      <c r="G1157" s="150"/>
      <c r="H1157" s="150"/>
      <c r="I1157" s="150"/>
      <c r="J1157" s="150"/>
      <c r="K1157" s="156"/>
      <c r="L1157" s="156"/>
      <c r="M1157" s="156"/>
      <c r="N1157" s="156"/>
      <c r="O1157" s="156"/>
    </row>
    <row r="1158" spans="1:15" x14ac:dyDescent="0.25">
      <c r="A1158" s="150" t="s">
        <v>2158</v>
      </c>
      <c r="B1158" s="150" t="s">
        <v>8401</v>
      </c>
      <c r="C1158" s="150"/>
      <c r="D1158" s="150"/>
      <c r="E1158" s="150"/>
      <c r="F1158" s="150"/>
      <c r="G1158" s="150"/>
      <c r="H1158" s="150"/>
      <c r="I1158" s="150"/>
      <c r="J1158" s="150"/>
      <c r="K1158" s="156"/>
      <c r="L1158" s="156"/>
      <c r="M1158" s="156"/>
      <c r="N1158" s="156"/>
      <c r="O1158" s="156"/>
    </row>
    <row r="1159" spans="1:15" x14ac:dyDescent="0.25">
      <c r="A1159" s="149" t="s">
        <v>2159</v>
      </c>
      <c r="B1159" s="149" t="s">
        <v>8402</v>
      </c>
      <c r="C1159" s="150"/>
      <c r="D1159" s="150"/>
      <c r="E1159" s="150"/>
      <c r="F1159" s="150"/>
      <c r="G1159" s="150"/>
      <c r="H1159" s="150"/>
      <c r="I1159" s="150"/>
      <c r="J1159" s="150"/>
      <c r="K1159" s="156"/>
      <c r="L1159" s="156"/>
      <c r="M1159" s="156"/>
      <c r="N1159" s="156"/>
      <c r="O1159" s="156"/>
    </row>
    <row r="1160" spans="1:15" x14ac:dyDescent="0.25">
      <c r="A1160" s="150" t="s">
        <v>2160</v>
      </c>
      <c r="B1160" s="150" t="s">
        <v>8403</v>
      </c>
      <c r="C1160" s="150"/>
      <c r="D1160" s="150"/>
      <c r="E1160" s="150"/>
      <c r="F1160" s="150"/>
      <c r="G1160" s="150"/>
      <c r="H1160" s="150"/>
      <c r="I1160" s="150"/>
      <c r="J1160" s="150"/>
      <c r="K1160" s="156"/>
      <c r="L1160" s="156"/>
      <c r="M1160" s="156"/>
      <c r="N1160" s="156"/>
      <c r="O1160" s="156"/>
    </row>
    <row r="1161" spans="1:15" x14ac:dyDescent="0.25">
      <c r="A1161" s="149" t="s">
        <v>2161</v>
      </c>
      <c r="B1161" s="149" t="s">
        <v>8404</v>
      </c>
      <c r="C1161" s="150"/>
      <c r="D1161" s="150"/>
      <c r="E1161" s="150"/>
      <c r="F1161" s="150"/>
      <c r="G1161" s="150"/>
      <c r="H1161" s="150"/>
      <c r="I1161" s="150"/>
      <c r="J1161" s="150"/>
      <c r="K1161" s="156"/>
      <c r="L1161" s="156"/>
      <c r="M1161" s="156"/>
      <c r="N1161" s="156"/>
      <c r="O1161" s="156"/>
    </row>
    <row r="1162" spans="1:15" x14ac:dyDescent="0.25">
      <c r="A1162" s="150" t="s">
        <v>2162</v>
      </c>
      <c r="B1162" s="150" t="s">
        <v>8405</v>
      </c>
      <c r="C1162" s="150"/>
      <c r="D1162" s="150"/>
      <c r="E1162" s="150"/>
      <c r="F1162" s="150"/>
      <c r="G1162" s="150"/>
      <c r="H1162" s="150"/>
      <c r="I1162" s="150"/>
      <c r="J1162" s="150"/>
      <c r="K1162" s="156"/>
      <c r="L1162" s="156"/>
      <c r="M1162" s="156"/>
      <c r="N1162" s="156"/>
      <c r="O1162" s="156"/>
    </row>
    <row r="1163" spans="1:15" x14ac:dyDescent="0.25">
      <c r="A1163" s="149" t="s">
        <v>2163</v>
      </c>
      <c r="B1163" s="149" t="s">
        <v>2164</v>
      </c>
      <c r="C1163" s="150"/>
      <c r="D1163" s="150"/>
      <c r="E1163" s="150"/>
      <c r="F1163" s="150"/>
      <c r="G1163" s="150"/>
      <c r="H1163" s="150"/>
      <c r="I1163" s="150"/>
      <c r="J1163" s="150"/>
      <c r="K1163" s="156"/>
      <c r="L1163" s="156"/>
      <c r="M1163" s="156"/>
      <c r="N1163" s="156"/>
      <c r="O1163" s="156"/>
    </row>
    <row r="1164" spans="1:15" x14ac:dyDescent="0.25">
      <c r="A1164" s="150" t="s">
        <v>2165</v>
      </c>
      <c r="B1164" s="150" t="s">
        <v>8406</v>
      </c>
      <c r="C1164" s="150"/>
      <c r="D1164" s="150"/>
      <c r="E1164" s="150"/>
      <c r="F1164" s="150"/>
      <c r="G1164" s="150"/>
      <c r="H1164" s="150"/>
      <c r="I1164" s="150"/>
      <c r="J1164" s="150"/>
      <c r="K1164" s="156"/>
      <c r="L1164" s="156"/>
      <c r="M1164" s="156"/>
      <c r="N1164" s="156"/>
      <c r="O1164" s="156"/>
    </row>
    <row r="1165" spans="1:15" x14ac:dyDescent="0.25">
      <c r="A1165" s="149" t="s">
        <v>2166</v>
      </c>
      <c r="B1165" s="149" t="s">
        <v>8407</v>
      </c>
      <c r="C1165" s="150"/>
      <c r="D1165" s="150"/>
      <c r="E1165" s="150"/>
      <c r="F1165" s="150"/>
      <c r="G1165" s="150"/>
      <c r="H1165" s="150"/>
      <c r="I1165" s="150"/>
      <c r="J1165" s="150"/>
      <c r="K1165" s="156"/>
      <c r="L1165" s="156"/>
      <c r="M1165" s="156"/>
      <c r="N1165" s="156"/>
      <c r="O1165" s="156"/>
    </row>
    <row r="1166" spans="1:15" x14ac:dyDescent="0.25">
      <c r="A1166" s="150" t="s">
        <v>2167</v>
      </c>
      <c r="B1166" s="150" t="s">
        <v>2168</v>
      </c>
      <c r="C1166" s="150"/>
      <c r="D1166" s="150"/>
      <c r="E1166" s="150"/>
      <c r="F1166" s="150"/>
      <c r="G1166" s="150"/>
      <c r="H1166" s="150"/>
      <c r="I1166" s="150"/>
      <c r="J1166" s="150"/>
      <c r="K1166" s="156"/>
      <c r="L1166" s="156"/>
      <c r="M1166" s="156"/>
      <c r="N1166" s="156"/>
      <c r="O1166" s="156"/>
    </row>
    <row r="1167" spans="1:15" x14ac:dyDescent="0.25">
      <c r="A1167" s="149" t="s">
        <v>2169</v>
      </c>
      <c r="B1167" s="149" t="s">
        <v>2170</v>
      </c>
      <c r="C1167" s="150"/>
      <c r="D1167" s="150"/>
      <c r="E1167" s="150"/>
      <c r="F1167" s="150"/>
      <c r="G1167" s="150"/>
      <c r="H1167" s="150"/>
      <c r="I1167" s="150"/>
      <c r="J1167" s="150"/>
      <c r="K1167" s="156"/>
      <c r="L1167" s="156"/>
      <c r="M1167" s="156"/>
      <c r="N1167" s="156"/>
      <c r="O1167" s="156"/>
    </row>
    <row r="1168" spans="1:15" x14ac:dyDescent="0.25">
      <c r="A1168" s="150" t="s">
        <v>2171</v>
      </c>
      <c r="B1168" s="150" t="s">
        <v>2172</v>
      </c>
      <c r="C1168" s="150"/>
      <c r="D1168" s="150"/>
      <c r="E1168" s="150"/>
      <c r="F1168" s="150"/>
      <c r="G1168" s="150"/>
      <c r="H1168" s="150"/>
      <c r="I1168" s="150"/>
      <c r="J1168" s="150"/>
      <c r="K1168" s="156"/>
      <c r="L1168" s="156"/>
      <c r="M1168" s="156"/>
      <c r="N1168" s="156"/>
      <c r="O1168" s="156"/>
    </row>
    <row r="1169" spans="1:15" x14ac:dyDescent="0.25">
      <c r="A1169" s="149" t="s">
        <v>2173</v>
      </c>
      <c r="B1169" s="149" t="s">
        <v>2174</v>
      </c>
      <c r="C1169" s="150"/>
      <c r="D1169" s="150"/>
      <c r="E1169" s="150"/>
      <c r="F1169" s="150"/>
      <c r="G1169" s="150"/>
      <c r="H1169" s="150"/>
      <c r="I1169" s="150"/>
      <c r="J1169" s="150"/>
      <c r="K1169" s="156"/>
      <c r="L1169" s="156"/>
      <c r="M1169" s="156"/>
      <c r="N1169" s="156"/>
      <c r="O1169" s="156"/>
    </row>
    <row r="1170" spans="1:15" x14ac:dyDescent="0.25">
      <c r="A1170" s="150" t="s">
        <v>2175</v>
      </c>
      <c r="B1170" s="150" t="s">
        <v>8408</v>
      </c>
      <c r="C1170" s="150"/>
      <c r="D1170" s="150"/>
      <c r="E1170" s="150"/>
      <c r="F1170" s="150"/>
      <c r="G1170" s="150"/>
      <c r="H1170" s="150"/>
      <c r="I1170" s="150"/>
      <c r="J1170" s="150"/>
      <c r="K1170" s="156"/>
      <c r="L1170" s="156"/>
      <c r="M1170" s="156"/>
      <c r="N1170" s="156"/>
      <c r="O1170" s="156"/>
    </row>
    <row r="1171" spans="1:15" x14ac:dyDescent="0.25">
      <c r="A1171" s="149" t="s">
        <v>2176</v>
      </c>
      <c r="B1171" s="149" t="s">
        <v>2177</v>
      </c>
      <c r="C1171" s="150"/>
      <c r="D1171" s="150"/>
      <c r="E1171" s="150"/>
      <c r="F1171" s="150"/>
      <c r="G1171" s="150"/>
      <c r="H1171" s="150"/>
      <c r="I1171" s="150"/>
      <c r="J1171" s="150"/>
      <c r="K1171" s="156"/>
      <c r="L1171" s="156"/>
      <c r="M1171" s="156"/>
      <c r="N1171" s="156"/>
      <c r="O1171" s="156"/>
    </row>
    <row r="1172" spans="1:15" x14ac:dyDescent="0.25">
      <c r="A1172" s="150" t="s">
        <v>2178</v>
      </c>
      <c r="B1172" s="150" t="s">
        <v>2179</v>
      </c>
      <c r="C1172" s="150"/>
      <c r="D1172" s="150"/>
      <c r="E1172" s="150"/>
      <c r="F1172" s="150"/>
      <c r="G1172" s="150"/>
      <c r="H1172" s="150"/>
      <c r="I1172" s="150"/>
      <c r="J1172" s="150"/>
      <c r="K1172" s="156"/>
      <c r="L1172" s="156"/>
      <c r="M1172" s="156"/>
      <c r="N1172" s="156"/>
      <c r="O1172" s="156"/>
    </row>
    <row r="1173" spans="1:15" x14ac:dyDescent="0.25">
      <c r="A1173" s="149" t="s">
        <v>2180</v>
      </c>
      <c r="B1173" s="149" t="s">
        <v>2181</v>
      </c>
      <c r="C1173" s="150"/>
      <c r="D1173" s="150"/>
      <c r="E1173" s="150"/>
      <c r="F1173" s="150"/>
      <c r="G1173" s="150"/>
      <c r="H1173" s="150"/>
      <c r="I1173" s="150"/>
      <c r="J1173" s="150"/>
      <c r="K1173" s="156"/>
      <c r="L1173" s="156"/>
      <c r="M1173" s="156"/>
      <c r="N1173" s="156"/>
      <c r="O1173" s="156"/>
    </row>
    <row r="1174" spans="1:15" x14ac:dyDescent="0.25">
      <c r="A1174" s="150" t="s">
        <v>2182</v>
      </c>
      <c r="B1174" s="150" t="s">
        <v>2183</v>
      </c>
      <c r="C1174" s="150"/>
      <c r="D1174" s="150"/>
      <c r="E1174" s="150"/>
      <c r="F1174" s="150"/>
      <c r="G1174" s="150"/>
      <c r="H1174" s="150"/>
      <c r="I1174" s="150"/>
      <c r="J1174" s="150"/>
      <c r="K1174" s="156"/>
      <c r="L1174" s="156"/>
      <c r="M1174" s="156"/>
      <c r="N1174" s="156"/>
      <c r="O1174" s="156"/>
    </row>
    <row r="1175" spans="1:15" x14ac:dyDescent="0.25">
      <c r="A1175" s="149" t="s">
        <v>2184</v>
      </c>
      <c r="B1175" s="149" t="s">
        <v>2185</v>
      </c>
      <c r="C1175" s="150"/>
      <c r="D1175" s="150"/>
      <c r="E1175" s="150"/>
      <c r="F1175" s="150"/>
      <c r="G1175" s="150"/>
      <c r="H1175" s="150"/>
      <c r="I1175" s="150"/>
      <c r="J1175" s="150"/>
      <c r="K1175" s="156"/>
      <c r="L1175" s="156"/>
      <c r="M1175" s="156"/>
      <c r="N1175" s="156"/>
      <c r="O1175" s="156"/>
    </row>
    <row r="1176" spans="1:15" x14ac:dyDescent="0.25">
      <c r="A1176" s="150" t="s">
        <v>2186</v>
      </c>
      <c r="B1176" s="150" t="s">
        <v>2187</v>
      </c>
      <c r="C1176" s="150"/>
      <c r="D1176" s="150"/>
      <c r="E1176" s="150"/>
      <c r="F1176" s="150"/>
      <c r="G1176" s="150"/>
      <c r="H1176" s="150"/>
      <c r="I1176" s="150"/>
      <c r="J1176" s="150"/>
      <c r="K1176" s="156"/>
      <c r="L1176" s="156"/>
      <c r="M1176" s="156"/>
      <c r="N1176" s="156"/>
      <c r="O1176" s="156"/>
    </row>
    <row r="1177" spans="1:15" x14ac:dyDescent="0.25">
      <c r="A1177" s="149" t="s">
        <v>2188</v>
      </c>
      <c r="B1177" s="149" t="s">
        <v>2189</v>
      </c>
      <c r="C1177" s="150"/>
      <c r="D1177" s="150"/>
      <c r="E1177" s="150"/>
      <c r="F1177" s="150"/>
      <c r="G1177" s="150"/>
      <c r="H1177" s="150"/>
      <c r="I1177" s="150"/>
      <c r="J1177" s="150"/>
      <c r="K1177" s="156"/>
      <c r="L1177" s="156"/>
      <c r="M1177" s="156"/>
      <c r="N1177" s="156"/>
      <c r="O1177" s="156"/>
    </row>
    <row r="1178" spans="1:15" x14ac:dyDescent="0.25">
      <c r="A1178" s="150" t="s">
        <v>2190</v>
      </c>
      <c r="B1178" s="150" t="s">
        <v>2191</v>
      </c>
      <c r="C1178" s="150"/>
      <c r="D1178" s="150"/>
      <c r="E1178" s="150"/>
      <c r="F1178" s="150"/>
      <c r="G1178" s="150"/>
      <c r="H1178" s="150"/>
      <c r="I1178" s="150"/>
      <c r="J1178" s="150"/>
      <c r="K1178" s="156"/>
      <c r="L1178" s="156"/>
      <c r="M1178" s="156"/>
      <c r="N1178" s="156"/>
      <c r="O1178" s="156"/>
    </row>
    <row r="1179" spans="1:15" x14ac:dyDescent="0.25">
      <c r="A1179" s="149" t="s">
        <v>2192</v>
      </c>
      <c r="B1179" s="149" t="s">
        <v>2193</v>
      </c>
      <c r="C1179" s="150"/>
      <c r="D1179" s="150"/>
      <c r="E1179" s="150"/>
      <c r="F1179" s="150"/>
      <c r="G1179" s="150"/>
      <c r="H1179" s="150"/>
      <c r="I1179" s="150"/>
      <c r="J1179" s="150"/>
      <c r="K1179" s="156"/>
      <c r="L1179" s="156"/>
      <c r="M1179" s="156"/>
      <c r="N1179" s="156"/>
      <c r="O1179" s="156"/>
    </row>
    <row r="1180" spans="1:15" x14ac:dyDescent="0.25">
      <c r="A1180" s="150" t="s">
        <v>2194</v>
      </c>
      <c r="B1180" s="150" t="s">
        <v>2195</v>
      </c>
      <c r="C1180" s="150"/>
      <c r="D1180" s="150"/>
      <c r="E1180" s="150"/>
      <c r="F1180" s="150"/>
      <c r="G1180" s="150"/>
      <c r="H1180" s="150"/>
      <c r="I1180" s="150"/>
      <c r="J1180" s="150"/>
      <c r="K1180" s="156"/>
      <c r="L1180" s="156"/>
      <c r="M1180" s="156"/>
      <c r="N1180" s="156"/>
      <c r="O1180" s="156"/>
    </row>
    <row r="1181" spans="1:15" x14ac:dyDescent="0.25">
      <c r="A1181" s="149" t="s">
        <v>2196</v>
      </c>
      <c r="B1181" s="149" t="s">
        <v>2197</v>
      </c>
      <c r="C1181" s="150"/>
      <c r="D1181" s="150"/>
      <c r="E1181" s="150"/>
      <c r="F1181" s="150"/>
      <c r="G1181" s="150"/>
      <c r="H1181" s="150"/>
      <c r="I1181" s="150"/>
      <c r="J1181" s="150"/>
      <c r="K1181" s="156"/>
      <c r="L1181" s="156"/>
      <c r="M1181" s="156"/>
      <c r="N1181" s="156"/>
      <c r="O1181" s="156"/>
    </row>
    <row r="1182" spans="1:15" x14ac:dyDescent="0.25">
      <c r="A1182" s="150" t="s">
        <v>2198</v>
      </c>
      <c r="B1182" s="150" t="s">
        <v>2199</v>
      </c>
      <c r="C1182" s="150"/>
      <c r="D1182" s="150"/>
      <c r="E1182" s="150"/>
      <c r="F1182" s="150"/>
      <c r="G1182" s="150"/>
      <c r="H1182" s="150"/>
      <c r="I1182" s="150"/>
      <c r="J1182" s="150"/>
      <c r="K1182" s="156"/>
      <c r="L1182" s="156"/>
      <c r="M1182" s="156"/>
      <c r="N1182" s="156"/>
      <c r="O1182" s="156"/>
    </row>
    <row r="1183" spans="1:15" x14ac:dyDescent="0.25">
      <c r="A1183" s="149" t="s">
        <v>2200</v>
      </c>
      <c r="B1183" s="149" t="s">
        <v>2201</v>
      </c>
      <c r="C1183" s="150"/>
      <c r="D1183" s="150"/>
      <c r="E1183" s="150"/>
      <c r="F1183" s="150"/>
      <c r="G1183" s="150"/>
      <c r="H1183" s="150"/>
      <c r="I1183" s="150"/>
      <c r="J1183" s="150"/>
      <c r="K1183" s="156"/>
      <c r="L1183" s="156"/>
      <c r="M1183" s="156"/>
      <c r="N1183" s="156"/>
      <c r="O1183" s="156"/>
    </row>
    <row r="1184" spans="1:15" x14ac:dyDescent="0.25">
      <c r="A1184" s="150" t="s">
        <v>2202</v>
      </c>
      <c r="B1184" s="150" t="s">
        <v>2203</v>
      </c>
      <c r="C1184" s="150"/>
      <c r="D1184" s="150"/>
      <c r="E1184" s="150"/>
      <c r="F1184" s="150"/>
      <c r="G1184" s="150"/>
      <c r="H1184" s="150"/>
      <c r="I1184" s="150"/>
      <c r="J1184" s="150"/>
      <c r="K1184" s="156"/>
      <c r="L1184" s="156"/>
      <c r="M1184" s="156"/>
      <c r="N1184" s="156"/>
      <c r="O1184" s="156"/>
    </row>
    <row r="1185" spans="1:15" x14ac:dyDescent="0.25">
      <c r="A1185" s="149" t="s">
        <v>2204</v>
      </c>
      <c r="B1185" s="149" t="s">
        <v>2205</v>
      </c>
      <c r="C1185" s="150"/>
      <c r="D1185" s="150"/>
      <c r="E1185" s="150"/>
      <c r="F1185" s="150"/>
      <c r="G1185" s="150"/>
      <c r="H1185" s="150"/>
      <c r="I1185" s="150"/>
      <c r="J1185" s="150"/>
      <c r="K1185" s="156"/>
      <c r="L1185" s="156"/>
      <c r="M1185" s="156"/>
      <c r="N1185" s="156"/>
      <c r="O1185" s="156"/>
    </row>
    <row r="1186" spans="1:15" x14ac:dyDescent="0.25">
      <c r="A1186" s="150" t="s">
        <v>2206</v>
      </c>
      <c r="B1186" s="150" t="s">
        <v>2207</v>
      </c>
      <c r="C1186" s="150"/>
      <c r="D1186" s="150"/>
      <c r="E1186" s="150"/>
      <c r="F1186" s="150"/>
      <c r="G1186" s="150"/>
      <c r="H1186" s="150"/>
      <c r="I1186" s="150"/>
      <c r="J1186" s="150"/>
      <c r="K1186" s="156"/>
      <c r="L1186" s="156"/>
      <c r="M1186" s="156"/>
      <c r="N1186" s="156"/>
      <c r="O1186" s="156"/>
    </row>
    <row r="1187" spans="1:15" x14ac:dyDescent="0.25">
      <c r="A1187" s="149" t="s">
        <v>2208</v>
      </c>
      <c r="B1187" s="149" t="s">
        <v>2209</v>
      </c>
      <c r="C1187" s="150"/>
      <c r="D1187" s="150"/>
      <c r="E1187" s="150"/>
      <c r="F1187" s="150"/>
      <c r="G1187" s="150"/>
      <c r="H1187" s="150"/>
      <c r="I1187" s="150"/>
      <c r="J1187" s="150"/>
      <c r="K1187" s="156"/>
      <c r="L1187" s="156"/>
      <c r="M1187" s="156"/>
      <c r="N1187" s="156"/>
      <c r="O1187" s="156"/>
    </row>
    <row r="1188" spans="1:15" x14ac:dyDescent="0.25">
      <c r="A1188" s="150" t="s">
        <v>2210</v>
      </c>
      <c r="B1188" s="150" t="s">
        <v>2211</v>
      </c>
      <c r="C1188" s="150"/>
      <c r="D1188" s="150"/>
      <c r="E1188" s="150"/>
      <c r="F1188" s="150"/>
      <c r="G1188" s="150"/>
      <c r="H1188" s="150"/>
      <c r="I1188" s="150"/>
      <c r="J1188" s="150"/>
      <c r="K1188" s="156"/>
      <c r="L1188" s="156"/>
      <c r="M1188" s="156"/>
      <c r="N1188" s="156"/>
      <c r="O1188" s="156"/>
    </row>
    <row r="1189" spans="1:15" x14ac:dyDescent="0.25">
      <c r="A1189" s="149" t="s">
        <v>2212</v>
      </c>
      <c r="B1189" s="149" t="s">
        <v>2213</v>
      </c>
      <c r="C1189" s="150"/>
      <c r="D1189" s="150"/>
      <c r="E1189" s="150"/>
      <c r="F1189" s="150"/>
      <c r="G1189" s="150"/>
      <c r="H1189" s="150"/>
      <c r="I1189" s="150"/>
      <c r="J1189" s="150"/>
      <c r="K1189" s="156"/>
      <c r="L1189" s="156"/>
      <c r="M1189" s="156"/>
      <c r="N1189" s="156"/>
      <c r="O1189" s="156"/>
    </row>
    <row r="1190" spans="1:15" x14ac:dyDescent="0.25">
      <c r="A1190" s="150" t="s">
        <v>2214</v>
      </c>
      <c r="B1190" s="150" t="s">
        <v>2215</v>
      </c>
      <c r="C1190" s="150"/>
      <c r="D1190" s="150"/>
      <c r="E1190" s="150"/>
      <c r="F1190" s="150"/>
      <c r="G1190" s="150"/>
      <c r="H1190" s="150"/>
      <c r="I1190" s="150"/>
      <c r="J1190" s="150"/>
      <c r="K1190" s="156"/>
      <c r="L1190" s="156"/>
      <c r="M1190" s="156"/>
      <c r="N1190" s="156"/>
      <c r="O1190" s="156"/>
    </row>
    <row r="1191" spans="1:15" x14ac:dyDescent="0.25">
      <c r="A1191" s="149" t="s">
        <v>2216</v>
      </c>
      <c r="B1191" s="149" t="s">
        <v>2217</v>
      </c>
      <c r="C1191" s="150"/>
      <c r="D1191" s="150"/>
      <c r="E1191" s="150"/>
      <c r="F1191" s="150"/>
      <c r="G1191" s="150"/>
      <c r="H1191" s="150"/>
      <c r="I1191" s="150"/>
      <c r="J1191" s="150"/>
      <c r="K1191" s="156"/>
      <c r="L1191" s="156"/>
      <c r="M1191" s="156"/>
      <c r="N1191" s="156"/>
      <c r="O1191" s="156"/>
    </row>
    <row r="1192" spans="1:15" x14ac:dyDescent="0.25">
      <c r="A1192" s="150" t="s">
        <v>2218</v>
      </c>
      <c r="B1192" s="150" t="s">
        <v>2219</v>
      </c>
      <c r="C1192" s="150"/>
      <c r="D1192" s="150"/>
      <c r="E1192" s="150"/>
      <c r="F1192" s="150"/>
      <c r="G1192" s="150"/>
      <c r="H1192" s="150"/>
      <c r="I1192" s="150"/>
      <c r="J1192" s="150"/>
      <c r="K1192" s="156"/>
      <c r="L1192" s="156"/>
      <c r="M1192" s="156"/>
      <c r="N1192" s="156"/>
      <c r="O1192" s="156"/>
    </row>
    <row r="1193" spans="1:15" x14ac:dyDescent="0.25">
      <c r="A1193" s="149" t="s">
        <v>8409</v>
      </c>
      <c r="B1193" s="149" t="s">
        <v>8410</v>
      </c>
      <c r="C1193" s="150"/>
      <c r="D1193" s="150"/>
      <c r="E1193" s="150"/>
      <c r="F1193" s="150"/>
      <c r="G1193" s="150"/>
      <c r="H1193" s="150"/>
      <c r="I1193" s="150"/>
      <c r="J1193" s="150"/>
      <c r="K1193" s="156"/>
      <c r="L1193" s="156"/>
      <c r="M1193" s="156"/>
      <c r="N1193" s="156"/>
      <c r="O1193" s="156"/>
    </row>
    <row r="1194" spans="1:15" x14ac:dyDescent="0.25">
      <c r="A1194" s="150" t="s">
        <v>8411</v>
      </c>
      <c r="B1194" s="150" t="s">
        <v>8412</v>
      </c>
      <c r="C1194" s="150"/>
      <c r="D1194" s="150"/>
      <c r="E1194" s="150"/>
      <c r="F1194" s="150"/>
      <c r="G1194" s="150"/>
      <c r="H1194" s="150"/>
      <c r="I1194" s="150"/>
      <c r="J1194" s="150"/>
      <c r="K1194" s="156"/>
      <c r="L1194" s="156"/>
      <c r="M1194" s="156"/>
      <c r="N1194" s="156"/>
      <c r="O1194" s="156"/>
    </row>
    <row r="1195" spans="1:15" x14ac:dyDescent="0.25">
      <c r="A1195" s="149" t="s">
        <v>8413</v>
      </c>
      <c r="B1195" s="149" t="s">
        <v>8414</v>
      </c>
      <c r="C1195" s="150"/>
      <c r="D1195" s="150"/>
      <c r="E1195" s="150"/>
      <c r="F1195" s="150"/>
      <c r="G1195" s="150"/>
      <c r="H1195" s="150"/>
      <c r="I1195" s="150"/>
      <c r="J1195" s="150"/>
      <c r="K1195" s="156"/>
      <c r="L1195" s="156"/>
      <c r="M1195" s="156"/>
      <c r="N1195" s="156"/>
      <c r="O1195" s="156"/>
    </row>
    <row r="1196" spans="1:15" x14ac:dyDescent="0.25">
      <c r="A1196" s="150" t="s">
        <v>8415</v>
      </c>
      <c r="B1196" s="150" t="s">
        <v>8416</v>
      </c>
      <c r="C1196" s="150"/>
      <c r="D1196" s="150"/>
      <c r="E1196" s="150"/>
      <c r="F1196" s="150"/>
      <c r="G1196" s="150"/>
      <c r="H1196" s="150"/>
      <c r="I1196" s="150"/>
      <c r="J1196" s="150"/>
      <c r="K1196" s="156"/>
      <c r="L1196" s="156"/>
      <c r="M1196" s="156"/>
      <c r="N1196" s="156"/>
      <c r="O1196" s="156"/>
    </row>
    <row r="1197" spans="1:15" x14ac:dyDescent="0.25">
      <c r="A1197" s="149" t="s">
        <v>8417</v>
      </c>
      <c r="B1197" s="149" t="s">
        <v>8418</v>
      </c>
      <c r="C1197" s="150"/>
      <c r="D1197" s="150"/>
      <c r="E1197" s="150"/>
      <c r="F1197" s="150"/>
      <c r="G1197" s="150"/>
      <c r="H1197" s="150"/>
      <c r="I1197" s="150"/>
      <c r="J1197" s="150"/>
      <c r="K1197" s="156"/>
      <c r="L1197" s="156"/>
      <c r="M1197" s="156"/>
      <c r="N1197" s="156"/>
      <c r="O1197" s="156"/>
    </row>
    <row r="1198" spans="1:15" x14ac:dyDescent="0.25">
      <c r="A1198" s="150" t="s">
        <v>8419</v>
      </c>
      <c r="B1198" s="150" t="s">
        <v>8420</v>
      </c>
      <c r="C1198" s="150"/>
      <c r="D1198" s="150"/>
      <c r="E1198" s="150"/>
      <c r="F1198" s="150"/>
      <c r="G1198" s="150"/>
      <c r="H1198" s="150"/>
      <c r="I1198" s="150"/>
      <c r="J1198" s="150"/>
      <c r="K1198" s="156"/>
      <c r="L1198" s="156"/>
      <c r="M1198" s="156"/>
      <c r="N1198" s="156"/>
      <c r="O1198" s="156"/>
    </row>
    <row r="1199" spans="1:15" x14ac:dyDescent="0.25">
      <c r="A1199" s="150"/>
      <c r="B1199" s="150"/>
      <c r="C1199" s="150"/>
      <c r="D1199" s="150"/>
      <c r="E1199" s="150"/>
      <c r="F1199" s="150"/>
      <c r="G1199" s="150"/>
      <c r="H1199" s="150"/>
      <c r="I1199" s="148"/>
      <c r="J1199" s="148"/>
      <c r="K1199" s="157"/>
      <c r="L1199" s="157"/>
      <c r="M1199" s="157"/>
      <c r="N1199" s="157"/>
      <c r="O1199" s="15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0A31-AB76-4BDA-8344-155391191BAD}">
  <dimension ref="A1:S13"/>
  <sheetViews>
    <sheetView showGridLines="0" zoomScale="160" zoomScaleNormal="160" workbookViewId="0">
      <selection activeCell="A2" sqref="A2"/>
    </sheetView>
  </sheetViews>
  <sheetFormatPr defaultRowHeight="15" x14ac:dyDescent="0.25"/>
  <cols>
    <col min="1" max="1" width="27.85546875" bestFit="1" customWidth="1"/>
    <col min="2" max="2" width="130.140625" bestFit="1" customWidth="1"/>
    <col min="6" max="6" width="7.42578125" customWidth="1"/>
    <col min="12" max="12" width="18" customWidth="1"/>
    <col min="13" max="13" width="9" hidden="1" customWidth="1"/>
    <col min="14" max="14" width="9.140625" hidden="1" customWidth="1"/>
    <col min="15" max="15" width="5.85546875" hidden="1" customWidth="1"/>
    <col min="16" max="16" width="9.140625" hidden="1" customWidth="1"/>
    <col min="17" max="17" width="3.28515625" hidden="1" customWidth="1"/>
    <col min="18" max="18" width="9.140625" hidden="1" customWidth="1"/>
    <col min="19" max="19" width="8.7109375" hidden="1" customWidth="1"/>
  </cols>
  <sheetData>
    <row r="1" spans="1:19" x14ac:dyDescent="0.25">
      <c r="A1" s="40" t="s">
        <v>6097</v>
      </c>
      <c r="B1" s="40" t="s">
        <v>8796</v>
      </c>
      <c r="C1" s="40" t="s">
        <v>2456</v>
      </c>
    </row>
    <row r="2" spans="1:19" ht="26.25" x14ac:dyDescent="0.25">
      <c r="A2" s="71" t="s">
        <v>8802</v>
      </c>
      <c r="B2" s="141" t="s">
        <v>8801</v>
      </c>
      <c r="C2" s="77" t="s">
        <v>8819</v>
      </c>
      <c r="G2" s="154"/>
      <c r="H2" s="155"/>
      <c r="I2" s="155"/>
      <c r="J2" s="155"/>
      <c r="K2" s="155"/>
      <c r="L2" s="155"/>
      <c r="M2" s="155"/>
      <c r="N2" s="155"/>
      <c r="O2" s="155"/>
      <c r="P2" s="155"/>
      <c r="Q2" s="155"/>
      <c r="R2" s="155"/>
      <c r="S2" s="155"/>
    </row>
    <row r="3" spans="1:19" x14ac:dyDescent="0.25">
      <c r="A3" s="71" t="s">
        <v>8816</v>
      </c>
      <c r="B3" s="141" t="s">
        <v>8811</v>
      </c>
      <c r="C3" s="77"/>
    </row>
    <row r="4" spans="1:19" x14ac:dyDescent="0.25">
      <c r="A4" s="71" t="s">
        <v>8815</v>
      </c>
      <c r="B4" s="141" t="s">
        <v>8814</v>
      </c>
      <c r="C4" s="77"/>
    </row>
    <row r="5" spans="1:19" x14ac:dyDescent="0.25">
      <c r="A5" s="75" t="s">
        <v>8810</v>
      </c>
      <c r="B5" s="140" t="s">
        <v>8809</v>
      </c>
      <c r="C5" s="77"/>
    </row>
    <row r="6" spans="1:19" x14ac:dyDescent="0.25">
      <c r="A6" s="75" t="s">
        <v>8800</v>
      </c>
      <c r="B6" s="140" t="s">
        <v>8799</v>
      </c>
      <c r="C6" s="77"/>
    </row>
    <row r="7" spans="1:19" x14ac:dyDescent="0.25">
      <c r="A7" s="75" t="s">
        <v>8797</v>
      </c>
      <c r="B7" s="140" t="s">
        <v>8798</v>
      </c>
      <c r="C7" s="77"/>
    </row>
    <row r="8" spans="1:19" x14ac:dyDescent="0.25">
      <c r="A8" s="71" t="s">
        <v>8813</v>
      </c>
      <c r="B8" s="140" t="s">
        <v>8812</v>
      </c>
      <c r="C8" s="77"/>
    </row>
    <row r="9" spans="1:19" x14ac:dyDescent="0.25">
      <c r="A9" s="75" t="s">
        <v>8804</v>
      </c>
      <c r="B9" s="140" t="s">
        <v>8803</v>
      </c>
      <c r="C9" s="77"/>
      <c r="I9" t="s">
        <v>8787</v>
      </c>
    </row>
    <row r="10" spans="1:19" x14ac:dyDescent="0.25">
      <c r="A10" s="75" t="s">
        <v>8808</v>
      </c>
      <c r="B10" s="140" t="s">
        <v>8807</v>
      </c>
      <c r="C10" s="77"/>
    </row>
    <row r="11" spans="1:19" x14ac:dyDescent="0.25">
      <c r="A11" s="75" t="s">
        <v>8805</v>
      </c>
      <c r="B11" s="140" t="s">
        <v>8806</v>
      </c>
      <c r="C11" s="77"/>
    </row>
    <row r="12" spans="1:19" x14ac:dyDescent="0.25">
      <c r="A12" s="75" t="s">
        <v>8795</v>
      </c>
      <c r="B12" s="139" t="s">
        <v>8794</v>
      </c>
      <c r="C12" s="77"/>
    </row>
    <row r="13" spans="1:19" x14ac:dyDescent="0.25">
      <c r="A13" s="75" t="s">
        <v>8818</v>
      </c>
      <c r="B13" s="140" t="s">
        <v>8817</v>
      </c>
      <c r="C13" s="77"/>
    </row>
  </sheetData>
  <mergeCells count="1">
    <mergeCell ref="G2:S2"/>
  </mergeCells>
  <hyperlinks>
    <hyperlink ref="B12" r:id="rId1" xr:uid="{EE6B6E74-1DAF-49A6-B71E-0F338124559E}"/>
    <hyperlink ref="B7" r:id="rId2" xr:uid="{73777001-0AA3-4D07-96F0-0CD4811C1EA0}"/>
    <hyperlink ref="B6" r:id="rId3" xr:uid="{8EFFB212-764E-4928-A476-30CD4FB9308A}"/>
    <hyperlink ref="B2" r:id="rId4" xr:uid="{8F674F87-0BEE-476B-973C-8760CC4292AE}"/>
    <hyperlink ref="B9" r:id="rId5" xr:uid="{45E232FF-08C4-4DF7-9881-8CE5F048D735}"/>
    <hyperlink ref="B11" r:id="rId6" xr:uid="{B1F376E1-0212-448D-921A-6ABB3D32343F}"/>
    <hyperlink ref="B10" r:id="rId7" xr:uid="{F8A5B7E3-B78F-4395-9451-9BD20946F11E}"/>
    <hyperlink ref="B5" r:id="rId8" xr:uid="{83586579-167B-4294-B907-B5750E06AD6C}"/>
    <hyperlink ref="B3" r:id="rId9" xr:uid="{64824A9C-7054-4BF2-B2A7-4227368FB97C}"/>
    <hyperlink ref="B8" r:id="rId10" xr:uid="{DF19ED14-A0E8-4B21-AA6C-E3F4090E1D9E}"/>
    <hyperlink ref="B4" r:id="rId11" xr:uid="{A8B64C44-BA82-4B5C-B532-6BA4084DD9FC}"/>
    <hyperlink ref="B13" r:id="rId12" xr:uid="{01A097EC-2237-41A3-BB0A-D9DE788CF374}"/>
  </hyperlinks>
  <pageMargins left="0.7" right="0.7" top="0.75" bottom="0.75" header="0.3" footer="0.3"/>
  <pageSetup orientation="portrait" r:id="rId1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C1BBB-787C-4628-A380-087A2E2F242F}">
  <dimension ref="A1:B4"/>
  <sheetViews>
    <sheetView zoomScale="145" zoomScaleNormal="145" workbookViewId="0">
      <selection activeCell="A4" sqref="A4"/>
    </sheetView>
  </sheetViews>
  <sheetFormatPr defaultRowHeight="15" x14ac:dyDescent="0.25"/>
  <cols>
    <col min="1" max="1" width="9.42578125" bestFit="1" customWidth="1"/>
    <col min="2" max="2" width="103.5703125" bestFit="1" customWidth="1"/>
  </cols>
  <sheetData>
    <row r="1" spans="1:2" x14ac:dyDescent="0.25">
      <c r="A1" s="144" t="s">
        <v>6097</v>
      </c>
      <c r="B1" s="145" t="s">
        <v>8796</v>
      </c>
    </row>
    <row r="2" spans="1:2" x14ac:dyDescent="0.25">
      <c r="A2" s="142" t="s">
        <v>8793</v>
      </c>
      <c r="B2" s="143" t="s">
        <v>8792</v>
      </c>
    </row>
    <row r="3" spans="1:2" x14ac:dyDescent="0.25">
      <c r="A3" s="142" t="s">
        <v>8790</v>
      </c>
      <c r="B3" s="143" t="s">
        <v>8791</v>
      </c>
    </row>
    <row r="4" spans="1:2" x14ac:dyDescent="0.25">
      <c r="A4" s="146" t="s">
        <v>8788</v>
      </c>
      <c r="B4" s="147" t="s">
        <v>8789</v>
      </c>
    </row>
  </sheetData>
  <hyperlinks>
    <hyperlink ref="B2" r:id="rId1" xr:uid="{FDEDFCD0-AE7D-4567-9195-A7868968AA8C}"/>
    <hyperlink ref="B3" r:id="rId2" xr:uid="{C35103DC-6C49-48C7-8560-7244D9C3D42C}"/>
    <hyperlink ref="B4" r:id="rId3" xr:uid="{76F4EEEF-D430-4A6D-8D98-004E47AD09D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2901-9372-4150-ADC8-C5F58139EC7D}">
  <dimension ref="A1:B4690"/>
  <sheetViews>
    <sheetView zoomScale="130" zoomScaleNormal="130" workbookViewId="0">
      <selection activeCell="B1" sqref="B1"/>
    </sheetView>
  </sheetViews>
  <sheetFormatPr defaultRowHeight="15" x14ac:dyDescent="0.25"/>
  <cols>
    <col min="1" max="1" width="9.5703125" bestFit="1" customWidth="1"/>
    <col min="2" max="2" width="9.7109375" bestFit="1" customWidth="1"/>
  </cols>
  <sheetData>
    <row r="1" spans="1:2" x14ac:dyDescent="0.25">
      <c r="A1" s="137" t="s">
        <v>172</v>
      </c>
      <c r="B1" s="137" t="s">
        <v>6112</v>
      </c>
    </row>
    <row r="2" spans="1:2" x14ac:dyDescent="0.25">
      <c r="A2" s="138">
        <v>151</v>
      </c>
      <c r="B2" s="138" t="s">
        <v>1161</v>
      </c>
    </row>
    <row r="3" spans="1:2" x14ac:dyDescent="0.25">
      <c r="A3" s="20">
        <v>96</v>
      </c>
      <c r="B3" s="20" t="s">
        <v>1403</v>
      </c>
    </row>
    <row r="4" spans="1:2" x14ac:dyDescent="0.25">
      <c r="A4" s="20">
        <v>45</v>
      </c>
      <c r="B4" s="20" t="s">
        <v>1275</v>
      </c>
    </row>
    <row r="5" spans="1:2" x14ac:dyDescent="0.25">
      <c r="A5" s="138">
        <v>16</v>
      </c>
      <c r="B5" s="138" t="s">
        <v>369</v>
      </c>
    </row>
    <row r="6" spans="1:2" x14ac:dyDescent="0.25">
      <c r="A6" s="20">
        <v>96</v>
      </c>
      <c r="B6" s="20" t="s">
        <v>491</v>
      </c>
    </row>
    <row r="7" spans="1:2" x14ac:dyDescent="0.25">
      <c r="A7" s="20">
        <v>4</v>
      </c>
      <c r="B7" s="20" t="s">
        <v>270</v>
      </c>
    </row>
    <row r="8" spans="1:2" x14ac:dyDescent="0.25">
      <c r="A8" s="138">
        <v>115</v>
      </c>
      <c r="B8" s="138" t="s">
        <v>2003</v>
      </c>
    </row>
    <row r="9" spans="1:2" x14ac:dyDescent="0.25">
      <c r="A9" s="20">
        <v>11</v>
      </c>
      <c r="B9" s="20" t="s">
        <v>638</v>
      </c>
    </row>
    <row r="10" spans="1:2" x14ac:dyDescent="0.25">
      <c r="A10" s="138">
        <v>171</v>
      </c>
      <c r="B10" s="138" t="s">
        <v>450</v>
      </c>
    </row>
    <row r="11" spans="1:2" x14ac:dyDescent="0.25">
      <c r="A11" s="20">
        <v>45</v>
      </c>
      <c r="B11" s="20" t="s">
        <v>2002</v>
      </c>
    </row>
    <row r="12" spans="1:2" x14ac:dyDescent="0.25">
      <c r="A12" s="20">
        <v>18</v>
      </c>
      <c r="B12" s="20" t="s">
        <v>1289</v>
      </c>
    </row>
    <row r="13" spans="1:2" x14ac:dyDescent="0.25">
      <c r="A13" s="138">
        <v>251</v>
      </c>
      <c r="B13" s="138" t="s">
        <v>6244</v>
      </c>
    </row>
    <row r="14" spans="1:2" x14ac:dyDescent="0.25">
      <c r="A14" s="20">
        <v>16</v>
      </c>
      <c r="B14" s="20" t="s">
        <v>6218</v>
      </c>
    </row>
    <row r="15" spans="1:2" x14ac:dyDescent="0.25">
      <c r="A15" s="138">
        <v>50</v>
      </c>
      <c r="B15" s="138" t="s">
        <v>1478</v>
      </c>
    </row>
    <row r="16" spans="1:2" x14ac:dyDescent="0.25">
      <c r="A16" s="20">
        <v>55</v>
      </c>
      <c r="B16" s="20" t="s">
        <v>1714</v>
      </c>
    </row>
    <row r="17" spans="1:2" x14ac:dyDescent="0.25">
      <c r="A17" s="20" t="s">
        <v>8743</v>
      </c>
      <c r="B17" s="20" t="s">
        <v>8744</v>
      </c>
    </row>
    <row r="18" spans="1:2" x14ac:dyDescent="0.25">
      <c r="A18" s="20">
        <v>96</v>
      </c>
      <c r="B18" s="20" t="s">
        <v>962</v>
      </c>
    </row>
    <row r="19" spans="1:2" x14ac:dyDescent="0.25">
      <c r="A19" s="138">
        <v>96</v>
      </c>
      <c r="B19" s="138" t="s">
        <v>828</v>
      </c>
    </row>
    <row r="20" spans="1:2" x14ac:dyDescent="0.25">
      <c r="A20" s="20">
        <v>16</v>
      </c>
      <c r="B20" s="20" t="s">
        <v>1464</v>
      </c>
    </row>
    <row r="21" spans="1:2" x14ac:dyDescent="0.25">
      <c r="A21" s="20" t="s">
        <v>8745</v>
      </c>
      <c r="B21" s="20" t="s">
        <v>1530</v>
      </c>
    </row>
    <row r="22" spans="1:2" x14ac:dyDescent="0.25">
      <c r="A22" s="20">
        <v>16</v>
      </c>
      <c r="B22" s="20" t="s">
        <v>2005</v>
      </c>
    </row>
    <row r="23" spans="1:2" x14ac:dyDescent="0.25">
      <c r="A23" s="138">
        <v>16</v>
      </c>
      <c r="B23" s="138" t="s">
        <v>417</v>
      </c>
    </row>
    <row r="24" spans="1:2" x14ac:dyDescent="0.25">
      <c r="A24" s="20">
        <v>96</v>
      </c>
      <c r="B24" s="20" t="s">
        <v>693</v>
      </c>
    </row>
    <row r="25" spans="1:2" x14ac:dyDescent="0.25">
      <c r="A25" s="20">
        <v>96</v>
      </c>
      <c r="B25" s="20" t="s">
        <v>640</v>
      </c>
    </row>
    <row r="26" spans="1:2" x14ac:dyDescent="0.25">
      <c r="A26" s="138">
        <v>16</v>
      </c>
      <c r="B26" s="138" t="s">
        <v>1197</v>
      </c>
    </row>
    <row r="27" spans="1:2" x14ac:dyDescent="0.25">
      <c r="A27" s="20">
        <v>197</v>
      </c>
      <c r="B27" s="20" t="s">
        <v>280</v>
      </c>
    </row>
    <row r="28" spans="1:2" x14ac:dyDescent="0.25">
      <c r="A28" s="138">
        <v>96</v>
      </c>
      <c r="B28" s="138" t="s">
        <v>1360</v>
      </c>
    </row>
    <row r="29" spans="1:2" x14ac:dyDescent="0.25">
      <c r="A29" s="138">
        <v>16</v>
      </c>
      <c r="B29" s="138" t="s">
        <v>262</v>
      </c>
    </row>
    <row r="30" spans="1:2" x14ac:dyDescent="0.25">
      <c r="A30" s="138">
        <v>242</v>
      </c>
      <c r="B30" s="138" t="s">
        <v>206</v>
      </c>
    </row>
    <row r="31" spans="1:2" x14ac:dyDescent="0.25">
      <c r="A31" s="138">
        <v>45</v>
      </c>
      <c r="B31" s="138"/>
    </row>
    <row r="32" spans="1:2" x14ac:dyDescent="0.25">
      <c r="A32" s="138">
        <v>109</v>
      </c>
      <c r="B32" s="138" t="s">
        <v>924</v>
      </c>
    </row>
    <row r="33" spans="1:2" x14ac:dyDescent="0.25">
      <c r="A33" s="20">
        <v>8</v>
      </c>
      <c r="B33" s="20" t="s">
        <v>2070</v>
      </c>
    </row>
    <row r="34" spans="1:2" x14ac:dyDescent="0.25">
      <c r="A34" s="138">
        <v>252</v>
      </c>
      <c r="B34" s="138" t="s">
        <v>615</v>
      </c>
    </row>
    <row r="35" spans="1:2" x14ac:dyDescent="0.25">
      <c r="A35" s="20">
        <v>16</v>
      </c>
      <c r="B35" s="20" t="s">
        <v>701</v>
      </c>
    </row>
    <row r="36" spans="1:2" x14ac:dyDescent="0.25">
      <c r="A36" s="138">
        <v>5</v>
      </c>
      <c r="B36" s="138" t="s">
        <v>337</v>
      </c>
    </row>
    <row r="37" spans="1:2" x14ac:dyDescent="0.25">
      <c r="A37" s="138">
        <v>11</v>
      </c>
      <c r="B37" s="138" t="s">
        <v>1778</v>
      </c>
    </row>
    <row r="38" spans="1:2" x14ac:dyDescent="0.25">
      <c r="A38" s="138">
        <v>231</v>
      </c>
      <c r="B38" s="138" t="s">
        <v>886</v>
      </c>
    </row>
    <row r="39" spans="1:2" x14ac:dyDescent="0.25">
      <c r="A39" s="138">
        <v>59</v>
      </c>
      <c r="B39" s="138" t="s">
        <v>1803</v>
      </c>
    </row>
    <row r="40" spans="1:2" x14ac:dyDescent="0.25">
      <c r="A40" s="20">
        <v>16</v>
      </c>
      <c r="B40" s="20" t="s">
        <v>301</v>
      </c>
    </row>
    <row r="41" spans="1:2" x14ac:dyDescent="0.25">
      <c r="A41" s="20">
        <v>119</v>
      </c>
      <c r="B41" s="20" t="s">
        <v>1244</v>
      </c>
    </row>
    <row r="42" spans="1:2" x14ac:dyDescent="0.25">
      <c r="A42" s="138">
        <v>147</v>
      </c>
      <c r="B42" s="138" t="s">
        <v>208</v>
      </c>
    </row>
    <row r="43" spans="1:2" x14ac:dyDescent="0.25">
      <c r="A43" s="138">
        <v>26</v>
      </c>
      <c r="B43" s="138" t="s">
        <v>655</v>
      </c>
    </row>
    <row r="44" spans="1:2" x14ac:dyDescent="0.25">
      <c r="A44" s="20">
        <v>185</v>
      </c>
      <c r="B44" s="20" t="s">
        <v>1548</v>
      </c>
    </row>
    <row r="45" spans="1:2" x14ac:dyDescent="0.25">
      <c r="A45" s="138">
        <v>109</v>
      </c>
      <c r="B45" s="138" t="s">
        <v>1346</v>
      </c>
    </row>
    <row r="46" spans="1:2" x14ac:dyDescent="0.25">
      <c r="A46" s="138">
        <v>288</v>
      </c>
      <c r="B46" s="138" t="s">
        <v>1726</v>
      </c>
    </row>
    <row r="47" spans="1:2" x14ac:dyDescent="0.25">
      <c r="A47" s="138">
        <v>242</v>
      </c>
      <c r="B47" s="138" t="s">
        <v>1326</v>
      </c>
    </row>
    <row r="48" spans="1:2" x14ac:dyDescent="0.25">
      <c r="A48" s="20">
        <v>252</v>
      </c>
      <c r="B48" s="20" t="s">
        <v>1860</v>
      </c>
    </row>
    <row r="49" spans="1:2" x14ac:dyDescent="0.25">
      <c r="A49" s="138">
        <v>256</v>
      </c>
      <c r="B49" s="138" t="s">
        <v>1366</v>
      </c>
    </row>
    <row r="50" spans="1:2" x14ac:dyDescent="0.25">
      <c r="A50" s="138" t="s">
        <v>8746</v>
      </c>
      <c r="B50" s="138" t="s">
        <v>8747</v>
      </c>
    </row>
    <row r="51" spans="1:2" x14ac:dyDescent="0.25">
      <c r="A51" s="138" t="s">
        <v>8748</v>
      </c>
      <c r="B51" s="138" t="s">
        <v>8749</v>
      </c>
    </row>
    <row r="52" spans="1:2" x14ac:dyDescent="0.25">
      <c r="A52" s="138" t="s">
        <v>8743</v>
      </c>
      <c r="B52" s="138" t="s">
        <v>8750</v>
      </c>
    </row>
    <row r="53" spans="1:2" x14ac:dyDescent="0.25">
      <c r="A53" s="138" t="s">
        <v>8743</v>
      </c>
      <c r="B53" s="138" t="s">
        <v>8751</v>
      </c>
    </row>
    <row r="54" spans="1:2" x14ac:dyDescent="0.25">
      <c r="A54" s="20" t="s">
        <v>8752</v>
      </c>
      <c r="B54" s="20" t="s">
        <v>901</v>
      </c>
    </row>
    <row r="55" spans="1:2" x14ac:dyDescent="0.25">
      <c r="A55" s="138">
        <v>206</v>
      </c>
      <c r="B55" s="138" t="s">
        <v>1075</v>
      </c>
    </row>
    <row r="56" spans="1:2" x14ac:dyDescent="0.25">
      <c r="A56" s="20">
        <v>16</v>
      </c>
      <c r="B56" s="20" t="s">
        <v>1276</v>
      </c>
    </row>
    <row r="503" spans="1:2" x14ac:dyDescent="0.25">
      <c r="A503" s="138"/>
      <c r="B503" s="138"/>
    </row>
    <row r="504" spans="1:2" x14ac:dyDescent="0.25">
      <c r="A504" s="20"/>
      <c r="B504" s="20"/>
    </row>
    <row r="505" spans="1:2" x14ac:dyDescent="0.25">
      <c r="A505" s="138">
        <v>199</v>
      </c>
      <c r="B505" s="138"/>
    </row>
    <row r="506" spans="1:2" x14ac:dyDescent="0.25">
      <c r="A506" s="20"/>
      <c r="B506" s="20"/>
    </row>
    <row r="507" spans="1:2" x14ac:dyDescent="0.25">
      <c r="A507" s="138">
        <v>11</v>
      </c>
      <c r="B507" s="138" t="s">
        <v>1778</v>
      </c>
    </row>
    <row r="508" spans="1:2" x14ac:dyDescent="0.25">
      <c r="A508" s="20">
        <v>11</v>
      </c>
      <c r="B508" s="20" t="s">
        <v>638</v>
      </c>
    </row>
    <row r="509" spans="1:2" x14ac:dyDescent="0.25">
      <c r="A509" s="138" t="s">
        <v>6218</v>
      </c>
      <c r="B509" s="138" t="s">
        <v>6218</v>
      </c>
    </row>
    <row r="510" spans="1:2" x14ac:dyDescent="0.25">
      <c r="A510" s="20" t="s">
        <v>6218</v>
      </c>
      <c r="B510" s="20" t="s">
        <v>6218</v>
      </c>
    </row>
    <row r="511" spans="1:2" x14ac:dyDescent="0.25">
      <c r="A511" s="138" t="s">
        <v>6218</v>
      </c>
      <c r="B511" s="138" t="s">
        <v>6218</v>
      </c>
    </row>
    <row r="512" spans="1:2" x14ac:dyDescent="0.25">
      <c r="A512" s="20" t="s">
        <v>6218</v>
      </c>
      <c r="B512" s="20" t="s">
        <v>6218</v>
      </c>
    </row>
    <row r="513" spans="1:2" x14ac:dyDescent="0.25">
      <c r="A513" s="138" t="s">
        <v>6218</v>
      </c>
      <c r="B513" s="138" t="s">
        <v>6218</v>
      </c>
    </row>
    <row r="514" spans="1:2" x14ac:dyDescent="0.25">
      <c r="A514" s="20" t="s">
        <v>6218</v>
      </c>
      <c r="B514" s="20" t="s">
        <v>6218</v>
      </c>
    </row>
    <row r="515" spans="1:2" x14ac:dyDescent="0.25">
      <c r="A515" s="138" t="s">
        <v>6218</v>
      </c>
      <c r="B515" s="138" t="s">
        <v>6218</v>
      </c>
    </row>
    <row r="516" spans="1:2" x14ac:dyDescent="0.25">
      <c r="A516" s="20" t="s">
        <v>6218</v>
      </c>
      <c r="B516" s="20" t="s">
        <v>6218</v>
      </c>
    </row>
    <row r="517" spans="1:2" x14ac:dyDescent="0.25">
      <c r="A517" s="138" t="s">
        <v>6218</v>
      </c>
      <c r="B517" s="138" t="s">
        <v>6218</v>
      </c>
    </row>
    <row r="518" spans="1:2" x14ac:dyDescent="0.25">
      <c r="A518" s="20" t="s">
        <v>6218</v>
      </c>
      <c r="B518" s="20" t="s">
        <v>6218</v>
      </c>
    </row>
    <row r="519" spans="1:2" x14ac:dyDescent="0.25">
      <c r="A519" s="138" t="s">
        <v>6218</v>
      </c>
      <c r="B519" s="138" t="s">
        <v>6218</v>
      </c>
    </row>
    <row r="520" spans="1:2" x14ac:dyDescent="0.25">
      <c r="A520" s="20" t="s">
        <v>6218</v>
      </c>
      <c r="B520" s="20" t="s">
        <v>6218</v>
      </c>
    </row>
    <row r="521" spans="1:2" x14ac:dyDescent="0.25">
      <c r="A521" s="138" t="s">
        <v>6218</v>
      </c>
      <c r="B521" s="138" t="s">
        <v>6218</v>
      </c>
    </row>
    <row r="522" spans="1:2" x14ac:dyDescent="0.25">
      <c r="A522" s="20" t="s">
        <v>6218</v>
      </c>
      <c r="B522" s="20" t="s">
        <v>6218</v>
      </c>
    </row>
    <row r="523" spans="1:2" x14ac:dyDescent="0.25">
      <c r="A523" s="138" t="s">
        <v>6218</v>
      </c>
      <c r="B523" s="138" t="s">
        <v>6218</v>
      </c>
    </row>
    <row r="524" spans="1:2" x14ac:dyDescent="0.25">
      <c r="A524" s="20" t="s">
        <v>6218</v>
      </c>
      <c r="B524" s="20" t="s">
        <v>6218</v>
      </c>
    </row>
    <row r="525" spans="1:2" x14ac:dyDescent="0.25">
      <c r="A525" s="138" t="s">
        <v>6218</v>
      </c>
      <c r="B525" s="138" t="s">
        <v>6218</v>
      </c>
    </row>
    <row r="526" spans="1:2" x14ac:dyDescent="0.25">
      <c r="A526" s="20" t="s">
        <v>6218</v>
      </c>
      <c r="B526" s="20" t="s">
        <v>6218</v>
      </c>
    </row>
    <row r="527" spans="1:2" x14ac:dyDescent="0.25">
      <c r="A527" s="138" t="s">
        <v>6218</v>
      </c>
      <c r="B527" s="138" t="s">
        <v>6218</v>
      </c>
    </row>
    <row r="528" spans="1:2" x14ac:dyDescent="0.25">
      <c r="A528" s="20" t="s">
        <v>6218</v>
      </c>
      <c r="B528" s="20" t="s">
        <v>6218</v>
      </c>
    </row>
    <row r="529" spans="1:2" x14ac:dyDescent="0.25">
      <c r="A529" s="138" t="s">
        <v>8745</v>
      </c>
      <c r="B529" s="138" t="s">
        <v>8753</v>
      </c>
    </row>
    <row r="530" spans="1:2" x14ac:dyDescent="0.25">
      <c r="A530" s="20" t="s">
        <v>8745</v>
      </c>
      <c r="B530" s="20" t="s">
        <v>8753</v>
      </c>
    </row>
    <row r="531" spans="1:2" x14ac:dyDescent="0.25">
      <c r="A531" s="138" t="s">
        <v>8745</v>
      </c>
      <c r="B531" s="138" t="s">
        <v>8753</v>
      </c>
    </row>
    <row r="532" spans="1:2" x14ac:dyDescent="0.25">
      <c r="A532" s="20" t="s">
        <v>8745</v>
      </c>
      <c r="B532" s="20" t="s">
        <v>8753</v>
      </c>
    </row>
    <row r="533" spans="1:2" x14ac:dyDescent="0.25">
      <c r="A533" s="138" t="s">
        <v>8743</v>
      </c>
      <c r="B533" s="138" t="s">
        <v>8749</v>
      </c>
    </row>
    <row r="534" spans="1:2" x14ac:dyDescent="0.25">
      <c r="A534" s="20" t="s">
        <v>8745</v>
      </c>
      <c r="B534" s="20" t="s">
        <v>8753</v>
      </c>
    </row>
    <row r="535" spans="1:2" x14ac:dyDescent="0.25">
      <c r="A535" s="138" t="s">
        <v>8745</v>
      </c>
      <c r="B535" s="138" t="s">
        <v>8753</v>
      </c>
    </row>
    <row r="536" spans="1:2" x14ac:dyDescent="0.25">
      <c r="A536" s="20" t="s">
        <v>8745</v>
      </c>
      <c r="B536" s="20" t="s">
        <v>8753</v>
      </c>
    </row>
    <row r="537" spans="1:2" x14ac:dyDescent="0.25">
      <c r="A537" s="138" t="s">
        <v>8743</v>
      </c>
      <c r="B537" s="138" t="s">
        <v>8749</v>
      </c>
    </row>
    <row r="538" spans="1:2" x14ac:dyDescent="0.25">
      <c r="A538" s="20" t="s">
        <v>8743</v>
      </c>
      <c r="B538" s="20" t="s">
        <v>8749</v>
      </c>
    </row>
    <row r="539" spans="1:2" x14ac:dyDescent="0.25">
      <c r="A539" s="138" t="s">
        <v>8743</v>
      </c>
      <c r="B539" s="138" t="s">
        <v>8749</v>
      </c>
    </row>
    <row r="540" spans="1:2" x14ac:dyDescent="0.25">
      <c r="A540" s="20" t="s">
        <v>8748</v>
      </c>
      <c r="B540" s="20" t="s">
        <v>8754</v>
      </c>
    </row>
    <row r="541" spans="1:2" x14ac:dyDescent="0.25">
      <c r="A541" s="138" t="s">
        <v>8745</v>
      </c>
      <c r="B541" s="138" t="s">
        <v>8753</v>
      </c>
    </row>
    <row r="542" spans="1:2" x14ac:dyDescent="0.25">
      <c r="A542" s="20">
        <v>96</v>
      </c>
      <c r="B542" s="20" t="s">
        <v>1275</v>
      </c>
    </row>
    <row r="543" spans="1:2" x14ac:dyDescent="0.25">
      <c r="A543" s="138">
        <v>96</v>
      </c>
      <c r="B543" s="138" t="s">
        <v>1275</v>
      </c>
    </row>
    <row r="544" spans="1:2" x14ac:dyDescent="0.25">
      <c r="A544" s="20">
        <v>96</v>
      </c>
      <c r="B544" s="20" t="s">
        <v>1275</v>
      </c>
    </row>
    <row r="545" spans="1:2" x14ac:dyDescent="0.25">
      <c r="A545" s="138">
        <v>96</v>
      </c>
      <c r="B545" s="138" t="s">
        <v>1275</v>
      </c>
    </row>
    <row r="546" spans="1:2" x14ac:dyDescent="0.25">
      <c r="A546" s="20">
        <v>96</v>
      </c>
      <c r="B546" s="20" t="s">
        <v>1275</v>
      </c>
    </row>
    <row r="547" spans="1:2" x14ac:dyDescent="0.25">
      <c r="A547" s="138">
        <v>96</v>
      </c>
      <c r="B547" s="138" t="s">
        <v>1275</v>
      </c>
    </row>
    <row r="548" spans="1:2" x14ac:dyDescent="0.25">
      <c r="A548" s="20">
        <v>96</v>
      </c>
      <c r="B548" s="20" t="s">
        <v>1275</v>
      </c>
    </row>
    <row r="549" spans="1:2" x14ac:dyDescent="0.25">
      <c r="A549" s="138">
        <v>96</v>
      </c>
      <c r="B549" s="138" t="s">
        <v>1275</v>
      </c>
    </row>
    <row r="550" spans="1:2" x14ac:dyDescent="0.25">
      <c r="A550" s="20">
        <v>96</v>
      </c>
      <c r="B550" s="20" t="s">
        <v>1275</v>
      </c>
    </row>
    <row r="551" spans="1:2" x14ac:dyDescent="0.25">
      <c r="A551" s="138">
        <v>96</v>
      </c>
      <c r="B551" s="138" t="s">
        <v>1275</v>
      </c>
    </row>
    <row r="552" spans="1:2" x14ac:dyDescent="0.25">
      <c r="A552" s="20">
        <v>96</v>
      </c>
      <c r="B552" s="20" t="s">
        <v>1275</v>
      </c>
    </row>
    <row r="553" spans="1:2" x14ac:dyDescent="0.25">
      <c r="A553" s="138">
        <v>96</v>
      </c>
      <c r="B553" s="138" t="s">
        <v>1275</v>
      </c>
    </row>
    <row r="554" spans="1:2" x14ac:dyDescent="0.25">
      <c r="A554" s="20">
        <v>96</v>
      </c>
      <c r="B554" s="20" t="s">
        <v>1275</v>
      </c>
    </row>
    <row r="555" spans="1:2" x14ac:dyDescent="0.25">
      <c r="A555" s="138">
        <v>96</v>
      </c>
      <c r="B555" s="138" t="s">
        <v>1275</v>
      </c>
    </row>
    <row r="556" spans="1:2" x14ac:dyDescent="0.25">
      <c r="A556" s="20">
        <v>96</v>
      </c>
      <c r="B556" s="20" t="s">
        <v>1275</v>
      </c>
    </row>
    <row r="557" spans="1:2" x14ac:dyDescent="0.25">
      <c r="A557" s="138">
        <v>96</v>
      </c>
      <c r="B557" s="138" t="s">
        <v>1275</v>
      </c>
    </row>
    <row r="558" spans="1:2" x14ac:dyDescent="0.25">
      <c r="A558" s="20">
        <v>96</v>
      </c>
      <c r="B558" s="20" t="s">
        <v>1275</v>
      </c>
    </row>
    <row r="559" spans="1:2" x14ac:dyDescent="0.25">
      <c r="A559" s="138">
        <v>96</v>
      </c>
      <c r="B559" s="138" t="s">
        <v>1275</v>
      </c>
    </row>
    <row r="560" spans="1:2" x14ac:dyDescent="0.25">
      <c r="A560" s="20">
        <v>96</v>
      </c>
      <c r="B560" s="20" t="s">
        <v>1275</v>
      </c>
    </row>
    <row r="561" spans="1:2" x14ac:dyDescent="0.25">
      <c r="A561" s="138">
        <v>96</v>
      </c>
      <c r="B561" s="138" t="s">
        <v>1275</v>
      </c>
    </row>
    <row r="562" spans="1:2" x14ac:dyDescent="0.25">
      <c r="A562" s="20">
        <v>96</v>
      </c>
      <c r="B562" s="20" t="s">
        <v>1275</v>
      </c>
    </row>
    <row r="563" spans="1:2" x14ac:dyDescent="0.25">
      <c r="A563" s="138">
        <v>96</v>
      </c>
      <c r="B563" s="138" t="s">
        <v>1275</v>
      </c>
    </row>
    <row r="564" spans="1:2" x14ac:dyDescent="0.25">
      <c r="A564" s="20">
        <v>96</v>
      </c>
      <c r="B564" s="20" t="s">
        <v>1275</v>
      </c>
    </row>
    <row r="565" spans="1:2" x14ac:dyDescent="0.25">
      <c r="A565" s="138">
        <v>231</v>
      </c>
      <c r="B565" s="138" t="s">
        <v>886</v>
      </c>
    </row>
    <row r="566" spans="1:2" x14ac:dyDescent="0.25">
      <c r="A566" s="20">
        <v>96</v>
      </c>
      <c r="B566" s="20" t="s">
        <v>1403</v>
      </c>
    </row>
    <row r="567" spans="1:2" x14ac:dyDescent="0.25">
      <c r="A567" s="138">
        <v>11</v>
      </c>
      <c r="B567" s="138" t="s">
        <v>638</v>
      </c>
    </row>
    <row r="568" spans="1:2" x14ac:dyDescent="0.25">
      <c r="A568" s="20">
        <v>197</v>
      </c>
      <c r="B568" s="20" t="s">
        <v>280</v>
      </c>
    </row>
    <row r="569" spans="1:2" x14ac:dyDescent="0.25">
      <c r="A569" s="138" t="s">
        <v>8755</v>
      </c>
      <c r="B569" s="138"/>
    </row>
    <row r="570" spans="1:2" x14ac:dyDescent="0.25">
      <c r="A570" s="20" t="s">
        <v>8745</v>
      </c>
      <c r="B570" s="20" t="s">
        <v>8756</v>
      </c>
    </row>
    <row r="571" spans="1:2" x14ac:dyDescent="0.25">
      <c r="A571" s="138">
        <v>96</v>
      </c>
      <c r="B571" s="138" t="s">
        <v>491</v>
      </c>
    </row>
    <row r="572" spans="1:2" x14ac:dyDescent="0.25">
      <c r="A572" s="20" t="s">
        <v>8745</v>
      </c>
      <c r="B572" s="20" t="s">
        <v>8756</v>
      </c>
    </row>
    <row r="573" spans="1:2" x14ac:dyDescent="0.25">
      <c r="A573" s="138">
        <v>16</v>
      </c>
      <c r="B573" s="138" t="s">
        <v>6218</v>
      </c>
    </row>
    <row r="574" spans="1:2" x14ac:dyDescent="0.25">
      <c r="A574" s="20" t="s">
        <v>8745</v>
      </c>
      <c r="B574" s="20" t="s">
        <v>8756</v>
      </c>
    </row>
    <row r="575" spans="1:2" x14ac:dyDescent="0.25">
      <c r="A575" s="138">
        <v>96</v>
      </c>
      <c r="B575" s="138" t="s">
        <v>1403</v>
      </c>
    </row>
    <row r="576" spans="1:2" x14ac:dyDescent="0.25">
      <c r="A576" s="20" t="s">
        <v>8745</v>
      </c>
      <c r="B576" s="20" t="s">
        <v>8756</v>
      </c>
    </row>
    <row r="577" spans="1:2" x14ac:dyDescent="0.25">
      <c r="A577" s="138">
        <v>96</v>
      </c>
      <c r="B577" s="138" t="s">
        <v>1403</v>
      </c>
    </row>
    <row r="578" spans="1:2" x14ac:dyDescent="0.25">
      <c r="A578" s="20" t="s">
        <v>167</v>
      </c>
      <c r="B578" s="20" t="s">
        <v>6218</v>
      </c>
    </row>
    <row r="579" spans="1:2" x14ac:dyDescent="0.25">
      <c r="A579" s="138" t="s">
        <v>167</v>
      </c>
      <c r="B579" s="138" t="s">
        <v>6218</v>
      </c>
    </row>
    <row r="580" spans="1:2" x14ac:dyDescent="0.25">
      <c r="A580" s="20">
        <v>185</v>
      </c>
      <c r="B580" s="20" t="s">
        <v>1548</v>
      </c>
    </row>
    <row r="581" spans="1:2" x14ac:dyDescent="0.25">
      <c r="A581" s="138">
        <v>252</v>
      </c>
      <c r="B581" s="138" t="s">
        <v>615</v>
      </c>
    </row>
    <row r="582" spans="1:2" x14ac:dyDescent="0.25">
      <c r="A582" s="20">
        <v>234</v>
      </c>
      <c r="B582" s="20" t="s">
        <v>206</v>
      </c>
    </row>
    <row r="583" spans="1:2" x14ac:dyDescent="0.25">
      <c r="A583" s="138">
        <v>16</v>
      </c>
      <c r="B583" s="138" t="s">
        <v>828</v>
      </c>
    </row>
    <row r="584" spans="1:2" x14ac:dyDescent="0.25">
      <c r="A584" s="20">
        <v>231</v>
      </c>
      <c r="B584" s="20" t="s">
        <v>886</v>
      </c>
    </row>
    <row r="585" spans="1:2" x14ac:dyDescent="0.25">
      <c r="A585" s="138">
        <v>151</v>
      </c>
      <c r="B585" s="138" t="s">
        <v>1161</v>
      </c>
    </row>
    <row r="586" spans="1:2" x14ac:dyDescent="0.25">
      <c r="A586" s="20">
        <v>151</v>
      </c>
      <c r="B586" s="20" t="s">
        <v>1161</v>
      </c>
    </row>
    <row r="587" spans="1:2" x14ac:dyDescent="0.25">
      <c r="A587" s="138">
        <v>151</v>
      </c>
      <c r="B587" s="138" t="s">
        <v>1161</v>
      </c>
    </row>
    <row r="588" spans="1:2" x14ac:dyDescent="0.25">
      <c r="A588" s="20">
        <v>16</v>
      </c>
      <c r="B588" s="20" t="s">
        <v>417</v>
      </c>
    </row>
    <row r="589" spans="1:2" x14ac:dyDescent="0.25">
      <c r="A589" s="138">
        <v>18</v>
      </c>
      <c r="B589" s="138" t="s">
        <v>1289</v>
      </c>
    </row>
    <row r="590" spans="1:2" x14ac:dyDescent="0.25">
      <c r="A590" s="20">
        <v>109</v>
      </c>
      <c r="B590" s="20" t="s">
        <v>1346</v>
      </c>
    </row>
    <row r="591" spans="1:2" x14ac:dyDescent="0.25">
      <c r="A591" s="138">
        <v>151</v>
      </c>
      <c r="B591" s="138" t="s">
        <v>1161</v>
      </c>
    </row>
    <row r="592" spans="1:2" x14ac:dyDescent="0.25">
      <c r="A592" s="20">
        <v>151</v>
      </c>
      <c r="B592" s="20" t="s">
        <v>1161</v>
      </c>
    </row>
    <row r="593" spans="1:2" x14ac:dyDescent="0.25">
      <c r="A593" s="138">
        <v>151</v>
      </c>
      <c r="B593" s="138" t="s">
        <v>1161</v>
      </c>
    </row>
    <row r="594" spans="1:2" x14ac:dyDescent="0.25">
      <c r="A594" s="20">
        <v>96</v>
      </c>
      <c r="B594" s="20" t="s">
        <v>491</v>
      </c>
    </row>
    <row r="595" spans="1:2" x14ac:dyDescent="0.25">
      <c r="A595" s="138">
        <v>197</v>
      </c>
      <c r="B595" s="138" t="s">
        <v>280</v>
      </c>
    </row>
    <row r="596" spans="1:2" x14ac:dyDescent="0.25">
      <c r="A596" s="20">
        <v>16</v>
      </c>
      <c r="B596" s="20" t="s">
        <v>262</v>
      </c>
    </row>
    <row r="597" spans="1:2" x14ac:dyDescent="0.25">
      <c r="A597" s="138">
        <v>109</v>
      </c>
      <c r="B597" s="138" t="s">
        <v>924</v>
      </c>
    </row>
    <row r="598" spans="1:2" x14ac:dyDescent="0.25">
      <c r="A598" s="20">
        <v>50</v>
      </c>
      <c r="B598" s="20" t="s">
        <v>1478</v>
      </c>
    </row>
    <row r="599" spans="1:2" x14ac:dyDescent="0.25">
      <c r="A599" s="138">
        <v>151</v>
      </c>
      <c r="B599" s="138" t="s">
        <v>1161</v>
      </c>
    </row>
    <row r="600" spans="1:2" x14ac:dyDescent="0.25">
      <c r="A600" s="20" t="s">
        <v>6183</v>
      </c>
      <c r="B600" s="20" t="s">
        <v>1161</v>
      </c>
    </row>
    <row r="601" spans="1:2" x14ac:dyDescent="0.25">
      <c r="A601" s="138" t="s">
        <v>6183</v>
      </c>
      <c r="B601" s="138" t="s">
        <v>1161</v>
      </c>
    </row>
    <row r="602" spans="1:2" x14ac:dyDescent="0.25">
      <c r="A602" s="20" t="s">
        <v>8757</v>
      </c>
      <c r="B602" s="20" t="s">
        <v>8751</v>
      </c>
    </row>
    <row r="603" spans="1:2" x14ac:dyDescent="0.25">
      <c r="A603" s="138">
        <v>109</v>
      </c>
      <c r="B603" s="138" t="s">
        <v>777</v>
      </c>
    </row>
    <row r="604" spans="1:2" x14ac:dyDescent="0.25">
      <c r="A604" s="20">
        <v>18</v>
      </c>
      <c r="B604" s="20" t="s">
        <v>1289</v>
      </c>
    </row>
    <row r="605" spans="1:2" x14ac:dyDescent="0.25">
      <c r="A605" s="138" t="s">
        <v>8758</v>
      </c>
      <c r="B605" s="138"/>
    </row>
    <row r="606" spans="1:2" x14ac:dyDescent="0.25">
      <c r="A606" s="20">
        <v>18</v>
      </c>
      <c r="B606" s="20" t="s">
        <v>1289</v>
      </c>
    </row>
    <row r="607" spans="1:2" x14ac:dyDescent="0.25">
      <c r="A607" s="138">
        <v>18</v>
      </c>
      <c r="B607" s="138" t="s">
        <v>1289</v>
      </c>
    </row>
    <row r="608" spans="1:2" x14ac:dyDescent="0.25">
      <c r="A608" s="20">
        <v>18</v>
      </c>
      <c r="B608" s="20" t="s">
        <v>1289</v>
      </c>
    </row>
    <row r="609" spans="1:2" x14ac:dyDescent="0.25">
      <c r="A609" s="138">
        <v>18</v>
      </c>
      <c r="B609" s="138" t="s">
        <v>1289</v>
      </c>
    </row>
    <row r="610" spans="1:2" x14ac:dyDescent="0.25">
      <c r="A610" s="20">
        <v>18</v>
      </c>
      <c r="B610" s="20" t="s">
        <v>1289</v>
      </c>
    </row>
    <row r="611" spans="1:2" x14ac:dyDescent="0.25">
      <c r="A611" s="138">
        <v>119</v>
      </c>
      <c r="B611" s="138" t="s">
        <v>1244</v>
      </c>
    </row>
    <row r="612" spans="1:2" x14ac:dyDescent="0.25">
      <c r="A612" s="20">
        <v>119</v>
      </c>
      <c r="B612" s="20" t="s">
        <v>1244</v>
      </c>
    </row>
    <row r="613" spans="1:2" x14ac:dyDescent="0.25">
      <c r="A613" s="138">
        <v>119</v>
      </c>
      <c r="B613" s="138" t="s">
        <v>1244</v>
      </c>
    </row>
    <row r="614" spans="1:2" x14ac:dyDescent="0.25">
      <c r="A614" s="20">
        <v>16</v>
      </c>
      <c r="B614" s="20" t="s">
        <v>828</v>
      </c>
    </row>
    <row r="615" spans="1:2" x14ac:dyDescent="0.25">
      <c r="A615" s="138">
        <v>16</v>
      </c>
      <c r="B615" s="138" t="s">
        <v>2005</v>
      </c>
    </row>
    <row r="616" spans="1:2" x14ac:dyDescent="0.25">
      <c r="A616" s="20" t="s">
        <v>8759</v>
      </c>
      <c r="B616" s="20"/>
    </row>
    <row r="617" spans="1:2" x14ac:dyDescent="0.25">
      <c r="A617" s="138" t="s">
        <v>8760</v>
      </c>
      <c r="B617" s="138" t="s">
        <v>8761</v>
      </c>
    </row>
    <row r="618" spans="1:2" x14ac:dyDescent="0.25">
      <c r="A618" s="20" t="s">
        <v>8762</v>
      </c>
      <c r="B618" s="20"/>
    </row>
    <row r="619" spans="1:2" x14ac:dyDescent="0.25">
      <c r="A619" s="138" t="s">
        <v>8762</v>
      </c>
      <c r="B619" s="138"/>
    </row>
    <row r="620" spans="1:2" x14ac:dyDescent="0.25">
      <c r="A620" s="20" t="s">
        <v>8762</v>
      </c>
      <c r="B620" s="20"/>
    </row>
    <row r="621" spans="1:2" x14ac:dyDescent="0.25">
      <c r="A621" s="138">
        <v>197</v>
      </c>
      <c r="B621" s="138" t="s">
        <v>280</v>
      </c>
    </row>
    <row r="622" spans="1:2" x14ac:dyDescent="0.25">
      <c r="A622" s="20">
        <v>197</v>
      </c>
      <c r="B622" s="20" t="s">
        <v>280</v>
      </c>
    </row>
    <row r="623" spans="1:2" x14ac:dyDescent="0.25">
      <c r="A623" s="138">
        <v>197</v>
      </c>
      <c r="B623" s="138" t="s">
        <v>280</v>
      </c>
    </row>
    <row r="624" spans="1:2" x14ac:dyDescent="0.25">
      <c r="A624" s="20" t="s">
        <v>8745</v>
      </c>
      <c r="B624" s="20" t="s">
        <v>8763</v>
      </c>
    </row>
    <row r="625" spans="1:2" x14ac:dyDescent="0.25">
      <c r="A625" s="138" t="s">
        <v>8745</v>
      </c>
      <c r="B625" s="138" t="s">
        <v>8763</v>
      </c>
    </row>
    <row r="626" spans="1:2" x14ac:dyDescent="0.25">
      <c r="A626" s="20" t="s">
        <v>6243</v>
      </c>
      <c r="B626" s="20" t="s">
        <v>6244</v>
      </c>
    </row>
    <row r="627" spans="1:2" x14ac:dyDescent="0.25">
      <c r="A627" s="138" t="s">
        <v>6243</v>
      </c>
      <c r="B627" s="138" t="s">
        <v>6244</v>
      </c>
    </row>
    <row r="628" spans="1:2" x14ac:dyDescent="0.25">
      <c r="A628" s="20">
        <v>16</v>
      </c>
      <c r="B628" s="20" t="s">
        <v>1197</v>
      </c>
    </row>
    <row r="629" spans="1:2" x14ac:dyDescent="0.25">
      <c r="A629" s="138">
        <v>5</v>
      </c>
      <c r="B629" s="138" t="s">
        <v>337</v>
      </c>
    </row>
    <row r="630" spans="1:2" x14ac:dyDescent="0.25">
      <c r="A630" s="20">
        <v>5</v>
      </c>
      <c r="B630" s="20" t="s">
        <v>337</v>
      </c>
    </row>
    <row r="631" spans="1:2" x14ac:dyDescent="0.25">
      <c r="A631" s="138">
        <v>16</v>
      </c>
      <c r="B631" s="138" t="s">
        <v>170</v>
      </c>
    </row>
    <row r="632" spans="1:2" x14ac:dyDescent="0.25">
      <c r="A632" s="20">
        <v>45</v>
      </c>
      <c r="B632" s="20" t="s">
        <v>2002</v>
      </c>
    </row>
    <row r="633" spans="1:2" x14ac:dyDescent="0.25">
      <c r="A633" s="138">
        <v>45</v>
      </c>
      <c r="B633" s="138" t="s">
        <v>2002</v>
      </c>
    </row>
    <row r="634" spans="1:2" x14ac:dyDescent="0.25">
      <c r="A634" s="20" t="s">
        <v>8658</v>
      </c>
      <c r="B634" s="20"/>
    </row>
    <row r="635" spans="1:2" x14ac:dyDescent="0.25">
      <c r="A635" s="138">
        <v>96</v>
      </c>
      <c r="B635" s="138" t="s">
        <v>1403</v>
      </c>
    </row>
    <row r="636" spans="1:2" x14ac:dyDescent="0.25">
      <c r="A636" s="20">
        <v>96</v>
      </c>
      <c r="B636" s="20" t="s">
        <v>1403</v>
      </c>
    </row>
    <row r="637" spans="1:2" x14ac:dyDescent="0.25">
      <c r="A637" s="138">
        <v>96</v>
      </c>
      <c r="B637" s="138" t="s">
        <v>1403</v>
      </c>
    </row>
    <row r="638" spans="1:2" x14ac:dyDescent="0.25">
      <c r="A638" s="20">
        <v>96</v>
      </c>
      <c r="B638" s="20" t="s">
        <v>1403</v>
      </c>
    </row>
    <row r="639" spans="1:2" x14ac:dyDescent="0.25">
      <c r="A639" s="138">
        <v>96</v>
      </c>
      <c r="B639" s="138" t="s">
        <v>1403</v>
      </c>
    </row>
    <row r="640" spans="1:2" x14ac:dyDescent="0.25">
      <c r="A640" s="20">
        <v>96</v>
      </c>
      <c r="B640" s="20" t="s">
        <v>1403</v>
      </c>
    </row>
    <row r="641" spans="1:2" x14ac:dyDescent="0.25">
      <c r="A641" s="20">
        <v>96</v>
      </c>
      <c r="B641" s="20" t="s">
        <v>1403</v>
      </c>
    </row>
    <row r="642" spans="1:2" x14ac:dyDescent="0.25">
      <c r="A642" s="138">
        <v>96</v>
      </c>
      <c r="B642" s="138" t="s">
        <v>1403</v>
      </c>
    </row>
    <row r="643" spans="1:2" x14ac:dyDescent="0.25">
      <c r="A643" s="20">
        <v>96</v>
      </c>
      <c r="B643" s="20" t="s">
        <v>1403</v>
      </c>
    </row>
    <row r="644" spans="1:2" x14ac:dyDescent="0.25">
      <c r="A644" s="138">
        <v>96</v>
      </c>
      <c r="B644" s="138" t="s">
        <v>1403</v>
      </c>
    </row>
    <row r="645" spans="1:2" x14ac:dyDescent="0.25">
      <c r="A645" s="20">
        <v>96</v>
      </c>
      <c r="B645" s="20" t="s">
        <v>1403</v>
      </c>
    </row>
    <row r="646" spans="1:2" x14ac:dyDescent="0.25">
      <c r="A646" s="138">
        <v>96</v>
      </c>
      <c r="B646" s="138" t="s">
        <v>1403</v>
      </c>
    </row>
    <row r="647" spans="1:2" x14ac:dyDescent="0.25">
      <c r="A647" s="20">
        <v>96</v>
      </c>
      <c r="B647" s="20" t="s">
        <v>1403</v>
      </c>
    </row>
    <row r="648" spans="1:2" x14ac:dyDescent="0.25">
      <c r="A648" s="138">
        <v>96</v>
      </c>
      <c r="B648" s="138" t="s">
        <v>491</v>
      </c>
    </row>
    <row r="649" spans="1:2" x14ac:dyDescent="0.25">
      <c r="A649" s="138" t="s">
        <v>8764</v>
      </c>
      <c r="B649" s="138"/>
    </row>
    <row r="650" spans="1:2" x14ac:dyDescent="0.25">
      <c r="A650" s="20" t="s">
        <v>8764</v>
      </c>
      <c r="B650" s="20"/>
    </row>
    <row r="651" spans="1:2" x14ac:dyDescent="0.25">
      <c r="A651" s="138">
        <v>96</v>
      </c>
      <c r="B651" s="138" t="s">
        <v>491</v>
      </c>
    </row>
    <row r="652" spans="1:2" x14ac:dyDescent="0.25">
      <c r="A652" s="20">
        <v>96</v>
      </c>
      <c r="B652" s="20" t="s">
        <v>491</v>
      </c>
    </row>
    <row r="653" spans="1:2" x14ac:dyDescent="0.25">
      <c r="A653" s="138">
        <v>50</v>
      </c>
      <c r="B653" s="138" t="s">
        <v>1478</v>
      </c>
    </row>
    <row r="654" spans="1:2" x14ac:dyDescent="0.25">
      <c r="A654" s="20">
        <v>50</v>
      </c>
      <c r="B654" s="20" t="s">
        <v>1478</v>
      </c>
    </row>
    <row r="655" spans="1:2" x14ac:dyDescent="0.25">
      <c r="A655" s="138">
        <v>50</v>
      </c>
      <c r="B655" s="138" t="s">
        <v>1478</v>
      </c>
    </row>
    <row r="656" spans="1:2" x14ac:dyDescent="0.25">
      <c r="A656" s="20">
        <v>50</v>
      </c>
      <c r="B656" s="20" t="s">
        <v>1478</v>
      </c>
    </row>
    <row r="657" spans="1:2" x14ac:dyDescent="0.25">
      <c r="A657" s="138">
        <v>50</v>
      </c>
      <c r="B657" s="138" t="s">
        <v>1478</v>
      </c>
    </row>
    <row r="658" spans="1:2" x14ac:dyDescent="0.25">
      <c r="A658" s="20">
        <v>50</v>
      </c>
      <c r="B658" s="20" t="s">
        <v>1478</v>
      </c>
    </row>
    <row r="659" spans="1:2" x14ac:dyDescent="0.25">
      <c r="A659" s="138">
        <v>50</v>
      </c>
      <c r="B659" s="138" t="s">
        <v>1478</v>
      </c>
    </row>
    <row r="660" spans="1:2" x14ac:dyDescent="0.25">
      <c r="A660" s="20">
        <v>50</v>
      </c>
      <c r="B660" s="20" t="s">
        <v>1478</v>
      </c>
    </row>
    <row r="661" spans="1:2" x14ac:dyDescent="0.25">
      <c r="A661" s="138" t="s">
        <v>8745</v>
      </c>
      <c r="B661" s="138" t="s">
        <v>8765</v>
      </c>
    </row>
    <row r="662" spans="1:2" x14ac:dyDescent="0.25">
      <c r="A662" s="20">
        <v>242</v>
      </c>
      <c r="B662" s="20" t="s">
        <v>1520</v>
      </c>
    </row>
    <row r="663" spans="1:2" x14ac:dyDescent="0.25">
      <c r="A663" s="138">
        <v>242</v>
      </c>
      <c r="B663" s="138" t="s">
        <v>1520</v>
      </c>
    </row>
    <row r="664" spans="1:2" x14ac:dyDescent="0.25">
      <c r="A664" s="20">
        <v>242</v>
      </c>
      <c r="B664" s="20" t="s">
        <v>1520</v>
      </c>
    </row>
    <row r="665" spans="1:2" x14ac:dyDescent="0.25">
      <c r="A665" s="138">
        <v>242</v>
      </c>
      <c r="B665" s="138" t="s">
        <v>1520</v>
      </c>
    </row>
    <row r="666" spans="1:2" x14ac:dyDescent="0.25">
      <c r="A666" s="20">
        <v>242</v>
      </c>
      <c r="B666" s="20" t="s">
        <v>1520</v>
      </c>
    </row>
    <row r="667" spans="1:2" x14ac:dyDescent="0.25">
      <c r="A667" s="138">
        <v>242</v>
      </c>
      <c r="B667" s="138" t="s">
        <v>1520</v>
      </c>
    </row>
    <row r="668" spans="1:2" x14ac:dyDescent="0.25">
      <c r="A668" s="20">
        <v>242</v>
      </c>
      <c r="B668" s="20" t="s">
        <v>1520</v>
      </c>
    </row>
    <row r="669" spans="1:2" x14ac:dyDescent="0.25">
      <c r="A669" s="138">
        <v>242</v>
      </c>
      <c r="B669" s="138" t="s">
        <v>1520</v>
      </c>
    </row>
    <row r="670" spans="1:2" x14ac:dyDescent="0.25">
      <c r="A670" s="20">
        <v>242</v>
      </c>
      <c r="B670" s="20" t="s">
        <v>1520</v>
      </c>
    </row>
    <row r="671" spans="1:2" x14ac:dyDescent="0.25">
      <c r="A671" s="138">
        <v>242</v>
      </c>
      <c r="B671" s="138" t="s">
        <v>1520</v>
      </c>
    </row>
    <row r="672" spans="1:2" x14ac:dyDescent="0.25">
      <c r="A672" s="20">
        <v>242</v>
      </c>
      <c r="B672" s="20" t="s">
        <v>1520</v>
      </c>
    </row>
    <row r="673" spans="1:2" x14ac:dyDescent="0.25">
      <c r="A673" s="138">
        <v>242</v>
      </c>
      <c r="B673" s="138" t="s">
        <v>1520</v>
      </c>
    </row>
    <row r="674" spans="1:2" x14ac:dyDescent="0.25">
      <c r="A674" s="20">
        <v>242</v>
      </c>
      <c r="B674" s="20" t="s">
        <v>1520</v>
      </c>
    </row>
    <row r="675" spans="1:2" x14ac:dyDescent="0.25">
      <c r="A675" s="138">
        <v>242</v>
      </c>
      <c r="B675" s="138" t="s">
        <v>1520</v>
      </c>
    </row>
    <row r="676" spans="1:2" x14ac:dyDescent="0.25">
      <c r="A676" s="20">
        <v>242</v>
      </c>
      <c r="B676" s="20" t="s">
        <v>1520</v>
      </c>
    </row>
    <row r="677" spans="1:2" x14ac:dyDescent="0.25">
      <c r="A677" s="138">
        <v>242</v>
      </c>
      <c r="B677" s="138" t="s">
        <v>1520</v>
      </c>
    </row>
    <row r="678" spans="1:2" x14ac:dyDescent="0.25">
      <c r="A678" s="20" t="s">
        <v>8766</v>
      </c>
      <c r="B678" s="20" t="s">
        <v>8767</v>
      </c>
    </row>
    <row r="679" spans="1:2" x14ac:dyDescent="0.25">
      <c r="A679" s="138">
        <v>97</v>
      </c>
      <c r="B679" s="138" t="s">
        <v>206</v>
      </c>
    </row>
    <row r="680" spans="1:2" x14ac:dyDescent="0.25">
      <c r="A680" s="20">
        <v>5</v>
      </c>
      <c r="B680" s="20" t="s">
        <v>337</v>
      </c>
    </row>
    <row r="681" spans="1:2" x14ac:dyDescent="0.25">
      <c r="A681" s="138">
        <v>109</v>
      </c>
      <c r="B681" s="138" t="s">
        <v>777</v>
      </c>
    </row>
    <row r="682" spans="1:2" x14ac:dyDescent="0.25">
      <c r="A682" s="20">
        <v>109</v>
      </c>
      <c r="B682" s="20" t="s">
        <v>777</v>
      </c>
    </row>
    <row r="683" spans="1:2" x14ac:dyDescent="0.25">
      <c r="A683" s="138">
        <v>115</v>
      </c>
      <c r="B683" s="138" t="s">
        <v>1372</v>
      </c>
    </row>
    <row r="684" spans="1:2" x14ac:dyDescent="0.25">
      <c r="A684" s="20">
        <v>115</v>
      </c>
      <c r="B684" s="20" t="s">
        <v>2003</v>
      </c>
    </row>
    <row r="685" spans="1:2" x14ac:dyDescent="0.25">
      <c r="A685" s="138">
        <v>115</v>
      </c>
      <c r="B685" s="138" t="s">
        <v>2003</v>
      </c>
    </row>
    <row r="686" spans="1:2" x14ac:dyDescent="0.25">
      <c r="A686" s="20">
        <v>115</v>
      </c>
      <c r="B686" s="20" t="s">
        <v>2003</v>
      </c>
    </row>
    <row r="687" spans="1:2" x14ac:dyDescent="0.25">
      <c r="A687" s="138">
        <v>115</v>
      </c>
      <c r="B687" s="138" t="s">
        <v>2003</v>
      </c>
    </row>
    <row r="688" spans="1:2" x14ac:dyDescent="0.25">
      <c r="A688" s="20">
        <v>115</v>
      </c>
      <c r="B688" s="20" t="s">
        <v>2003</v>
      </c>
    </row>
    <row r="689" spans="1:2" x14ac:dyDescent="0.25">
      <c r="A689" s="138">
        <v>115</v>
      </c>
      <c r="B689" s="138" t="s">
        <v>2003</v>
      </c>
    </row>
    <row r="690" spans="1:2" x14ac:dyDescent="0.25">
      <c r="A690" s="20">
        <v>115</v>
      </c>
      <c r="B690" s="20" t="s">
        <v>2003</v>
      </c>
    </row>
    <row r="691" spans="1:2" x14ac:dyDescent="0.25">
      <c r="A691" s="138">
        <v>115</v>
      </c>
      <c r="B691" s="138" t="s">
        <v>2003</v>
      </c>
    </row>
    <row r="692" spans="1:2" x14ac:dyDescent="0.25">
      <c r="A692" s="20">
        <v>115</v>
      </c>
      <c r="B692" s="20" t="s">
        <v>2003</v>
      </c>
    </row>
    <row r="693" spans="1:2" x14ac:dyDescent="0.25">
      <c r="A693" s="138">
        <v>115</v>
      </c>
      <c r="B693" s="138" t="s">
        <v>2003</v>
      </c>
    </row>
    <row r="694" spans="1:2" x14ac:dyDescent="0.25">
      <c r="A694" s="20">
        <v>115</v>
      </c>
      <c r="B694" s="20" t="s">
        <v>2003</v>
      </c>
    </row>
    <row r="695" spans="1:2" x14ac:dyDescent="0.25">
      <c r="A695" s="138">
        <v>115</v>
      </c>
      <c r="B695" s="138" t="s">
        <v>2003</v>
      </c>
    </row>
    <row r="696" spans="1:2" x14ac:dyDescent="0.25">
      <c r="A696" s="20">
        <v>115</v>
      </c>
      <c r="B696" s="20" t="s">
        <v>2003</v>
      </c>
    </row>
    <row r="697" spans="1:2" x14ac:dyDescent="0.25">
      <c r="A697" s="138">
        <v>39</v>
      </c>
      <c r="B697" s="138"/>
    </row>
    <row r="698" spans="1:2" x14ac:dyDescent="0.25">
      <c r="A698" s="20" t="s">
        <v>6243</v>
      </c>
      <c r="B698" s="20" t="s">
        <v>6244</v>
      </c>
    </row>
    <row r="699" spans="1:2" x14ac:dyDescent="0.25">
      <c r="A699" s="138" t="s">
        <v>6243</v>
      </c>
      <c r="B699" s="138" t="s">
        <v>6244</v>
      </c>
    </row>
    <row r="700" spans="1:2" x14ac:dyDescent="0.25">
      <c r="A700" s="138" t="s">
        <v>6243</v>
      </c>
      <c r="B700" s="138" t="s">
        <v>6244</v>
      </c>
    </row>
    <row r="701" spans="1:2" x14ac:dyDescent="0.25">
      <c r="A701" s="20" t="s">
        <v>6243</v>
      </c>
      <c r="B701" s="20" t="s">
        <v>6244</v>
      </c>
    </row>
    <row r="702" spans="1:2" x14ac:dyDescent="0.25">
      <c r="A702" s="138" t="s">
        <v>6243</v>
      </c>
      <c r="B702" s="138" t="s">
        <v>6244</v>
      </c>
    </row>
    <row r="703" spans="1:2" x14ac:dyDescent="0.25">
      <c r="A703" s="20" t="s">
        <v>6243</v>
      </c>
      <c r="B703" s="20" t="s">
        <v>6244</v>
      </c>
    </row>
    <row r="704" spans="1:2" x14ac:dyDescent="0.25">
      <c r="A704" s="138" t="s">
        <v>8745</v>
      </c>
      <c r="B704" s="138" t="s">
        <v>8768</v>
      </c>
    </row>
    <row r="705" spans="1:2" x14ac:dyDescent="0.25">
      <c r="A705" s="20">
        <v>109</v>
      </c>
      <c r="B705" s="20" t="s">
        <v>777</v>
      </c>
    </row>
    <row r="706" spans="1:2" x14ac:dyDescent="0.25">
      <c r="A706" s="138">
        <v>109</v>
      </c>
      <c r="B706" s="138" t="s">
        <v>777</v>
      </c>
    </row>
    <row r="707" spans="1:2" x14ac:dyDescent="0.25">
      <c r="A707" s="20">
        <v>109</v>
      </c>
      <c r="B707" s="20" t="s">
        <v>777</v>
      </c>
    </row>
    <row r="708" spans="1:2" x14ac:dyDescent="0.25">
      <c r="A708" s="138">
        <v>109</v>
      </c>
      <c r="B708" s="138" t="s">
        <v>1346</v>
      </c>
    </row>
    <row r="709" spans="1:2" x14ac:dyDescent="0.25">
      <c r="A709" s="20">
        <v>96</v>
      </c>
      <c r="B709" s="20" t="s">
        <v>1275</v>
      </c>
    </row>
    <row r="710" spans="1:2" x14ac:dyDescent="0.25">
      <c r="A710" s="138">
        <v>96</v>
      </c>
      <c r="B710" s="138" t="s">
        <v>1275</v>
      </c>
    </row>
    <row r="711" spans="1:2" x14ac:dyDescent="0.25">
      <c r="A711" s="20">
        <v>96</v>
      </c>
      <c r="B711" s="20" t="s">
        <v>1275</v>
      </c>
    </row>
    <row r="712" spans="1:2" x14ac:dyDescent="0.25">
      <c r="A712" s="138">
        <v>96</v>
      </c>
      <c r="B712" s="138" t="s">
        <v>1275</v>
      </c>
    </row>
    <row r="713" spans="1:2" x14ac:dyDescent="0.25">
      <c r="A713" s="20">
        <v>96</v>
      </c>
      <c r="B713" s="20" t="s">
        <v>1275</v>
      </c>
    </row>
    <row r="714" spans="1:2" x14ac:dyDescent="0.25">
      <c r="A714" s="138">
        <v>96</v>
      </c>
      <c r="B714" s="138" t="s">
        <v>1275</v>
      </c>
    </row>
    <row r="715" spans="1:2" x14ac:dyDescent="0.25">
      <c r="A715" s="20">
        <v>96</v>
      </c>
      <c r="B715" s="20" t="s">
        <v>1275</v>
      </c>
    </row>
    <row r="716" spans="1:2" x14ac:dyDescent="0.25">
      <c r="A716" s="138">
        <v>96</v>
      </c>
      <c r="B716" s="138" t="s">
        <v>1275</v>
      </c>
    </row>
    <row r="717" spans="1:2" x14ac:dyDescent="0.25">
      <c r="A717" s="20">
        <v>96</v>
      </c>
      <c r="B717" s="20" t="s">
        <v>1275</v>
      </c>
    </row>
    <row r="718" spans="1:2" x14ac:dyDescent="0.25">
      <c r="A718" s="138">
        <v>96</v>
      </c>
      <c r="B718" s="138" t="s">
        <v>1275</v>
      </c>
    </row>
    <row r="719" spans="1:2" x14ac:dyDescent="0.25">
      <c r="A719" s="20">
        <v>96</v>
      </c>
      <c r="B719" s="20" t="s">
        <v>1275</v>
      </c>
    </row>
    <row r="720" spans="1:2" x14ac:dyDescent="0.25">
      <c r="A720" s="138">
        <v>96</v>
      </c>
      <c r="B720" s="138" t="s">
        <v>1275</v>
      </c>
    </row>
    <row r="721" spans="1:2" x14ac:dyDescent="0.25">
      <c r="A721" s="20">
        <v>96</v>
      </c>
      <c r="B721" s="20" t="s">
        <v>1275</v>
      </c>
    </row>
    <row r="722" spans="1:2" x14ac:dyDescent="0.25">
      <c r="A722" s="138">
        <v>96</v>
      </c>
      <c r="B722" s="138" t="s">
        <v>1275</v>
      </c>
    </row>
    <row r="723" spans="1:2" x14ac:dyDescent="0.25">
      <c r="A723" s="20">
        <v>96</v>
      </c>
      <c r="B723" s="20" t="s">
        <v>1275</v>
      </c>
    </row>
    <row r="724" spans="1:2" x14ac:dyDescent="0.25">
      <c r="A724" s="138">
        <v>96</v>
      </c>
      <c r="B724" s="138" t="s">
        <v>1275</v>
      </c>
    </row>
    <row r="725" spans="1:2" x14ac:dyDescent="0.25">
      <c r="A725" s="20">
        <v>96</v>
      </c>
      <c r="B725" s="20" t="s">
        <v>1275</v>
      </c>
    </row>
    <row r="726" spans="1:2" x14ac:dyDescent="0.25">
      <c r="A726" s="138">
        <v>96</v>
      </c>
      <c r="B726" s="138" t="s">
        <v>1275</v>
      </c>
    </row>
    <row r="727" spans="1:2" x14ac:dyDescent="0.25">
      <c r="A727" s="20">
        <v>96</v>
      </c>
      <c r="B727" s="20" t="s">
        <v>1275</v>
      </c>
    </row>
    <row r="728" spans="1:2" x14ac:dyDescent="0.25">
      <c r="A728" s="138">
        <v>96</v>
      </c>
      <c r="B728" s="138" t="s">
        <v>1275</v>
      </c>
    </row>
    <row r="729" spans="1:2" x14ac:dyDescent="0.25">
      <c r="A729" s="20">
        <v>96</v>
      </c>
      <c r="B729" s="20" t="s">
        <v>1275</v>
      </c>
    </row>
    <row r="730" spans="1:2" x14ac:dyDescent="0.25">
      <c r="A730" s="138">
        <v>96</v>
      </c>
      <c r="B730" s="138" t="s">
        <v>1275</v>
      </c>
    </row>
    <row r="731" spans="1:2" x14ac:dyDescent="0.25">
      <c r="A731" s="20">
        <v>96</v>
      </c>
      <c r="B731" s="20" t="s">
        <v>1275</v>
      </c>
    </row>
    <row r="732" spans="1:2" x14ac:dyDescent="0.25">
      <c r="A732" s="138">
        <v>96</v>
      </c>
      <c r="B732" s="138" t="s">
        <v>1275</v>
      </c>
    </row>
    <row r="733" spans="1:2" x14ac:dyDescent="0.25">
      <c r="A733" s="20">
        <v>96</v>
      </c>
      <c r="B733" s="20" t="s">
        <v>1275</v>
      </c>
    </row>
    <row r="734" spans="1:2" x14ac:dyDescent="0.25">
      <c r="A734" s="138">
        <v>96</v>
      </c>
      <c r="B734" s="138" t="s">
        <v>1275</v>
      </c>
    </row>
    <row r="735" spans="1:2" x14ac:dyDescent="0.25">
      <c r="A735" s="20">
        <v>96</v>
      </c>
      <c r="B735" s="20" t="s">
        <v>1275</v>
      </c>
    </row>
    <row r="736" spans="1:2" x14ac:dyDescent="0.25">
      <c r="A736" s="138">
        <v>96</v>
      </c>
      <c r="B736" s="138" t="s">
        <v>1275</v>
      </c>
    </row>
    <row r="737" spans="1:2" x14ac:dyDescent="0.25">
      <c r="A737" s="20">
        <v>96</v>
      </c>
      <c r="B737" s="20" t="s">
        <v>1275</v>
      </c>
    </row>
    <row r="738" spans="1:2" x14ac:dyDescent="0.25">
      <c r="A738" s="138">
        <v>96</v>
      </c>
      <c r="B738" s="138" t="s">
        <v>1275</v>
      </c>
    </row>
    <row r="739" spans="1:2" x14ac:dyDescent="0.25">
      <c r="A739" s="20">
        <v>96</v>
      </c>
      <c r="B739" s="20" t="s">
        <v>1275</v>
      </c>
    </row>
    <row r="740" spans="1:2" x14ac:dyDescent="0.25">
      <c r="A740" s="138">
        <v>96</v>
      </c>
      <c r="B740" s="138" t="s">
        <v>1275</v>
      </c>
    </row>
    <row r="741" spans="1:2" x14ac:dyDescent="0.25">
      <c r="A741" s="20">
        <v>96</v>
      </c>
      <c r="B741" s="20" t="s">
        <v>1275</v>
      </c>
    </row>
    <row r="742" spans="1:2" x14ac:dyDescent="0.25">
      <c r="A742" s="138" t="s">
        <v>6183</v>
      </c>
      <c r="B742" s="138" t="s">
        <v>1161</v>
      </c>
    </row>
    <row r="743" spans="1:2" x14ac:dyDescent="0.25">
      <c r="A743" s="20" t="s">
        <v>6183</v>
      </c>
      <c r="B743" s="20" t="s">
        <v>1161</v>
      </c>
    </row>
    <row r="744" spans="1:2" x14ac:dyDescent="0.25">
      <c r="A744" s="138" t="s">
        <v>8769</v>
      </c>
      <c r="B744" s="138" t="s">
        <v>8770</v>
      </c>
    </row>
    <row r="745" spans="1:2" x14ac:dyDescent="0.25">
      <c r="A745" s="20" t="s">
        <v>8769</v>
      </c>
      <c r="B745" s="20" t="s">
        <v>8770</v>
      </c>
    </row>
    <row r="746" spans="1:2" x14ac:dyDescent="0.25">
      <c r="A746" s="138">
        <v>18</v>
      </c>
      <c r="B746" s="138" t="s">
        <v>1289</v>
      </c>
    </row>
    <row r="747" spans="1:2" x14ac:dyDescent="0.25">
      <c r="A747" s="20">
        <v>18</v>
      </c>
      <c r="B747" s="20" t="s">
        <v>1289</v>
      </c>
    </row>
    <row r="748" spans="1:2" x14ac:dyDescent="0.25">
      <c r="A748" s="138" t="s">
        <v>8758</v>
      </c>
      <c r="B748" s="138"/>
    </row>
    <row r="749" spans="1:2" x14ac:dyDescent="0.25">
      <c r="A749" s="20" t="s">
        <v>8758</v>
      </c>
      <c r="B749" s="20"/>
    </row>
    <row r="750" spans="1:2" x14ac:dyDescent="0.25">
      <c r="A750" s="138">
        <v>18</v>
      </c>
      <c r="B750" s="138" t="s">
        <v>1289</v>
      </c>
    </row>
    <row r="751" spans="1:2" x14ac:dyDescent="0.25">
      <c r="A751" s="20" t="s">
        <v>8758</v>
      </c>
      <c r="B751" s="20"/>
    </row>
    <row r="752" spans="1:2" x14ac:dyDescent="0.25">
      <c r="A752" s="138">
        <v>18</v>
      </c>
      <c r="B752" s="138" t="s">
        <v>1289</v>
      </c>
    </row>
    <row r="753" spans="1:2" x14ac:dyDescent="0.25">
      <c r="A753" s="20">
        <v>18</v>
      </c>
      <c r="B753" s="20" t="s">
        <v>1289</v>
      </c>
    </row>
    <row r="754" spans="1:2" x14ac:dyDescent="0.25">
      <c r="A754" s="138">
        <v>18</v>
      </c>
      <c r="B754" s="138" t="s">
        <v>1289</v>
      </c>
    </row>
    <row r="755" spans="1:2" x14ac:dyDescent="0.25">
      <c r="A755" s="20">
        <v>18</v>
      </c>
      <c r="B755" s="20" t="s">
        <v>1289</v>
      </c>
    </row>
    <row r="756" spans="1:2" x14ac:dyDescent="0.25">
      <c r="A756" s="138">
        <v>18</v>
      </c>
      <c r="B756" s="138" t="s">
        <v>1289</v>
      </c>
    </row>
    <row r="757" spans="1:2" x14ac:dyDescent="0.25">
      <c r="A757" s="20">
        <v>18</v>
      </c>
      <c r="B757" s="20" t="s">
        <v>1289</v>
      </c>
    </row>
    <row r="758" spans="1:2" x14ac:dyDescent="0.25">
      <c r="A758" s="138">
        <v>18</v>
      </c>
      <c r="B758" s="138" t="s">
        <v>1289</v>
      </c>
    </row>
    <row r="759" spans="1:2" x14ac:dyDescent="0.25">
      <c r="A759" s="20">
        <v>18</v>
      </c>
      <c r="B759" s="20" t="s">
        <v>1289</v>
      </c>
    </row>
    <row r="760" spans="1:2" x14ac:dyDescent="0.25">
      <c r="A760" s="138">
        <v>18</v>
      </c>
      <c r="B760" s="138" t="s">
        <v>1289</v>
      </c>
    </row>
    <row r="761" spans="1:2" x14ac:dyDescent="0.25">
      <c r="A761" s="20">
        <v>18</v>
      </c>
      <c r="B761" s="20" t="s">
        <v>1289</v>
      </c>
    </row>
    <row r="762" spans="1:2" x14ac:dyDescent="0.25">
      <c r="A762" s="138">
        <v>18</v>
      </c>
      <c r="B762" s="138" t="s">
        <v>1289</v>
      </c>
    </row>
    <row r="763" spans="1:2" x14ac:dyDescent="0.25">
      <c r="A763" s="20">
        <v>18</v>
      </c>
      <c r="B763" s="20" t="s">
        <v>1289</v>
      </c>
    </row>
    <row r="764" spans="1:2" x14ac:dyDescent="0.25">
      <c r="A764" s="138">
        <v>151</v>
      </c>
      <c r="B764" s="138" t="s">
        <v>1161</v>
      </c>
    </row>
    <row r="765" spans="1:2" x14ac:dyDescent="0.25">
      <c r="A765" s="20">
        <v>119</v>
      </c>
      <c r="B765" s="20" t="s">
        <v>1244</v>
      </c>
    </row>
    <row r="766" spans="1:2" x14ac:dyDescent="0.25">
      <c r="A766" s="138" t="s">
        <v>8771</v>
      </c>
      <c r="B766" s="138" t="s">
        <v>8772</v>
      </c>
    </row>
    <row r="767" spans="1:2" x14ac:dyDescent="0.25">
      <c r="A767" s="20" t="s">
        <v>8773</v>
      </c>
      <c r="B767" s="20" t="s">
        <v>8774</v>
      </c>
    </row>
    <row r="768" spans="1:2" x14ac:dyDescent="0.25">
      <c r="A768" s="138">
        <v>119</v>
      </c>
      <c r="B768" s="138" t="s">
        <v>1244</v>
      </c>
    </row>
    <row r="769" spans="1:2" x14ac:dyDescent="0.25">
      <c r="A769" s="20">
        <v>16</v>
      </c>
      <c r="B769" s="20" t="s">
        <v>262</v>
      </c>
    </row>
    <row r="770" spans="1:2" x14ac:dyDescent="0.25">
      <c r="A770" s="138" t="s">
        <v>8748</v>
      </c>
      <c r="B770" s="138" t="s">
        <v>8775</v>
      </c>
    </row>
    <row r="771" spans="1:2" x14ac:dyDescent="0.25">
      <c r="A771" s="20" t="s">
        <v>8764</v>
      </c>
      <c r="B771" s="20" t="s">
        <v>8776</v>
      </c>
    </row>
    <row r="772" spans="1:2" x14ac:dyDescent="0.25">
      <c r="A772" s="138" t="s">
        <v>8764</v>
      </c>
      <c r="B772" s="138" t="s">
        <v>8776</v>
      </c>
    </row>
    <row r="773" spans="1:2" x14ac:dyDescent="0.25">
      <c r="A773" s="20" t="s">
        <v>8764</v>
      </c>
      <c r="B773" s="20" t="s">
        <v>8776</v>
      </c>
    </row>
    <row r="774" spans="1:2" x14ac:dyDescent="0.25">
      <c r="A774" s="138">
        <v>16</v>
      </c>
      <c r="B774" s="138" t="s">
        <v>828</v>
      </c>
    </row>
    <row r="775" spans="1:2" x14ac:dyDescent="0.25">
      <c r="A775" s="20">
        <v>16</v>
      </c>
      <c r="B775" s="20" t="s">
        <v>828</v>
      </c>
    </row>
    <row r="776" spans="1:2" x14ac:dyDescent="0.25">
      <c r="A776" s="138">
        <v>16</v>
      </c>
      <c r="B776" s="138" t="s">
        <v>828</v>
      </c>
    </row>
    <row r="777" spans="1:2" x14ac:dyDescent="0.25">
      <c r="A777" s="20">
        <v>16</v>
      </c>
      <c r="B777" s="20" t="s">
        <v>828</v>
      </c>
    </row>
    <row r="778" spans="1:2" x14ac:dyDescent="0.25">
      <c r="A778" s="138">
        <v>16</v>
      </c>
      <c r="B778" s="138" t="s">
        <v>828</v>
      </c>
    </row>
    <row r="779" spans="1:2" x14ac:dyDescent="0.25">
      <c r="A779" s="20">
        <v>16</v>
      </c>
      <c r="B779" s="20" t="s">
        <v>828</v>
      </c>
    </row>
    <row r="780" spans="1:2" x14ac:dyDescent="0.25">
      <c r="A780" s="138">
        <v>16</v>
      </c>
      <c r="B780" s="138" t="s">
        <v>828</v>
      </c>
    </row>
    <row r="781" spans="1:2" x14ac:dyDescent="0.25">
      <c r="A781" s="20">
        <v>16</v>
      </c>
      <c r="B781" s="20" t="s">
        <v>828</v>
      </c>
    </row>
    <row r="782" spans="1:2" x14ac:dyDescent="0.25">
      <c r="A782" s="138">
        <v>16</v>
      </c>
      <c r="B782" s="138" t="s">
        <v>828</v>
      </c>
    </row>
    <row r="783" spans="1:2" x14ac:dyDescent="0.25">
      <c r="A783" s="20">
        <v>11</v>
      </c>
      <c r="B783" s="20" t="s">
        <v>638</v>
      </c>
    </row>
    <row r="784" spans="1:2" x14ac:dyDescent="0.25">
      <c r="A784" s="138">
        <v>11</v>
      </c>
      <c r="B784" s="138" t="s">
        <v>638</v>
      </c>
    </row>
    <row r="785" spans="1:2" x14ac:dyDescent="0.25">
      <c r="A785" s="20">
        <v>11</v>
      </c>
      <c r="B785" s="20" t="s">
        <v>638</v>
      </c>
    </row>
    <row r="786" spans="1:2" x14ac:dyDescent="0.25">
      <c r="A786" s="138">
        <v>11</v>
      </c>
      <c r="B786" s="138" t="s">
        <v>638</v>
      </c>
    </row>
    <row r="787" spans="1:2" x14ac:dyDescent="0.25">
      <c r="A787" s="20">
        <v>11</v>
      </c>
      <c r="B787" s="20" t="s">
        <v>638</v>
      </c>
    </row>
    <row r="788" spans="1:2" x14ac:dyDescent="0.25">
      <c r="A788" s="138">
        <v>11</v>
      </c>
      <c r="B788" s="138" t="s">
        <v>638</v>
      </c>
    </row>
    <row r="789" spans="1:2" x14ac:dyDescent="0.25">
      <c r="A789" s="20">
        <v>11</v>
      </c>
      <c r="B789" s="20" t="s">
        <v>638</v>
      </c>
    </row>
    <row r="790" spans="1:2" x14ac:dyDescent="0.25">
      <c r="A790" s="138" t="s">
        <v>8743</v>
      </c>
      <c r="B790" s="138" t="s">
        <v>8777</v>
      </c>
    </row>
    <row r="791" spans="1:2" x14ac:dyDescent="0.25">
      <c r="A791" s="20" t="s">
        <v>8743</v>
      </c>
      <c r="B791" s="20" t="s">
        <v>8777</v>
      </c>
    </row>
    <row r="792" spans="1:2" x14ac:dyDescent="0.25">
      <c r="A792" s="138">
        <v>11</v>
      </c>
      <c r="B792" s="138" t="s">
        <v>638</v>
      </c>
    </row>
    <row r="793" spans="1:2" x14ac:dyDescent="0.25">
      <c r="A793" s="20" t="s">
        <v>8778</v>
      </c>
      <c r="B793" s="20" t="s">
        <v>8779</v>
      </c>
    </row>
    <row r="794" spans="1:2" x14ac:dyDescent="0.25">
      <c r="A794" s="20">
        <v>16</v>
      </c>
      <c r="B794" s="20" t="s">
        <v>6218</v>
      </c>
    </row>
    <row r="795" spans="1:2" x14ac:dyDescent="0.25">
      <c r="A795" s="138">
        <v>197</v>
      </c>
      <c r="B795" s="138" t="s">
        <v>280</v>
      </c>
    </row>
    <row r="796" spans="1:2" x14ac:dyDescent="0.25">
      <c r="A796" s="20" t="s">
        <v>8743</v>
      </c>
      <c r="B796" s="20" t="s">
        <v>8777</v>
      </c>
    </row>
    <row r="797" spans="1:2" x14ac:dyDescent="0.25">
      <c r="A797" s="138">
        <v>11</v>
      </c>
      <c r="B797" s="138" t="s">
        <v>1284</v>
      </c>
    </row>
    <row r="798" spans="1:2" x14ac:dyDescent="0.25">
      <c r="A798" s="20">
        <v>206</v>
      </c>
      <c r="B798" s="20" t="s">
        <v>1075</v>
      </c>
    </row>
    <row r="799" spans="1:2" x14ac:dyDescent="0.25">
      <c r="A799" s="138">
        <v>16</v>
      </c>
      <c r="B799" s="138" t="s">
        <v>1530</v>
      </c>
    </row>
    <row r="800" spans="1:2" x14ac:dyDescent="0.25">
      <c r="A800" s="20">
        <v>16</v>
      </c>
      <c r="B800" s="20" t="s">
        <v>1530</v>
      </c>
    </row>
    <row r="801" spans="1:2" x14ac:dyDescent="0.25">
      <c r="A801" s="138">
        <v>16</v>
      </c>
      <c r="B801" s="138" t="s">
        <v>1530</v>
      </c>
    </row>
    <row r="802" spans="1:2" x14ac:dyDescent="0.25">
      <c r="A802" s="20">
        <v>171</v>
      </c>
      <c r="B802" s="20" t="s">
        <v>450</v>
      </c>
    </row>
    <row r="803" spans="1:2" x14ac:dyDescent="0.25">
      <c r="A803" s="138">
        <v>171</v>
      </c>
      <c r="B803" s="138" t="s">
        <v>450</v>
      </c>
    </row>
    <row r="804" spans="1:2" x14ac:dyDescent="0.25">
      <c r="A804" s="20">
        <v>171</v>
      </c>
      <c r="B804" s="20" t="s">
        <v>450</v>
      </c>
    </row>
    <row r="805" spans="1:2" x14ac:dyDescent="0.25">
      <c r="A805" s="138">
        <v>171</v>
      </c>
      <c r="B805" s="138" t="s">
        <v>450</v>
      </c>
    </row>
    <row r="806" spans="1:2" x14ac:dyDescent="0.25">
      <c r="A806" s="20">
        <v>171</v>
      </c>
      <c r="B806" s="20" t="s">
        <v>450</v>
      </c>
    </row>
    <row r="807" spans="1:2" x14ac:dyDescent="0.25">
      <c r="A807" s="138">
        <v>171</v>
      </c>
      <c r="B807" s="138" t="s">
        <v>450</v>
      </c>
    </row>
    <row r="808" spans="1:2" x14ac:dyDescent="0.25">
      <c r="A808" s="20">
        <v>5</v>
      </c>
      <c r="B808" s="20" t="s">
        <v>337</v>
      </c>
    </row>
    <row r="809" spans="1:2" x14ac:dyDescent="0.25">
      <c r="A809" s="138">
        <v>5</v>
      </c>
      <c r="B809" s="138" t="s">
        <v>337</v>
      </c>
    </row>
    <row r="810" spans="1:2" x14ac:dyDescent="0.25">
      <c r="A810" s="20">
        <v>5</v>
      </c>
      <c r="B810" s="20" t="s">
        <v>337</v>
      </c>
    </row>
    <row r="811" spans="1:2" x14ac:dyDescent="0.25">
      <c r="A811" s="138">
        <v>231</v>
      </c>
      <c r="B811" s="138" t="s">
        <v>886</v>
      </c>
    </row>
    <row r="812" spans="1:2" x14ac:dyDescent="0.25">
      <c r="A812" s="20">
        <v>16</v>
      </c>
      <c r="B812" s="20" t="s">
        <v>170</v>
      </c>
    </row>
    <row r="813" spans="1:2" x14ac:dyDescent="0.25">
      <c r="A813" s="138">
        <v>151</v>
      </c>
      <c r="B813" s="138" t="s">
        <v>1161</v>
      </c>
    </row>
    <row r="814" spans="1:2" x14ac:dyDescent="0.25">
      <c r="A814" s="20">
        <v>151</v>
      </c>
      <c r="B814" s="20" t="s">
        <v>1161</v>
      </c>
    </row>
    <row r="815" spans="1:2" x14ac:dyDescent="0.25">
      <c r="A815" s="138">
        <v>151</v>
      </c>
      <c r="B815" s="138" t="s">
        <v>1161</v>
      </c>
    </row>
    <row r="816" spans="1:2" x14ac:dyDescent="0.25">
      <c r="A816" s="20">
        <v>151</v>
      </c>
      <c r="B816" s="20" t="s">
        <v>1161</v>
      </c>
    </row>
    <row r="817" spans="1:2" x14ac:dyDescent="0.25">
      <c r="A817" s="138">
        <v>151</v>
      </c>
      <c r="B817" s="138" t="s">
        <v>1161</v>
      </c>
    </row>
    <row r="818" spans="1:2" x14ac:dyDescent="0.25">
      <c r="A818" s="20">
        <v>151</v>
      </c>
      <c r="B818" s="20" t="s">
        <v>1161</v>
      </c>
    </row>
    <row r="819" spans="1:2" x14ac:dyDescent="0.25">
      <c r="A819" s="138">
        <v>151</v>
      </c>
      <c r="B819" s="138" t="s">
        <v>1161</v>
      </c>
    </row>
    <row r="820" spans="1:2" x14ac:dyDescent="0.25">
      <c r="A820" s="20">
        <v>151</v>
      </c>
      <c r="B820" s="20" t="s">
        <v>1161</v>
      </c>
    </row>
    <row r="821" spans="1:2" x14ac:dyDescent="0.25">
      <c r="A821" s="138">
        <v>242</v>
      </c>
      <c r="B821" s="138" t="s">
        <v>1326</v>
      </c>
    </row>
    <row r="822" spans="1:2" x14ac:dyDescent="0.25">
      <c r="A822" s="20">
        <v>96</v>
      </c>
      <c r="B822" s="20" t="s">
        <v>1403</v>
      </c>
    </row>
    <row r="823" spans="1:2" x14ac:dyDescent="0.25">
      <c r="A823" s="138">
        <v>96</v>
      </c>
      <c r="B823" s="138" t="s">
        <v>1403</v>
      </c>
    </row>
    <row r="824" spans="1:2" x14ac:dyDescent="0.25">
      <c r="A824" s="20">
        <v>96</v>
      </c>
      <c r="B824" s="20" t="s">
        <v>1403</v>
      </c>
    </row>
    <row r="825" spans="1:2" x14ac:dyDescent="0.25">
      <c r="A825" s="138">
        <v>96</v>
      </c>
      <c r="B825" s="138" t="s">
        <v>1403</v>
      </c>
    </row>
    <row r="826" spans="1:2" x14ac:dyDescent="0.25">
      <c r="A826" s="20">
        <v>96</v>
      </c>
      <c r="B826" s="20" t="s">
        <v>1403</v>
      </c>
    </row>
    <row r="827" spans="1:2" x14ac:dyDescent="0.25">
      <c r="A827" s="138">
        <v>96</v>
      </c>
      <c r="B827" s="138" t="s">
        <v>1403</v>
      </c>
    </row>
    <row r="828" spans="1:2" x14ac:dyDescent="0.25">
      <c r="A828" s="20">
        <v>96</v>
      </c>
      <c r="B828" s="20" t="s">
        <v>1403</v>
      </c>
    </row>
    <row r="829" spans="1:2" x14ac:dyDescent="0.25">
      <c r="A829" s="138">
        <v>96</v>
      </c>
      <c r="B829" s="138" t="s">
        <v>1403</v>
      </c>
    </row>
    <row r="830" spans="1:2" x14ac:dyDescent="0.25">
      <c r="A830" s="20">
        <v>96</v>
      </c>
      <c r="B830" s="20" t="s">
        <v>1403</v>
      </c>
    </row>
    <row r="831" spans="1:2" x14ac:dyDescent="0.25">
      <c r="A831" s="138">
        <v>96</v>
      </c>
      <c r="B831" s="138" t="s">
        <v>491</v>
      </c>
    </row>
    <row r="832" spans="1:2" x14ac:dyDescent="0.25">
      <c r="A832" s="20">
        <v>96</v>
      </c>
      <c r="B832" s="20" t="s">
        <v>491</v>
      </c>
    </row>
    <row r="833" spans="1:2" x14ac:dyDescent="0.25">
      <c r="A833" s="138">
        <v>96</v>
      </c>
      <c r="B833" s="138" t="s">
        <v>491</v>
      </c>
    </row>
    <row r="834" spans="1:2" x14ac:dyDescent="0.25">
      <c r="A834" s="20">
        <v>96</v>
      </c>
      <c r="B834" s="20" t="s">
        <v>491</v>
      </c>
    </row>
    <row r="835" spans="1:2" x14ac:dyDescent="0.25">
      <c r="A835" s="138">
        <v>96</v>
      </c>
      <c r="B835" s="138" t="s">
        <v>491</v>
      </c>
    </row>
    <row r="836" spans="1:2" x14ac:dyDescent="0.25">
      <c r="A836" s="20">
        <v>96</v>
      </c>
      <c r="B836" s="20" t="s">
        <v>491</v>
      </c>
    </row>
    <row r="837" spans="1:2" x14ac:dyDescent="0.25">
      <c r="A837" s="138" t="s">
        <v>8780</v>
      </c>
      <c r="B837" s="138"/>
    </row>
    <row r="838" spans="1:2" x14ac:dyDescent="0.25">
      <c r="A838" s="20" t="s">
        <v>8773</v>
      </c>
      <c r="B838" s="20" t="s">
        <v>8781</v>
      </c>
    </row>
    <row r="839" spans="1:2" x14ac:dyDescent="0.25">
      <c r="A839" s="138" t="s">
        <v>8743</v>
      </c>
      <c r="B839" s="138" t="s">
        <v>8777</v>
      </c>
    </row>
    <row r="840" spans="1:2" x14ac:dyDescent="0.25">
      <c r="A840" s="20" t="s">
        <v>8646</v>
      </c>
      <c r="B840" s="20" t="s">
        <v>8782</v>
      </c>
    </row>
    <row r="841" spans="1:2" x14ac:dyDescent="0.25">
      <c r="A841" s="138">
        <v>5</v>
      </c>
      <c r="B841" s="138" t="s">
        <v>337</v>
      </c>
    </row>
    <row r="842" spans="1:2" x14ac:dyDescent="0.25">
      <c r="A842" s="20">
        <v>5</v>
      </c>
      <c r="B842" s="20" t="s">
        <v>337</v>
      </c>
    </row>
    <row r="843" spans="1:2" x14ac:dyDescent="0.25">
      <c r="A843" s="138">
        <v>5</v>
      </c>
      <c r="B843" s="138" t="s">
        <v>337</v>
      </c>
    </row>
    <row r="844" spans="1:2" x14ac:dyDescent="0.25">
      <c r="A844" s="20">
        <v>5</v>
      </c>
      <c r="B844" s="20" t="s">
        <v>337</v>
      </c>
    </row>
    <row r="845" spans="1:2" x14ac:dyDescent="0.25">
      <c r="A845" s="138">
        <v>5</v>
      </c>
      <c r="B845" s="138" t="s">
        <v>337</v>
      </c>
    </row>
    <row r="846" spans="1:2" x14ac:dyDescent="0.25">
      <c r="A846" s="20">
        <v>5</v>
      </c>
      <c r="B846" s="20" t="s">
        <v>337</v>
      </c>
    </row>
    <row r="847" spans="1:2" x14ac:dyDescent="0.25">
      <c r="A847" s="138">
        <v>5</v>
      </c>
      <c r="B847" s="138" t="s">
        <v>337</v>
      </c>
    </row>
    <row r="848" spans="1:2" x14ac:dyDescent="0.25">
      <c r="A848" s="20">
        <v>5</v>
      </c>
      <c r="B848" s="20" t="s">
        <v>337</v>
      </c>
    </row>
    <row r="849" spans="1:2" x14ac:dyDescent="0.25">
      <c r="A849" s="138">
        <v>5</v>
      </c>
      <c r="B849" s="138" t="s">
        <v>337</v>
      </c>
    </row>
    <row r="850" spans="1:2" x14ac:dyDescent="0.25">
      <c r="A850" s="20">
        <v>5</v>
      </c>
      <c r="B850" s="20" t="s">
        <v>337</v>
      </c>
    </row>
    <row r="851" spans="1:2" x14ac:dyDescent="0.25">
      <c r="A851" s="138">
        <v>5</v>
      </c>
      <c r="B851" s="138" t="s">
        <v>337</v>
      </c>
    </row>
    <row r="852" spans="1:2" x14ac:dyDescent="0.25">
      <c r="A852" s="20">
        <v>5</v>
      </c>
      <c r="B852" s="20" t="s">
        <v>337</v>
      </c>
    </row>
    <row r="853" spans="1:2" x14ac:dyDescent="0.25">
      <c r="A853" s="138">
        <v>5</v>
      </c>
      <c r="B853" s="138" t="s">
        <v>337</v>
      </c>
    </row>
    <row r="854" spans="1:2" x14ac:dyDescent="0.25">
      <c r="A854" s="20">
        <v>5</v>
      </c>
      <c r="B854" s="20" t="s">
        <v>337</v>
      </c>
    </row>
    <row r="855" spans="1:2" x14ac:dyDescent="0.25">
      <c r="A855" s="138">
        <v>252</v>
      </c>
      <c r="B855" s="138" t="s">
        <v>615</v>
      </c>
    </row>
    <row r="856" spans="1:2" x14ac:dyDescent="0.25">
      <c r="A856" s="20">
        <v>252</v>
      </c>
      <c r="B856" s="20" t="s">
        <v>615</v>
      </c>
    </row>
    <row r="857" spans="1:2" x14ac:dyDescent="0.25">
      <c r="A857" s="138">
        <v>252</v>
      </c>
      <c r="B857" s="138" t="s">
        <v>615</v>
      </c>
    </row>
    <row r="858" spans="1:2" x14ac:dyDescent="0.25">
      <c r="A858" s="20">
        <v>252</v>
      </c>
      <c r="B858" s="20" t="s">
        <v>615</v>
      </c>
    </row>
    <row r="859" spans="1:2" x14ac:dyDescent="0.25">
      <c r="A859" s="138">
        <v>252</v>
      </c>
      <c r="B859" s="138" t="s">
        <v>615</v>
      </c>
    </row>
    <row r="860" spans="1:2" x14ac:dyDescent="0.25">
      <c r="A860" s="20" t="s">
        <v>6218</v>
      </c>
      <c r="B860" s="20" t="s">
        <v>6218</v>
      </c>
    </row>
    <row r="861" spans="1:2" x14ac:dyDescent="0.25">
      <c r="A861" s="20">
        <v>185</v>
      </c>
      <c r="B861" s="20" t="s">
        <v>1548</v>
      </c>
    </row>
    <row r="862" spans="1:2" x14ac:dyDescent="0.25">
      <c r="A862" s="138">
        <v>115</v>
      </c>
      <c r="B862" s="138">
        <v>45</v>
      </c>
    </row>
    <row r="863" spans="1:2" x14ac:dyDescent="0.25">
      <c r="A863" s="20">
        <v>115</v>
      </c>
      <c r="B863" s="20" t="s">
        <v>615</v>
      </c>
    </row>
    <row r="864" spans="1:2" x14ac:dyDescent="0.25">
      <c r="A864" s="138">
        <v>115</v>
      </c>
      <c r="B864" s="138" t="s">
        <v>1372</v>
      </c>
    </row>
    <row r="865" spans="1:2" x14ac:dyDescent="0.25">
      <c r="A865" s="20">
        <v>115</v>
      </c>
      <c r="B865" s="20" t="s">
        <v>1372</v>
      </c>
    </row>
    <row r="866" spans="1:2" x14ac:dyDescent="0.25">
      <c r="A866" s="138" t="s">
        <v>6243</v>
      </c>
      <c r="B866" s="138" t="s">
        <v>6244</v>
      </c>
    </row>
    <row r="867" spans="1:2" x14ac:dyDescent="0.25">
      <c r="A867" s="20" t="s">
        <v>8783</v>
      </c>
      <c r="B867" s="20" t="s">
        <v>8779</v>
      </c>
    </row>
    <row r="868" spans="1:2" x14ac:dyDescent="0.25">
      <c r="A868" s="138" t="s">
        <v>8748</v>
      </c>
      <c r="B868" s="138" t="s">
        <v>8775</v>
      </c>
    </row>
    <row r="869" spans="1:2" x14ac:dyDescent="0.25">
      <c r="A869" s="138">
        <v>96</v>
      </c>
      <c r="B869" s="138" t="s">
        <v>1275</v>
      </c>
    </row>
    <row r="870" spans="1:2" x14ac:dyDescent="0.25">
      <c r="A870" s="20">
        <v>109</v>
      </c>
      <c r="B870" s="20" t="s">
        <v>924</v>
      </c>
    </row>
    <row r="871" spans="1:2" x14ac:dyDescent="0.25">
      <c r="A871" s="138">
        <v>109</v>
      </c>
      <c r="B871" s="138" t="s">
        <v>924</v>
      </c>
    </row>
    <row r="872" spans="1:2" x14ac:dyDescent="0.25">
      <c r="A872" s="20">
        <v>109</v>
      </c>
      <c r="B872" s="20" t="s">
        <v>924</v>
      </c>
    </row>
    <row r="873" spans="1:2" x14ac:dyDescent="0.25">
      <c r="A873" s="138">
        <v>109</v>
      </c>
      <c r="B873" s="138" t="s">
        <v>924</v>
      </c>
    </row>
    <row r="874" spans="1:2" x14ac:dyDescent="0.25">
      <c r="A874" s="20">
        <v>109</v>
      </c>
      <c r="B874" s="20" t="s">
        <v>924</v>
      </c>
    </row>
    <row r="875" spans="1:2" x14ac:dyDescent="0.25">
      <c r="A875" s="138">
        <v>109</v>
      </c>
      <c r="B875" s="138" t="s">
        <v>924</v>
      </c>
    </row>
    <row r="876" spans="1:2" x14ac:dyDescent="0.25">
      <c r="A876" s="20">
        <v>32</v>
      </c>
      <c r="B876" s="20" t="s">
        <v>693</v>
      </c>
    </row>
    <row r="877" spans="1:2" x14ac:dyDescent="0.25">
      <c r="A877" s="138">
        <v>32</v>
      </c>
      <c r="B877" s="138" t="s">
        <v>693</v>
      </c>
    </row>
    <row r="878" spans="1:2" x14ac:dyDescent="0.25">
      <c r="A878" s="20">
        <v>32</v>
      </c>
      <c r="B878" s="20" t="s">
        <v>693</v>
      </c>
    </row>
    <row r="879" spans="1:2" x14ac:dyDescent="0.25">
      <c r="A879" s="138">
        <v>32</v>
      </c>
      <c r="B879" s="138" t="s">
        <v>693</v>
      </c>
    </row>
    <row r="880" spans="1:2" x14ac:dyDescent="0.25">
      <c r="A880" s="20">
        <v>32</v>
      </c>
      <c r="B880" s="20" t="s">
        <v>693</v>
      </c>
    </row>
    <row r="881" spans="1:2" x14ac:dyDescent="0.25">
      <c r="A881" s="138">
        <v>32</v>
      </c>
      <c r="B881" s="138" t="s">
        <v>693</v>
      </c>
    </row>
    <row r="882" spans="1:2" x14ac:dyDescent="0.25">
      <c r="A882" s="20">
        <v>32</v>
      </c>
      <c r="B882" s="20" t="s">
        <v>693</v>
      </c>
    </row>
    <row r="883" spans="1:2" x14ac:dyDescent="0.25">
      <c r="A883" s="138">
        <v>18</v>
      </c>
      <c r="B883" s="138" t="s">
        <v>1289</v>
      </c>
    </row>
    <row r="884" spans="1:2" x14ac:dyDescent="0.25">
      <c r="A884" s="20">
        <v>18</v>
      </c>
      <c r="B884" s="20" t="s">
        <v>1289</v>
      </c>
    </row>
    <row r="885" spans="1:2" x14ac:dyDescent="0.25">
      <c r="A885" s="138">
        <v>18</v>
      </c>
      <c r="B885" s="138" t="s">
        <v>1289</v>
      </c>
    </row>
    <row r="886" spans="1:2" x14ac:dyDescent="0.25">
      <c r="A886" s="20">
        <v>18</v>
      </c>
      <c r="B886" s="20" t="s">
        <v>1289</v>
      </c>
    </row>
    <row r="887" spans="1:2" x14ac:dyDescent="0.25">
      <c r="A887" s="138" t="s">
        <v>8771</v>
      </c>
      <c r="B887" s="138" t="s">
        <v>8772</v>
      </c>
    </row>
    <row r="888" spans="1:2" x14ac:dyDescent="0.25">
      <c r="A888" s="20" t="s">
        <v>6183</v>
      </c>
      <c r="B888" s="20" t="s">
        <v>1161</v>
      </c>
    </row>
    <row r="889" spans="1:2" x14ac:dyDescent="0.25">
      <c r="A889" s="138">
        <v>119</v>
      </c>
      <c r="B889" s="138" t="s">
        <v>1244</v>
      </c>
    </row>
    <row r="890" spans="1:2" x14ac:dyDescent="0.25">
      <c r="A890" s="138">
        <v>151</v>
      </c>
      <c r="B890" s="138" t="s">
        <v>1161</v>
      </c>
    </row>
    <row r="891" spans="1:2" x14ac:dyDescent="0.25">
      <c r="A891" s="20">
        <v>151</v>
      </c>
      <c r="B891" s="20" t="s">
        <v>1161</v>
      </c>
    </row>
    <row r="892" spans="1:2" x14ac:dyDescent="0.25">
      <c r="A892" s="138" t="s">
        <v>171</v>
      </c>
      <c r="B892" s="138" t="s">
        <v>6218</v>
      </c>
    </row>
    <row r="893" spans="1:2" x14ac:dyDescent="0.25">
      <c r="A893" s="20">
        <v>16</v>
      </c>
      <c r="B893" s="20" t="s">
        <v>262</v>
      </c>
    </row>
    <row r="894" spans="1:2" x14ac:dyDescent="0.25">
      <c r="A894" s="138">
        <v>16</v>
      </c>
      <c r="B894" s="138" t="s">
        <v>828</v>
      </c>
    </row>
    <row r="895" spans="1:2" x14ac:dyDescent="0.25">
      <c r="A895" s="20" t="s">
        <v>8784</v>
      </c>
      <c r="B895" s="20" t="s">
        <v>1523</v>
      </c>
    </row>
    <row r="896" spans="1:2" x14ac:dyDescent="0.25">
      <c r="A896" s="138"/>
      <c r="B896" s="138"/>
    </row>
    <row r="897" spans="1:2" x14ac:dyDescent="0.25">
      <c r="A897" s="20"/>
      <c r="B897" s="20"/>
    </row>
    <row r="898" spans="1:2" x14ac:dyDescent="0.25">
      <c r="A898" s="138" t="s">
        <v>8743</v>
      </c>
      <c r="B898" s="138" t="s">
        <v>8777</v>
      </c>
    </row>
    <row r="899" spans="1:2" x14ac:dyDescent="0.25">
      <c r="A899" s="20" t="s">
        <v>8743</v>
      </c>
      <c r="B899" s="20" t="s">
        <v>8777</v>
      </c>
    </row>
    <row r="900" spans="1:2" x14ac:dyDescent="0.25">
      <c r="A900" s="138" t="s">
        <v>8743</v>
      </c>
      <c r="B900" s="138" t="s">
        <v>8777</v>
      </c>
    </row>
    <row r="901" spans="1:2" x14ac:dyDescent="0.25">
      <c r="A901" s="20" t="s">
        <v>8743</v>
      </c>
      <c r="B901" s="20" t="s">
        <v>8777</v>
      </c>
    </row>
    <row r="902" spans="1:2" x14ac:dyDescent="0.25">
      <c r="A902" s="138" t="s">
        <v>8743</v>
      </c>
      <c r="B902" s="138" t="s">
        <v>8777</v>
      </c>
    </row>
    <row r="903" spans="1:2" x14ac:dyDescent="0.25">
      <c r="A903" s="20">
        <v>11</v>
      </c>
      <c r="B903" s="20" t="s">
        <v>6218</v>
      </c>
    </row>
    <row r="904" spans="1:2" x14ac:dyDescent="0.25">
      <c r="A904" s="138" t="s">
        <v>8743</v>
      </c>
      <c r="B904" s="138" t="s">
        <v>8744</v>
      </c>
    </row>
    <row r="905" spans="1:2" x14ac:dyDescent="0.25">
      <c r="A905" s="20" t="s">
        <v>8785</v>
      </c>
      <c r="B905" s="20"/>
    </row>
    <row r="906" spans="1:2" x14ac:dyDescent="0.25">
      <c r="A906" s="138">
        <v>11</v>
      </c>
      <c r="B906" s="138" t="s">
        <v>638</v>
      </c>
    </row>
    <row r="907" spans="1:2" x14ac:dyDescent="0.25">
      <c r="A907" s="20">
        <v>11</v>
      </c>
      <c r="B907" s="20" t="s">
        <v>638</v>
      </c>
    </row>
    <row r="908" spans="1:2" x14ac:dyDescent="0.25">
      <c r="A908" s="138" t="s">
        <v>6194</v>
      </c>
      <c r="B908" s="138" t="s">
        <v>450</v>
      </c>
    </row>
    <row r="909" spans="1:2" x14ac:dyDescent="0.25">
      <c r="A909" s="20" t="s">
        <v>6194</v>
      </c>
      <c r="B909" s="20" t="s">
        <v>450</v>
      </c>
    </row>
    <row r="910" spans="1:2" x14ac:dyDescent="0.25">
      <c r="A910" s="138" t="s">
        <v>6194</v>
      </c>
      <c r="B910" s="138" t="s">
        <v>450</v>
      </c>
    </row>
    <row r="911" spans="1:2" x14ac:dyDescent="0.25">
      <c r="A911" s="20">
        <v>171</v>
      </c>
      <c r="B911" s="20" t="s">
        <v>450</v>
      </c>
    </row>
    <row r="912" spans="1:2" x14ac:dyDescent="0.25">
      <c r="A912" s="138">
        <v>16</v>
      </c>
      <c r="B912" s="138" t="s">
        <v>170</v>
      </c>
    </row>
    <row r="913" spans="1:2" x14ac:dyDescent="0.25">
      <c r="A913" s="20">
        <v>16</v>
      </c>
      <c r="B913" s="20" t="s">
        <v>170</v>
      </c>
    </row>
    <row r="914" spans="1:2" x14ac:dyDescent="0.25">
      <c r="A914" s="138">
        <v>16</v>
      </c>
      <c r="B914" s="138" t="s">
        <v>170</v>
      </c>
    </row>
    <row r="915" spans="1:2" x14ac:dyDescent="0.25">
      <c r="A915" s="20">
        <v>16</v>
      </c>
      <c r="B915" s="20" t="s">
        <v>170</v>
      </c>
    </row>
    <row r="916" spans="1:2" x14ac:dyDescent="0.25">
      <c r="A916" s="138">
        <v>151</v>
      </c>
      <c r="B916" s="138" t="s">
        <v>1161</v>
      </c>
    </row>
    <row r="917" spans="1:2" x14ac:dyDescent="0.25">
      <c r="A917" s="20">
        <v>151</v>
      </c>
      <c r="B917" s="20" t="s">
        <v>1161</v>
      </c>
    </row>
    <row r="918" spans="1:2" x14ac:dyDescent="0.25">
      <c r="A918" s="138">
        <v>151</v>
      </c>
      <c r="B918" s="138" t="s">
        <v>1161</v>
      </c>
    </row>
    <row r="919" spans="1:2" x14ac:dyDescent="0.25">
      <c r="A919" s="20">
        <v>151</v>
      </c>
      <c r="B919" s="20" t="s">
        <v>1161</v>
      </c>
    </row>
    <row r="920" spans="1:2" x14ac:dyDescent="0.25">
      <c r="A920" s="138">
        <v>151</v>
      </c>
      <c r="B920" s="138" t="s">
        <v>1161</v>
      </c>
    </row>
    <row r="921" spans="1:2" x14ac:dyDescent="0.25">
      <c r="A921" s="20">
        <v>151</v>
      </c>
      <c r="B921" s="20" t="s">
        <v>1161</v>
      </c>
    </row>
    <row r="922" spans="1:2" x14ac:dyDescent="0.25">
      <c r="A922" s="138" t="s">
        <v>6183</v>
      </c>
      <c r="B922" s="138" t="s">
        <v>1161</v>
      </c>
    </row>
    <row r="923" spans="1:2" x14ac:dyDescent="0.25">
      <c r="A923" s="20" t="s">
        <v>6183</v>
      </c>
      <c r="B923" s="20" t="s">
        <v>1161</v>
      </c>
    </row>
    <row r="924" spans="1:2" x14ac:dyDescent="0.25">
      <c r="A924" s="138">
        <v>151</v>
      </c>
      <c r="B924" s="138" t="s">
        <v>1161</v>
      </c>
    </row>
    <row r="925" spans="1:2" x14ac:dyDescent="0.25">
      <c r="A925" s="20">
        <v>151</v>
      </c>
      <c r="B925" s="20" t="s">
        <v>1161</v>
      </c>
    </row>
    <row r="926" spans="1:2" x14ac:dyDescent="0.25">
      <c r="A926" s="138">
        <v>96</v>
      </c>
      <c r="B926" s="138" t="s">
        <v>1403</v>
      </c>
    </row>
    <row r="927" spans="1:2" x14ac:dyDescent="0.25">
      <c r="A927" s="20" t="s">
        <v>8743</v>
      </c>
      <c r="B927" s="20" t="s">
        <v>8751</v>
      </c>
    </row>
    <row r="928" spans="1:2" x14ac:dyDescent="0.25">
      <c r="A928" s="138">
        <v>96</v>
      </c>
      <c r="B928" s="138" t="s">
        <v>1403</v>
      </c>
    </row>
    <row r="929" spans="1:2" x14ac:dyDescent="0.25">
      <c r="A929" s="20">
        <v>96</v>
      </c>
      <c r="B929" s="20" t="s">
        <v>1403</v>
      </c>
    </row>
    <row r="930" spans="1:2" x14ac:dyDescent="0.25">
      <c r="A930" s="138">
        <v>96</v>
      </c>
      <c r="B930" s="138" t="s">
        <v>491</v>
      </c>
    </row>
    <row r="931" spans="1:2" x14ac:dyDescent="0.25">
      <c r="A931" s="20">
        <v>96</v>
      </c>
      <c r="B931" s="20" t="s">
        <v>491</v>
      </c>
    </row>
    <row r="932" spans="1:2" x14ac:dyDescent="0.25">
      <c r="A932" s="138">
        <v>96</v>
      </c>
      <c r="B932" s="138" t="s">
        <v>491</v>
      </c>
    </row>
    <row r="933" spans="1:2" x14ac:dyDescent="0.25">
      <c r="A933" s="20">
        <v>96</v>
      </c>
      <c r="B933" s="20" t="s">
        <v>491</v>
      </c>
    </row>
    <row r="934" spans="1:2" x14ac:dyDescent="0.25">
      <c r="A934" s="138">
        <v>50</v>
      </c>
      <c r="B934" s="138" t="s">
        <v>1478</v>
      </c>
    </row>
    <row r="935" spans="1:2" x14ac:dyDescent="0.25">
      <c r="A935" s="20" t="s">
        <v>8743</v>
      </c>
      <c r="B935" s="20" t="s">
        <v>8786</v>
      </c>
    </row>
    <row r="936" spans="1:2" x14ac:dyDescent="0.25">
      <c r="A936" s="138" t="s">
        <v>8743</v>
      </c>
      <c r="B936" s="138" t="s">
        <v>8786</v>
      </c>
    </row>
    <row r="937" spans="1:2" x14ac:dyDescent="0.25">
      <c r="A937" s="20"/>
      <c r="B937" s="20"/>
    </row>
    <row r="938" spans="1:2" x14ac:dyDescent="0.25">
      <c r="A938" s="138">
        <v>5</v>
      </c>
      <c r="B938" s="138" t="s">
        <v>337</v>
      </c>
    </row>
    <row r="939" spans="1:2" x14ac:dyDescent="0.25">
      <c r="A939" s="20">
        <v>252</v>
      </c>
      <c r="B939" s="20" t="s">
        <v>615</v>
      </c>
    </row>
    <row r="940" spans="1:2" x14ac:dyDescent="0.25">
      <c r="A940" s="138">
        <v>252</v>
      </c>
      <c r="B940" s="138" t="s">
        <v>615</v>
      </c>
    </row>
    <row r="941" spans="1:2" x14ac:dyDescent="0.25">
      <c r="A941" s="20">
        <v>252</v>
      </c>
      <c r="B941" s="20" t="s">
        <v>615</v>
      </c>
    </row>
    <row r="942" spans="1:2" x14ac:dyDescent="0.25">
      <c r="A942" s="138">
        <v>115</v>
      </c>
      <c r="B942" s="138" t="s">
        <v>2003</v>
      </c>
    </row>
    <row r="943" spans="1:2" x14ac:dyDescent="0.25">
      <c r="A943" s="20">
        <v>115</v>
      </c>
      <c r="B943" s="20" t="s">
        <v>2003</v>
      </c>
    </row>
    <row r="944" spans="1:2" x14ac:dyDescent="0.25">
      <c r="A944" s="138">
        <v>115</v>
      </c>
      <c r="B944" s="138" t="s">
        <v>2003</v>
      </c>
    </row>
    <row r="945" spans="1:2" x14ac:dyDescent="0.25">
      <c r="A945" s="20" t="s">
        <v>6243</v>
      </c>
      <c r="B945" s="20" t="s">
        <v>6244</v>
      </c>
    </row>
    <row r="946" spans="1:2" x14ac:dyDescent="0.25">
      <c r="A946" s="138" t="s">
        <v>6243</v>
      </c>
      <c r="B946" s="138" t="s">
        <v>6244</v>
      </c>
    </row>
    <row r="947" spans="1:2" x14ac:dyDescent="0.25">
      <c r="A947" s="20">
        <v>199</v>
      </c>
      <c r="B947" s="20" t="s">
        <v>1275</v>
      </c>
    </row>
    <row r="948" spans="1:2" x14ac:dyDescent="0.25">
      <c r="A948" s="138"/>
      <c r="B948" s="138"/>
    </row>
    <row r="949" spans="1:2" x14ac:dyDescent="0.25">
      <c r="A949" s="20">
        <v>59</v>
      </c>
      <c r="B949" s="20" t="s">
        <v>8703</v>
      </c>
    </row>
    <row r="950" spans="1:2" x14ac:dyDescent="0.25">
      <c r="A950" s="138">
        <v>59</v>
      </c>
      <c r="B950" s="138" t="s">
        <v>171</v>
      </c>
    </row>
    <row r="951" spans="1:2" x14ac:dyDescent="0.25">
      <c r="A951" s="20">
        <v>59</v>
      </c>
      <c r="B951" s="20" t="s">
        <v>171</v>
      </c>
    </row>
    <row r="952" spans="1:2" x14ac:dyDescent="0.25">
      <c r="A952" s="138">
        <v>59</v>
      </c>
      <c r="B952" s="138" t="s">
        <v>171</v>
      </c>
    </row>
    <row r="953" spans="1:2" x14ac:dyDescent="0.25">
      <c r="A953" s="20">
        <v>109</v>
      </c>
      <c r="B953" s="20" t="s">
        <v>924</v>
      </c>
    </row>
    <row r="954" spans="1:2" x14ac:dyDescent="0.25">
      <c r="A954" s="138">
        <v>109</v>
      </c>
      <c r="B954" s="138" t="s">
        <v>924</v>
      </c>
    </row>
    <row r="955" spans="1:2" x14ac:dyDescent="0.25">
      <c r="A955" s="20">
        <v>109</v>
      </c>
      <c r="B955" s="20" t="s">
        <v>924</v>
      </c>
    </row>
    <row r="956" spans="1:2" x14ac:dyDescent="0.25">
      <c r="A956" s="138">
        <v>109</v>
      </c>
      <c r="B956" s="138" t="s">
        <v>924</v>
      </c>
    </row>
    <row r="957" spans="1:2" x14ac:dyDescent="0.25">
      <c r="A957" s="20">
        <v>109</v>
      </c>
      <c r="B957" s="20" t="s">
        <v>924</v>
      </c>
    </row>
    <row r="958" spans="1:2" x14ac:dyDescent="0.25">
      <c r="A958" s="138">
        <v>109</v>
      </c>
      <c r="B958" s="138" t="s">
        <v>924</v>
      </c>
    </row>
    <row r="959" spans="1:2" x14ac:dyDescent="0.25">
      <c r="A959" s="138">
        <v>109</v>
      </c>
      <c r="B959" s="138" t="s">
        <v>1346</v>
      </c>
    </row>
    <row r="960" spans="1:2" x14ac:dyDescent="0.25">
      <c r="A960" s="138">
        <v>109</v>
      </c>
      <c r="B960" s="138" t="s">
        <v>1346</v>
      </c>
    </row>
    <row r="961" spans="1:2" x14ac:dyDescent="0.25">
      <c r="A961" s="20">
        <v>109</v>
      </c>
      <c r="B961" s="20" t="s">
        <v>1346</v>
      </c>
    </row>
    <row r="962" spans="1:2" x14ac:dyDescent="0.25">
      <c r="A962" s="138">
        <v>109</v>
      </c>
      <c r="B962" s="138" t="s">
        <v>1346</v>
      </c>
    </row>
    <row r="963" spans="1:2" x14ac:dyDescent="0.25">
      <c r="A963" s="20">
        <v>32</v>
      </c>
      <c r="B963" s="20" t="s">
        <v>693</v>
      </c>
    </row>
    <row r="964" spans="1:2" x14ac:dyDescent="0.25">
      <c r="A964" s="138">
        <v>18</v>
      </c>
      <c r="B964" s="138" t="s">
        <v>1289</v>
      </c>
    </row>
    <row r="965" spans="1:2" x14ac:dyDescent="0.25">
      <c r="A965" s="20">
        <v>18</v>
      </c>
      <c r="B965" s="20" t="s">
        <v>1289</v>
      </c>
    </row>
    <row r="966" spans="1:2" x14ac:dyDescent="0.25">
      <c r="A966" s="138">
        <v>18</v>
      </c>
      <c r="B966" s="138" t="s">
        <v>1289</v>
      </c>
    </row>
    <row r="967" spans="1:2" x14ac:dyDescent="0.25">
      <c r="A967" s="20">
        <v>18</v>
      </c>
      <c r="B967" s="20" t="s">
        <v>1289</v>
      </c>
    </row>
    <row r="968" spans="1:2" x14ac:dyDescent="0.25">
      <c r="A968" s="138">
        <v>18</v>
      </c>
      <c r="B968" s="138" t="s">
        <v>1289</v>
      </c>
    </row>
    <row r="969" spans="1:2" x14ac:dyDescent="0.25">
      <c r="A969" s="138" t="s">
        <v>2517</v>
      </c>
      <c r="B969" s="138" t="s">
        <v>1289</v>
      </c>
    </row>
    <row r="970" spans="1:2" x14ac:dyDescent="0.25">
      <c r="A970" s="20" t="s">
        <v>2517</v>
      </c>
      <c r="B970" s="20" t="s">
        <v>1289</v>
      </c>
    </row>
    <row r="971" spans="1:2" x14ac:dyDescent="0.25">
      <c r="A971" s="138">
        <v>18</v>
      </c>
      <c r="B971" s="138" t="s">
        <v>1289</v>
      </c>
    </row>
    <row r="972" spans="1:2" x14ac:dyDescent="0.25">
      <c r="A972" s="20" t="s">
        <v>3717</v>
      </c>
      <c r="B972" s="20" t="s">
        <v>1244</v>
      </c>
    </row>
    <row r="973" spans="1:2" x14ac:dyDescent="0.25">
      <c r="A973" s="138" t="s">
        <v>3717</v>
      </c>
      <c r="B973" s="138" t="s">
        <v>1244</v>
      </c>
    </row>
    <row r="974" spans="1:2" x14ac:dyDescent="0.25">
      <c r="A974" s="20" t="s">
        <v>3717</v>
      </c>
      <c r="B974" s="20" t="s">
        <v>1244</v>
      </c>
    </row>
    <row r="975" spans="1:2" x14ac:dyDescent="0.25">
      <c r="A975" s="138" t="s">
        <v>3717</v>
      </c>
      <c r="B975" s="138" t="s">
        <v>1244</v>
      </c>
    </row>
    <row r="976" spans="1:2" x14ac:dyDescent="0.25">
      <c r="A976" s="20" t="s">
        <v>3717</v>
      </c>
      <c r="B976" s="20" t="s">
        <v>1244</v>
      </c>
    </row>
    <row r="977" spans="1:2" x14ac:dyDescent="0.25">
      <c r="A977" s="138" t="s">
        <v>3717</v>
      </c>
      <c r="B977" s="138" t="s">
        <v>1244</v>
      </c>
    </row>
    <row r="978" spans="1:2" x14ac:dyDescent="0.25">
      <c r="A978" s="20" t="s">
        <v>3717</v>
      </c>
      <c r="B978" s="20" t="s">
        <v>1244</v>
      </c>
    </row>
    <row r="979" spans="1:2" x14ac:dyDescent="0.25">
      <c r="A979" s="138" t="s">
        <v>3717</v>
      </c>
      <c r="B979" s="138" t="s">
        <v>1244</v>
      </c>
    </row>
    <row r="980" spans="1:2" x14ac:dyDescent="0.25">
      <c r="A980" s="20" t="s">
        <v>3717</v>
      </c>
      <c r="B980" s="20" t="s">
        <v>1244</v>
      </c>
    </row>
    <row r="981" spans="1:2" x14ac:dyDescent="0.25">
      <c r="A981" s="138" t="s">
        <v>6183</v>
      </c>
      <c r="B981" s="138" t="s">
        <v>1161</v>
      </c>
    </row>
    <row r="982" spans="1:2" x14ac:dyDescent="0.25">
      <c r="A982" s="20" t="s">
        <v>6183</v>
      </c>
      <c r="B982" s="20" t="s">
        <v>1161</v>
      </c>
    </row>
    <row r="983" spans="1:2" x14ac:dyDescent="0.25">
      <c r="A983" s="138" t="s">
        <v>6183</v>
      </c>
      <c r="B983" s="138" t="s">
        <v>1161</v>
      </c>
    </row>
    <row r="984" spans="1:2" x14ac:dyDescent="0.25">
      <c r="A984" s="20" t="s">
        <v>6183</v>
      </c>
      <c r="B984" s="20" t="s">
        <v>1161</v>
      </c>
    </row>
    <row r="985" spans="1:2" x14ac:dyDescent="0.25">
      <c r="A985" s="138" t="s">
        <v>6183</v>
      </c>
      <c r="B985" s="138" t="s">
        <v>1161</v>
      </c>
    </row>
    <row r="986" spans="1:2" x14ac:dyDescent="0.25">
      <c r="A986" s="20">
        <v>27</v>
      </c>
      <c r="B986" s="20" t="s">
        <v>655</v>
      </c>
    </row>
    <row r="987" spans="1:2" x14ac:dyDescent="0.25">
      <c r="A987" s="138">
        <v>27</v>
      </c>
      <c r="B987" s="138" t="s">
        <v>655</v>
      </c>
    </row>
    <row r="988" spans="1:2" x14ac:dyDescent="0.25">
      <c r="A988" s="20">
        <v>27</v>
      </c>
      <c r="B988" s="20" t="s">
        <v>655</v>
      </c>
    </row>
    <row r="989" spans="1:2" x14ac:dyDescent="0.25">
      <c r="A989" s="138">
        <v>27</v>
      </c>
      <c r="B989" s="138" t="s">
        <v>655</v>
      </c>
    </row>
    <row r="990" spans="1:2" x14ac:dyDescent="0.25">
      <c r="A990" s="20">
        <v>16</v>
      </c>
      <c r="B990" s="20" t="s">
        <v>2005</v>
      </c>
    </row>
    <row r="991" spans="1:2" x14ac:dyDescent="0.25">
      <c r="A991" s="138">
        <v>16</v>
      </c>
      <c r="B991" s="138" t="s">
        <v>2005</v>
      </c>
    </row>
    <row r="992" spans="1:2" x14ac:dyDescent="0.25">
      <c r="A992" s="20">
        <v>16</v>
      </c>
      <c r="B992" s="20" t="s">
        <v>2005</v>
      </c>
    </row>
    <row r="993" spans="1:2" x14ac:dyDescent="0.25">
      <c r="A993" s="138">
        <v>16</v>
      </c>
      <c r="B993" s="138" t="s">
        <v>828</v>
      </c>
    </row>
    <row r="994" spans="1:2" x14ac:dyDescent="0.25">
      <c r="A994" s="20">
        <v>16</v>
      </c>
      <c r="B994" s="20" t="s">
        <v>828</v>
      </c>
    </row>
    <row r="995" spans="1:2" x14ac:dyDescent="0.25">
      <c r="A995" s="138">
        <v>16</v>
      </c>
      <c r="B995" s="138" t="s">
        <v>2005</v>
      </c>
    </row>
    <row r="996" spans="1:2" x14ac:dyDescent="0.25">
      <c r="A996" s="20">
        <v>16</v>
      </c>
      <c r="B996" s="20" t="s">
        <v>2005</v>
      </c>
    </row>
    <row r="997" spans="1:2" x14ac:dyDescent="0.25">
      <c r="A997" s="138">
        <v>16</v>
      </c>
      <c r="B997" s="138" t="s">
        <v>2005</v>
      </c>
    </row>
    <row r="998" spans="1:2" x14ac:dyDescent="0.25">
      <c r="A998" s="20">
        <v>11</v>
      </c>
      <c r="B998" s="20" t="s">
        <v>638</v>
      </c>
    </row>
    <row r="999" spans="1:2" x14ac:dyDescent="0.25">
      <c r="A999" s="138">
        <v>11</v>
      </c>
      <c r="B999" s="138" t="s">
        <v>638</v>
      </c>
    </row>
    <row r="1000" spans="1:2" x14ac:dyDescent="0.25">
      <c r="A1000" s="20">
        <v>11</v>
      </c>
      <c r="B1000" s="20" t="s">
        <v>638</v>
      </c>
    </row>
    <row r="1001" spans="1:2" x14ac:dyDescent="0.25">
      <c r="A1001" s="138">
        <v>11</v>
      </c>
      <c r="B1001" s="138" t="s">
        <v>638</v>
      </c>
    </row>
    <row r="1002" spans="1:2" x14ac:dyDescent="0.25">
      <c r="A1002" s="20">
        <v>11</v>
      </c>
      <c r="B1002" s="20" t="s">
        <v>638</v>
      </c>
    </row>
    <row r="1003" spans="1:2" x14ac:dyDescent="0.25">
      <c r="A1003" s="138">
        <v>11</v>
      </c>
      <c r="B1003" s="138" t="s">
        <v>638</v>
      </c>
    </row>
    <row r="1004" spans="1:2" x14ac:dyDescent="0.25">
      <c r="A1004" s="20">
        <v>11</v>
      </c>
      <c r="B1004" s="20" t="s">
        <v>638</v>
      </c>
    </row>
    <row r="1005" spans="1:2" x14ac:dyDescent="0.25">
      <c r="A1005" s="138">
        <v>11</v>
      </c>
      <c r="B1005" s="138" t="s">
        <v>638</v>
      </c>
    </row>
    <row r="1006" spans="1:2" x14ac:dyDescent="0.25">
      <c r="A1006" s="20">
        <v>11</v>
      </c>
      <c r="B1006" s="20" t="s">
        <v>638</v>
      </c>
    </row>
    <row r="1007" spans="1:2" x14ac:dyDescent="0.25">
      <c r="A1007" s="138">
        <v>11</v>
      </c>
      <c r="B1007" s="138" t="s">
        <v>638</v>
      </c>
    </row>
    <row r="1008" spans="1:2" x14ac:dyDescent="0.25">
      <c r="A1008" s="20">
        <v>11</v>
      </c>
      <c r="B1008" s="20" t="s">
        <v>638</v>
      </c>
    </row>
    <row r="1009" spans="1:2" x14ac:dyDescent="0.25">
      <c r="A1009" s="138" t="s">
        <v>3710</v>
      </c>
      <c r="B1009" s="138" t="s">
        <v>280</v>
      </c>
    </row>
    <row r="1010" spans="1:2" x14ac:dyDescent="0.25">
      <c r="A1010" s="20" t="s">
        <v>3710</v>
      </c>
      <c r="B1010" s="20" t="s">
        <v>280</v>
      </c>
    </row>
    <row r="1011" spans="1:2" x14ac:dyDescent="0.25">
      <c r="A1011" s="138">
        <v>11</v>
      </c>
      <c r="B1011" s="138" t="s">
        <v>638</v>
      </c>
    </row>
    <row r="1012" spans="1:2" x14ac:dyDescent="0.25">
      <c r="A1012" s="20">
        <v>11</v>
      </c>
      <c r="B1012" s="20" t="s">
        <v>638</v>
      </c>
    </row>
    <row r="1013" spans="1:2" x14ac:dyDescent="0.25">
      <c r="A1013" s="138">
        <v>11</v>
      </c>
      <c r="B1013" s="138" t="s">
        <v>638</v>
      </c>
    </row>
    <row r="1014" spans="1:2" x14ac:dyDescent="0.25">
      <c r="A1014" s="20">
        <v>11</v>
      </c>
      <c r="B1014" s="20" t="s">
        <v>638</v>
      </c>
    </row>
    <row r="1015" spans="1:2" x14ac:dyDescent="0.25">
      <c r="A1015" s="138">
        <v>11</v>
      </c>
      <c r="B1015" s="138" t="s">
        <v>638</v>
      </c>
    </row>
    <row r="1016" spans="1:2" x14ac:dyDescent="0.25">
      <c r="A1016" s="20">
        <v>11</v>
      </c>
      <c r="B1016" s="20" t="s">
        <v>638</v>
      </c>
    </row>
    <row r="1017" spans="1:2" x14ac:dyDescent="0.25">
      <c r="A1017" s="138">
        <v>11</v>
      </c>
      <c r="B1017" s="138" t="s">
        <v>638</v>
      </c>
    </row>
    <row r="1018" spans="1:2" x14ac:dyDescent="0.25">
      <c r="A1018" s="20">
        <v>11</v>
      </c>
      <c r="B1018" s="20" t="s">
        <v>638</v>
      </c>
    </row>
    <row r="1019" spans="1:2" x14ac:dyDescent="0.25">
      <c r="A1019" s="138">
        <v>11</v>
      </c>
      <c r="B1019" s="138" t="s">
        <v>638</v>
      </c>
    </row>
    <row r="1020" spans="1:2" x14ac:dyDescent="0.25">
      <c r="A1020" s="20">
        <v>11</v>
      </c>
      <c r="B1020" s="20" t="s">
        <v>638</v>
      </c>
    </row>
    <row r="1021" spans="1:2" x14ac:dyDescent="0.25">
      <c r="A1021" s="138">
        <v>11</v>
      </c>
      <c r="B1021" s="138" t="s">
        <v>638</v>
      </c>
    </row>
    <row r="1022" spans="1:2" x14ac:dyDescent="0.25">
      <c r="A1022" s="20">
        <v>11</v>
      </c>
      <c r="B1022" s="20" t="s">
        <v>638</v>
      </c>
    </row>
    <row r="1023" spans="1:2" x14ac:dyDescent="0.25">
      <c r="A1023" s="138" t="s">
        <v>6194</v>
      </c>
      <c r="B1023" s="138" t="s">
        <v>450</v>
      </c>
    </row>
    <row r="1024" spans="1:2" x14ac:dyDescent="0.25">
      <c r="A1024" s="20" t="s">
        <v>6194</v>
      </c>
      <c r="B1024" s="20" t="s">
        <v>450</v>
      </c>
    </row>
    <row r="1025" spans="1:2" x14ac:dyDescent="0.25">
      <c r="A1025" s="138" t="s">
        <v>6194</v>
      </c>
      <c r="B1025" s="138" t="s">
        <v>450</v>
      </c>
    </row>
    <row r="1026" spans="1:2" x14ac:dyDescent="0.25">
      <c r="A1026" s="20" t="s">
        <v>6194</v>
      </c>
      <c r="B1026" s="20" t="s">
        <v>450</v>
      </c>
    </row>
    <row r="1027" spans="1:2" x14ac:dyDescent="0.25">
      <c r="A1027" s="138" t="s">
        <v>6194</v>
      </c>
      <c r="B1027" s="138" t="s">
        <v>450</v>
      </c>
    </row>
    <row r="1028" spans="1:2" x14ac:dyDescent="0.25">
      <c r="A1028" s="20" t="s">
        <v>6194</v>
      </c>
      <c r="B1028" s="20" t="s">
        <v>450</v>
      </c>
    </row>
    <row r="1029" spans="1:2" x14ac:dyDescent="0.25">
      <c r="A1029" s="138" t="s">
        <v>6194</v>
      </c>
      <c r="B1029" s="138" t="s">
        <v>450</v>
      </c>
    </row>
    <row r="1030" spans="1:2" x14ac:dyDescent="0.25">
      <c r="A1030" s="20" t="s">
        <v>6194</v>
      </c>
      <c r="B1030" s="20" t="s">
        <v>450</v>
      </c>
    </row>
    <row r="1031" spans="1:2" x14ac:dyDescent="0.25">
      <c r="A1031" s="138" t="s">
        <v>6194</v>
      </c>
      <c r="B1031" s="138" t="s">
        <v>450</v>
      </c>
    </row>
    <row r="1032" spans="1:2" x14ac:dyDescent="0.25">
      <c r="A1032" s="20" t="s">
        <v>6194</v>
      </c>
      <c r="B1032" s="20" t="s">
        <v>450</v>
      </c>
    </row>
    <row r="1033" spans="1:2" x14ac:dyDescent="0.25">
      <c r="A1033" s="138" t="s">
        <v>6194</v>
      </c>
      <c r="B1033" s="138" t="s">
        <v>450</v>
      </c>
    </row>
    <row r="1034" spans="1:2" x14ac:dyDescent="0.25">
      <c r="A1034" s="20" t="s">
        <v>6194</v>
      </c>
      <c r="B1034" s="20" t="s">
        <v>450</v>
      </c>
    </row>
    <row r="1035" spans="1:2" x14ac:dyDescent="0.25">
      <c r="A1035" s="138" t="s">
        <v>6194</v>
      </c>
      <c r="B1035" s="138" t="s">
        <v>450</v>
      </c>
    </row>
    <row r="1036" spans="1:2" x14ac:dyDescent="0.25">
      <c r="A1036" s="20">
        <v>151</v>
      </c>
      <c r="B1036" s="20" t="s">
        <v>1161</v>
      </c>
    </row>
    <row r="1037" spans="1:2" x14ac:dyDescent="0.25">
      <c r="A1037" s="138">
        <v>151</v>
      </c>
      <c r="B1037" s="138" t="s">
        <v>1161</v>
      </c>
    </row>
    <row r="1038" spans="1:2" x14ac:dyDescent="0.25">
      <c r="A1038" s="20">
        <v>151</v>
      </c>
      <c r="B1038" s="20" t="s">
        <v>1161</v>
      </c>
    </row>
    <row r="1039" spans="1:2" x14ac:dyDescent="0.25">
      <c r="A1039" s="138">
        <v>151</v>
      </c>
      <c r="B1039" s="138" t="s">
        <v>1161</v>
      </c>
    </row>
    <row r="1040" spans="1:2" x14ac:dyDescent="0.25">
      <c r="A1040" s="20">
        <v>151</v>
      </c>
      <c r="B1040" s="20" t="s">
        <v>1161</v>
      </c>
    </row>
    <row r="1041" spans="1:2" x14ac:dyDescent="0.25">
      <c r="A1041" s="138">
        <v>151</v>
      </c>
      <c r="B1041" s="138" t="s">
        <v>1161</v>
      </c>
    </row>
    <row r="1042" spans="1:2" x14ac:dyDescent="0.25">
      <c r="A1042" s="20">
        <v>151</v>
      </c>
      <c r="B1042" s="20" t="s">
        <v>1161</v>
      </c>
    </row>
    <row r="1043" spans="1:2" x14ac:dyDescent="0.25">
      <c r="A1043" s="138">
        <v>151</v>
      </c>
      <c r="B1043" s="138" t="s">
        <v>1161</v>
      </c>
    </row>
    <row r="1044" spans="1:2" x14ac:dyDescent="0.25">
      <c r="A1044" s="20">
        <v>151</v>
      </c>
      <c r="B1044" s="20" t="s">
        <v>1161</v>
      </c>
    </row>
    <row r="1045" spans="1:2" x14ac:dyDescent="0.25">
      <c r="A1045" s="138">
        <v>151</v>
      </c>
      <c r="B1045" s="138" t="s">
        <v>1161</v>
      </c>
    </row>
    <row r="1046" spans="1:2" x14ac:dyDescent="0.25">
      <c r="A1046" s="20">
        <v>151</v>
      </c>
      <c r="B1046" s="20" t="s">
        <v>1161</v>
      </c>
    </row>
    <row r="1047" spans="1:2" x14ac:dyDescent="0.25">
      <c r="A1047" s="138">
        <v>151</v>
      </c>
      <c r="B1047" s="138" t="s">
        <v>1161</v>
      </c>
    </row>
    <row r="1048" spans="1:2" x14ac:dyDescent="0.25">
      <c r="A1048" s="20">
        <v>151</v>
      </c>
      <c r="B1048" s="20" t="s">
        <v>1161</v>
      </c>
    </row>
    <row r="1049" spans="1:2" x14ac:dyDescent="0.25">
      <c r="A1049" s="138">
        <v>151</v>
      </c>
      <c r="B1049" s="138" t="s">
        <v>1161</v>
      </c>
    </row>
    <row r="1050" spans="1:2" x14ac:dyDescent="0.25">
      <c r="A1050" s="20">
        <v>151</v>
      </c>
      <c r="B1050" s="20" t="s">
        <v>1161</v>
      </c>
    </row>
    <row r="1051" spans="1:2" x14ac:dyDescent="0.25">
      <c r="A1051" s="138">
        <v>151</v>
      </c>
      <c r="B1051" s="138" t="s">
        <v>1161</v>
      </c>
    </row>
    <row r="1052" spans="1:2" x14ac:dyDescent="0.25">
      <c r="A1052" s="20">
        <v>151</v>
      </c>
      <c r="B1052" s="20" t="s">
        <v>1161</v>
      </c>
    </row>
    <row r="1053" spans="1:2" x14ac:dyDescent="0.25">
      <c r="A1053" s="138">
        <v>151</v>
      </c>
      <c r="B1053" s="138" t="s">
        <v>1161</v>
      </c>
    </row>
    <row r="1054" spans="1:2" x14ac:dyDescent="0.25">
      <c r="A1054" s="20">
        <v>151</v>
      </c>
      <c r="B1054" s="20" t="s">
        <v>1161</v>
      </c>
    </row>
    <row r="1055" spans="1:2" x14ac:dyDescent="0.25">
      <c r="A1055" s="138">
        <v>96</v>
      </c>
      <c r="B1055" s="138" t="s">
        <v>1403</v>
      </c>
    </row>
    <row r="1056" spans="1:2" x14ac:dyDescent="0.25">
      <c r="A1056" s="20">
        <v>96</v>
      </c>
      <c r="B1056" s="20" t="s">
        <v>1403</v>
      </c>
    </row>
    <row r="1057" spans="1:2" x14ac:dyDescent="0.25">
      <c r="A1057" s="138">
        <v>96</v>
      </c>
      <c r="B1057" s="138" t="s">
        <v>1403</v>
      </c>
    </row>
    <row r="1058" spans="1:2" x14ac:dyDescent="0.25">
      <c r="A1058" s="20">
        <v>96</v>
      </c>
      <c r="B1058" s="20" t="s">
        <v>1403</v>
      </c>
    </row>
    <row r="1059" spans="1:2" x14ac:dyDescent="0.25">
      <c r="A1059" s="138">
        <v>96</v>
      </c>
      <c r="B1059" s="138" t="s">
        <v>1403</v>
      </c>
    </row>
    <row r="1060" spans="1:2" x14ac:dyDescent="0.25">
      <c r="A1060" s="20">
        <v>96</v>
      </c>
      <c r="B1060" s="20" t="s">
        <v>1403</v>
      </c>
    </row>
    <row r="1061" spans="1:2" x14ac:dyDescent="0.25">
      <c r="A1061" s="138">
        <v>96</v>
      </c>
      <c r="B1061" s="138" t="s">
        <v>491</v>
      </c>
    </row>
    <row r="1062" spans="1:2" x14ac:dyDescent="0.25">
      <c r="A1062" s="20">
        <v>96</v>
      </c>
      <c r="B1062" s="20" t="s">
        <v>491</v>
      </c>
    </row>
    <row r="1063" spans="1:2" x14ac:dyDescent="0.25">
      <c r="A1063" s="138">
        <v>96</v>
      </c>
      <c r="B1063" s="138" t="s">
        <v>491</v>
      </c>
    </row>
    <row r="1064" spans="1:2" x14ac:dyDescent="0.25">
      <c r="A1064" s="20">
        <v>96</v>
      </c>
      <c r="B1064" s="20" t="s">
        <v>491</v>
      </c>
    </row>
    <row r="1065" spans="1:2" x14ac:dyDescent="0.25">
      <c r="A1065" s="138">
        <v>96</v>
      </c>
      <c r="B1065" s="138" t="s">
        <v>491</v>
      </c>
    </row>
    <row r="1066" spans="1:2" x14ac:dyDescent="0.25">
      <c r="A1066" s="20">
        <v>96</v>
      </c>
      <c r="B1066" s="20" t="s">
        <v>491</v>
      </c>
    </row>
    <row r="1067" spans="1:2" x14ac:dyDescent="0.25">
      <c r="A1067" s="138">
        <v>96</v>
      </c>
      <c r="B1067" s="138" t="s">
        <v>491</v>
      </c>
    </row>
    <row r="1068" spans="1:2" x14ac:dyDescent="0.25">
      <c r="A1068" s="20">
        <v>16</v>
      </c>
      <c r="B1068" s="20" t="s">
        <v>5254</v>
      </c>
    </row>
    <row r="1069" spans="1:2" x14ac:dyDescent="0.25">
      <c r="A1069" s="20" t="s">
        <v>6256</v>
      </c>
      <c r="B1069" s="20" t="s">
        <v>1520</v>
      </c>
    </row>
    <row r="1070" spans="1:2" x14ac:dyDescent="0.25">
      <c r="A1070" s="138" t="s">
        <v>6256</v>
      </c>
      <c r="B1070" s="138" t="s">
        <v>1520</v>
      </c>
    </row>
    <row r="1071" spans="1:2" x14ac:dyDescent="0.25">
      <c r="A1071" s="20" t="s">
        <v>6256</v>
      </c>
      <c r="B1071" s="20" t="s">
        <v>1520</v>
      </c>
    </row>
    <row r="1072" spans="1:2" x14ac:dyDescent="0.25">
      <c r="A1072" s="138" t="s">
        <v>6256</v>
      </c>
      <c r="B1072" s="138" t="s">
        <v>1520</v>
      </c>
    </row>
    <row r="1073" spans="1:2" x14ac:dyDescent="0.25">
      <c r="A1073" s="20" t="s">
        <v>6256</v>
      </c>
      <c r="B1073" s="20" t="s">
        <v>1520</v>
      </c>
    </row>
    <row r="1074" spans="1:2" x14ac:dyDescent="0.25">
      <c r="A1074" s="138" t="s">
        <v>6256</v>
      </c>
      <c r="B1074" s="138" t="s">
        <v>1520</v>
      </c>
    </row>
    <row r="1075" spans="1:2" x14ac:dyDescent="0.25">
      <c r="A1075" s="20" t="s">
        <v>6256</v>
      </c>
      <c r="B1075" s="20" t="s">
        <v>1520</v>
      </c>
    </row>
    <row r="1076" spans="1:2" x14ac:dyDescent="0.25">
      <c r="A1076" s="138">
        <v>31</v>
      </c>
      <c r="B1076" s="138" t="s">
        <v>500</v>
      </c>
    </row>
    <row r="1077" spans="1:2" x14ac:dyDescent="0.25">
      <c r="A1077" s="20">
        <v>16</v>
      </c>
      <c r="B1077" s="20" t="s">
        <v>6218</v>
      </c>
    </row>
    <row r="1078" spans="1:2" x14ac:dyDescent="0.25">
      <c r="A1078" s="138" t="s">
        <v>6218</v>
      </c>
      <c r="B1078" s="138" t="s">
        <v>6218</v>
      </c>
    </row>
    <row r="1079" spans="1:2" x14ac:dyDescent="0.25">
      <c r="A1079" s="20" t="s">
        <v>6218</v>
      </c>
      <c r="B1079" s="20" t="s">
        <v>6218</v>
      </c>
    </row>
    <row r="1080" spans="1:2" x14ac:dyDescent="0.25">
      <c r="A1080" s="138" t="s">
        <v>6218</v>
      </c>
      <c r="B1080" s="138" t="s">
        <v>6218</v>
      </c>
    </row>
    <row r="1081" spans="1:2" x14ac:dyDescent="0.25">
      <c r="A1081" s="138" t="s">
        <v>6218</v>
      </c>
      <c r="B1081" s="138" t="s">
        <v>6218</v>
      </c>
    </row>
    <row r="1082" spans="1:2" x14ac:dyDescent="0.25">
      <c r="A1082" s="138" t="s">
        <v>6218</v>
      </c>
      <c r="B1082" s="138" t="s">
        <v>6218</v>
      </c>
    </row>
    <row r="1083" spans="1:2" x14ac:dyDescent="0.25">
      <c r="A1083" s="20" t="s">
        <v>6218</v>
      </c>
      <c r="B1083" s="20" t="s">
        <v>6218</v>
      </c>
    </row>
    <row r="1084" spans="1:2" x14ac:dyDescent="0.25">
      <c r="A1084" s="138" t="s">
        <v>6218</v>
      </c>
      <c r="B1084" s="138" t="s">
        <v>6218</v>
      </c>
    </row>
    <row r="1085" spans="1:2" x14ac:dyDescent="0.25">
      <c r="A1085" s="138" t="s">
        <v>6218</v>
      </c>
      <c r="B1085" s="138" t="s">
        <v>6218</v>
      </c>
    </row>
    <row r="1086" spans="1:2" x14ac:dyDescent="0.25">
      <c r="A1086" s="138" t="s">
        <v>6218</v>
      </c>
      <c r="B1086" s="138" t="s">
        <v>6218</v>
      </c>
    </row>
    <row r="1087" spans="1:2" x14ac:dyDescent="0.25">
      <c r="A1087" s="138" t="s">
        <v>6218</v>
      </c>
      <c r="B1087" s="138" t="s">
        <v>6218</v>
      </c>
    </row>
    <row r="1088" spans="1:2" x14ac:dyDescent="0.25">
      <c r="A1088" s="20" t="s">
        <v>6218</v>
      </c>
      <c r="B1088" s="20" t="s">
        <v>6218</v>
      </c>
    </row>
    <row r="1089" spans="1:2" x14ac:dyDescent="0.25">
      <c r="A1089" s="20" t="s">
        <v>6218</v>
      </c>
      <c r="B1089" s="20" t="s">
        <v>6218</v>
      </c>
    </row>
    <row r="1090" spans="1:2" x14ac:dyDescent="0.25">
      <c r="A1090" s="20" t="s">
        <v>6218</v>
      </c>
      <c r="B1090" s="20" t="s">
        <v>6218</v>
      </c>
    </row>
    <row r="1091" spans="1:2" x14ac:dyDescent="0.25">
      <c r="A1091" s="138" t="s">
        <v>6218</v>
      </c>
      <c r="B1091" s="138" t="s">
        <v>6218</v>
      </c>
    </row>
    <row r="1092" spans="1:2" x14ac:dyDescent="0.25">
      <c r="A1092" s="20">
        <v>252</v>
      </c>
      <c r="B1092" s="20" t="s">
        <v>615</v>
      </c>
    </row>
    <row r="1093" spans="1:2" x14ac:dyDescent="0.25">
      <c r="A1093" s="138">
        <v>252</v>
      </c>
      <c r="B1093" s="138" t="s">
        <v>615</v>
      </c>
    </row>
    <row r="1094" spans="1:2" x14ac:dyDescent="0.25">
      <c r="A1094" s="20">
        <v>23</v>
      </c>
      <c r="B1094" s="20">
        <v>275</v>
      </c>
    </row>
    <row r="1095" spans="1:2" x14ac:dyDescent="0.25">
      <c r="A1095" s="138">
        <v>23</v>
      </c>
      <c r="B1095" s="138">
        <v>275</v>
      </c>
    </row>
    <row r="1096" spans="1:2" x14ac:dyDescent="0.25">
      <c r="A1096" s="20" t="s">
        <v>6218</v>
      </c>
      <c r="B1096" s="20" t="s">
        <v>6218</v>
      </c>
    </row>
    <row r="1097" spans="1:2" x14ac:dyDescent="0.25">
      <c r="A1097" s="138" t="s">
        <v>6218</v>
      </c>
      <c r="B1097" s="138" t="s">
        <v>6218</v>
      </c>
    </row>
    <row r="1098" spans="1:2" x14ac:dyDescent="0.25">
      <c r="A1098" s="20" t="s">
        <v>6218</v>
      </c>
      <c r="B1098" s="20" t="s">
        <v>6218</v>
      </c>
    </row>
    <row r="1099" spans="1:2" x14ac:dyDescent="0.25">
      <c r="A1099" s="138" t="s">
        <v>6218</v>
      </c>
      <c r="B1099" s="138" t="s">
        <v>6218</v>
      </c>
    </row>
    <row r="1100" spans="1:2" x14ac:dyDescent="0.25">
      <c r="A1100" s="20" t="s">
        <v>6218</v>
      </c>
      <c r="B1100" s="20" t="s">
        <v>6218</v>
      </c>
    </row>
    <row r="1101" spans="1:2" x14ac:dyDescent="0.25">
      <c r="A1101" s="138" t="s">
        <v>6218</v>
      </c>
      <c r="B1101" s="138" t="s">
        <v>6218</v>
      </c>
    </row>
    <row r="1102" spans="1:2" x14ac:dyDescent="0.25">
      <c r="A1102" s="20" t="s">
        <v>6218</v>
      </c>
      <c r="B1102" s="20" t="s">
        <v>6218</v>
      </c>
    </row>
    <row r="1103" spans="1:2" x14ac:dyDescent="0.25">
      <c r="A1103" s="138" t="s">
        <v>6218</v>
      </c>
      <c r="B1103" s="138" t="s">
        <v>6218</v>
      </c>
    </row>
    <row r="1104" spans="1:2" x14ac:dyDescent="0.25">
      <c r="A1104" s="20" t="s">
        <v>6218</v>
      </c>
      <c r="B1104" s="20" t="s">
        <v>6218</v>
      </c>
    </row>
    <row r="1105" spans="1:2" x14ac:dyDescent="0.25">
      <c r="A1105" s="138" t="s">
        <v>6218</v>
      </c>
      <c r="B1105" s="138" t="s">
        <v>6218</v>
      </c>
    </row>
    <row r="1106" spans="1:2" x14ac:dyDescent="0.25">
      <c r="A1106" s="20" t="s">
        <v>6218</v>
      </c>
      <c r="B1106" s="20" t="s">
        <v>6218</v>
      </c>
    </row>
    <row r="1107" spans="1:2" x14ac:dyDescent="0.25">
      <c r="A1107" s="138" t="s">
        <v>6218</v>
      </c>
      <c r="B1107" s="138" t="s">
        <v>6218</v>
      </c>
    </row>
    <row r="1108" spans="1:2" x14ac:dyDescent="0.25">
      <c r="A1108" s="20" t="s">
        <v>6218</v>
      </c>
      <c r="B1108" s="20" t="s">
        <v>6218</v>
      </c>
    </row>
    <row r="1109" spans="1:2" x14ac:dyDescent="0.25">
      <c r="A1109" s="138" t="s">
        <v>6218</v>
      </c>
      <c r="B1109" s="138" t="s">
        <v>6218</v>
      </c>
    </row>
    <row r="1110" spans="1:2" x14ac:dyDescent="0.25">
      <c r="A1110" s="20" t="s">
        <v>6218</v>
      </c>
      <c r="B1110" s="20" t="s">
        <v>6218</v>
      </c>
    </row>
    <row r="1111" spans="1:2" x14ac:dyDescent="0.25">
      <c r="A1111" s="138" t="s">
        <v>6218</v>
      </c>
      <c r="B1111" s="138" t="s">
        <v>6218</v>
      </c>
    </row>
    <row r="1112" spans="1:2" x14ac:dyDescent="0.25">
      <c r="A1112" s="20" t="s">
        <v>6218</v>
      </c>
      <c r="B1112" s="20" t="s">
        <v>6218</v>
      </c>
    </row>
    <row r="1113" spans="1:2" x14ac:dyDescent="0.25">
      <c r="A1113" s="138" t="s">
        <v>6218</v>
      </c>
      <c r="B1113" s="138" t="s">
        <v>6218</v>
      </c>
    </row>
    <row r="1114" spans="1:2" x14ac:dyDescent="0.25">
      <c r="A1114" s="20" t="s">
        <v>6218</v>
      </c>
      <c r="B1114" s="20" t="s">
        <v>6218</v>
      </c>
    </row>
    <row r="1115" spans="1:2" x14ac:dyDescent="0.25">
      <c r="A1115" s="138" t="s">
        <v>6218</v>
      </c>
      <c r="B1115" s="138" t="s">
        <v>6218</v>
      </c>
    </row>
    <row r="1116" spans="1:2" x14ac:dyDescent="0.25">
      <c r="A1116" s="20" t="s">
        <v>6218</v>
      </c>
      <c r="B1116" s="20" t="s">
        <v>6218</v>
      </c>
    </row>
    <row r="1117" spans="1:2" x14ac:dyDescent="0.25">
      <c r="A1117" s="138" t="s">
        <v>6218</v>
      </c>
      <c r="B1117" s="138" t="s">
        <v>6218</v>
      </c>
    </row>
    <row r="1118" spans="1:2" x14ac:dyDescent="0.25">
      <c r="A1118" s="20" t="s">
        <v>6218</v>
      </c>
      <c r="B1118" s="20" t="s">
        <v>6218</v>
      </c>
    </row>
    <row r="1119" spans="1:2" x14ac:dyDescent="0.25">
      <c r="A1119" s="138" t="s">
        <v>6218</v>
      </c>
      <c r="B1119" s="138" t="s">
        <v>6218</v>
      </c>
    </row>
    <row r="1120" spans="1:2" x14ac:dyDescent="0.25">
      <c r="A1120" s="20" t="s">
        <v>6218</v>
      </c>
      <c r="B1120" s="20" t="s">
        <v>6218</v>
      </c>
    </row>
    <row r="1121" spans="1:2" x14ac:dyDescent="0.25">
      <c r="A1121" s="138" t="s">
        <v>6218</v>
      </c>
      <c r="B1121" s="138" t="s">
        <v>6218</v>
      </c>
    </row>
    <row r="1122" spans="1:2" x14ac:dyDescent="0.25">
      <c r="A1122" s="20" t="s">
        <v>6218</v>
      </c>
      <c r="B1122" s="20" t="s">
        <v>6218</v>
      </c>
    </row>
    <row r="1123" spans="1:2" x14ac:dyDescent="0.25">
      <c r="A1123" s="138" t="s">
        <v>6218</v>
      </c>
      <c r="B1123" s="138" t="s">
        <v>6218</v>
      </c>
    </row>
    <row r="1124" spans="1:2" x14ac:dyDescent="0.25">
      <c r="A1124" s="20" t="s">
        <v>6218</v>
      </c>
      <c r="B1124" s="20" t="s">
        <v>6218</v>
      </c>
    </row>
    <row r="1125" spans="1:2" x14ac:dyDescent="0.25">
      <c r="A1125" s="138" t="s">
        <v>6218</v>
      </c>
      <c r="B1125" s="138" t="s">
        <v>6218</v>
      </c>
    </row>
    <row r="1126" spans="1:2" x14ac:dyDescent="0.25">
      <c r="A1126" s="20" t="s">
        <v>6218</v>
      </c>
      <c r="B1126" s="20" t="s">
        <v>6218</v>
      </c>
    </row>
    <row r="1127" spans="1:2" x14ac:dyDescent="0.25">
      <c r="A1127" s="138" t="s">
        <v>6218</v>
      </c>
      <c r="B1127" s="138" t="s">
        <v>6218</v>
      </c>
    </row>
    <row r="1128" spans="1:2" x14ac:dyDescent="0.25">
      <c r="A1128" s="20" t="s">
        <v>6218</v>
      </c>
      <c r="B1128" s="20" t="s">
        <v>6218</v>
      </c>
    </row>
    <row r="1129" spans="1:2" x14ac:dyDescent="0.25">
      <c r="A1129" s="138" t="s">
        <v>6218</v>
      </c>
      <c r="B1129" s="138" t="s">
        <v>6218</v>
      </c>
    </row>
    <row r="1130" spans="1:2" x14ac:dyDescent="0.25">
      <c r="A1130" s="20" t="s">
        <v>6218</v>
      </c>
      <c r="B1130" s="20" t="s">
        <v>6218</v>
      </c>
    </row>
    <row r="1131" spans="1:2" x14ac:dyDescent="0.25">
      <c r="A1131" s="138" t="s">
        <v>6218</v>
      </c>
      <c r="B1131" s="138" t="s">
        <v>6218</v>
      </c>
    </row>
    <row r="1132" spans="1:2" x14ac:dyDescent="0.25">
      <c r="A1132" s="20" t="s">
        <v>6218</v>
      </c>
      <c r="B1132" s="20" t="s">
        <v>6218</v>
      </c>
    </row>
    <row r="1133" spans="1:2" x14ac:dyDescent="0.25">
      <c r="A1133" s="138" t="s">
        <v>6218</v>
      </c>
      <c r="B1133" s="138" t="s">
        <v>6218</v>
      </c>
    </row>
    <row r="1134" spans="1:2" x14ac:dyDescent="0.25">
      <c r="A1134" s="20" t="s">
        <v>6218</v>
      </c>
      <c r="B1134" s="20" t="s">
        <v>6218</v>
      </c>
    </row>
    <row r="1135" spans="1:2" x14ac:dyDescent="0.25">
      <c r="A1135" s="138" t="s">
        <v>6218</v>
      </c>
      <c r="B1135" s="138" t="s">
        <v>6218</v>
      </c>
    </row>
    <row r="1136" spans="1:2" x14ac:dyDescent="0.25">
      <c r="A1136" s="20" t="s">
        <v>6218</v>
      </c>
      <c r="B1136" s="20" t="s">
        <v>6218</v>
      </c>
    </row>
    <row r="1137" spans="1:2" x14ac:dyDescent="0.25">
      <c r="A1137" s="138" t="s">
        <v>6218</v>
      </c>
      <c r="B1137" s="138" t="s">
        <v>6218</v>
      </c>
    </row>
    <row r="1138" spans="1:2" x14ac:dyDescent="0.25">
      <c r="A1138" s="20" t="s">
        <v>6218</v>
      </c>
      <c r="B1138" s="20" t="s">
        <v>6218</v>
      </c>
    </row>
    <row r="1139" spans="1:2" x14ac:dyDescent="0.25">
      <c r="A1139" s="138" t="s">
        <v>6218</v>
      </c>
      <c r="B1139" s="138" t="s">
        <v>6218</v>
      </c>
    </row>
    <row r="1140" spans="1:2" x14ac:dyDescent="0.25">
      <c r="A1140" s="20" t="s">
        <v>6218</v>
      </c>
      <c r="B1140" s="20" t="s">
        <v>6218</v>
      </c>
    </row>
    <row r="1141" spans="1:2" x14ac:dyDescent="0.25">
      <c r="A1141" s="138" t="s">
        <v>6218</v>
      </c>
      <c r="B1141" s="138" t="s">
        <v>6218</v>
      </c>
    </row>
    <row r="1142" spans="1:2" x14ac:dyDescent="0.25">
      <c r="A1142" s="20" t="s">
        <v>6218</v>
      </c>
      <c r="B1142" s="20" t="s">
        <v>6218</v>
      </c>
    </row>
    <row r="1143" spans="1:2" x14ac:dyDescent="0.25">
      <c r="A1143" s="138" t="s">
        <v>6218</v>
      </c>
      <c r="B1143" s="138" t="s">
        <v>6218</v>
      </c>
    </row>
    <row r="1144" spans="1:2" x14ac:dyDescent="0.25">
      <c r="A1144" s="20" t="s">
        <v>6218</v>
      </c>
      <c r="B1144" s="20" t="s">
        <v>6218</v>
      </c>
    </row>
    <row r="1145" spans="1:2" x14ac:dyDescent="0.25">
      <c r="A1145" s="138" t="s">
        <v>6218</v>
      </c>
      <c r="B1145" s="138" t="s">
        <v>6218</v>
      </c>
    </row>
    <row r="1146" spans="1:2" x14ac:dyDescent="0.25">
      <c r="A1146" s="20" t="s">
        <v>6218</v>
      </c>
      <c r="B1146" s="20" t="s">
        <v>6218</v>
      </c>
    </row>
    <row r="1147" spans="1:2" x14ac:dyDescent="0.25">
      <c r="A1147" s="138" t="s">
        <v>6218</v>
      </c>
      <c r="B1147" s="138" t="s">
        <v>6218</v>
      </c>
    </row>
    <row r="1148" spans="1:2" x14ac:dyDescent="0.25">
      <c r="A1148" s="20" t="s">
        <v>6218</v>
      </c>
      <c r="B1148" s="20" t="s">
        <v>6218</v>
      </c>
    </row>
    <row r="1149" spans="1:2" x14ac:dyDescent="0.25">
      <c r="A1149" s="138" t="s">
        <v>6218</v>
      </c>
      <c r="B1149" s="138" t="s">
        <v>6218</v>
      </c>
    </row>
    <row r="1150" spans="1:2" x14ac:dyDescent="0.25">
      <c r="A1150" s="20" t="s">
        <v>6218</v>
      </c>
      <c r="B1150" s="20" t="s">
        <v>6218</v>
      </c>
    </row>
    <row r="1151" spans="1:2" x14ac:dyDescent="0.25">
      <c r="A1151" s="138" t="s">
        <v>6218</v>
      </c>
      <c r="B1151" s="138" t="s">
        <v>6218</v>
      </c>
    </row>
    <row r="1152" spans="1:2" x14ac:dyDescent="0.25">
      <c r="A1152" s="20" t="s">
        <v>6218</v>
      </c>
      <c r="B1152" s="20" t="s">
        <v>6218</v>
      </c>
    </row>
    <row r="1153" spans="1:2" x14ac:dyDescent="0.25">
      <c r="A1153" s="138" t="s">
        <v>6218</v>
      </c>
      <c r="B1153" s="138" t="s">
        <v>6218</v>
      </c>
    </row>
    <row r="1154" spans="1:2" x14ac:dyDescent="0.25">
      <c r="A1154" s="20" t="s">
        <v>6218</v>
      </c>
      <c r="B1154" s="20" t="s">
        <v>6218</v>
      </c>
    </row>
    <row r="1155" spans="1:2" x14ac:dyDescent="0.25">
      <c r="A1155" s="138" t="s">
        <v>6218</v>
      </c>
      <c r="B1155" s="138" t="s">
        <v>6218</v>
      </c>
    </row>
    <row r="1156" spans="1:2" x14ac:dyDescent="0.25">
      <c r="A1156" s="20" t="s">
        <v>6218</v>
      </c>
      <c r="B1156" s="20" t="s">
        <v>6218</v>
      </c>
    </row>
    <row r="1157" spans="1:2" x14ac:dyDescent="0.25">
      <c r="A1157" s="138" t="s">
        <v>6218</v>
      </c>
      <c r="B1157" s="138" t="s">
        <v>6218</v>
      </c>
    </row>
    <row r="1158" spans="1:2" x14ac:dyDescent="0.25">
      <c r="A1158" s="20" t="s">
        <v>6218</v>
      </c>
      <c r="B1158" s="20" t="s">
        <v>6218</v>
      </c>
    </row>
    <row r="1159" spans="1:2" x14ac:dyDescent="0.25">
      <c r="A1159" s="138" t="s">
        <v>6218</v>
      </c>
      <c r="B1159" s="138" t="s">
        <v>6218</v>
      </c>
    </row>
    <row r="1160" spans="1:2" x14ac:dyDescent="0.25">
      <c r="A1160" s="20" t="s">
        <v>6218</v>
      </c>
      <c r="B1160" s="20" t="s">
        <v>6218</v>
      </c>
    </row>
    <row r="1161" spans="1:2" x14ac:dyDescent="0.25">
      <c r="A1161" s="138" t="s">
        <v>6218</v>
      </c>
      <c r="B1161" s="138" t="s">
        <v>6218</v>
      </c>
    </row>
    <row r="1162" spans="1:2" x14ac:dyDescent="0.25">
      <c r="A1162" s="20" t="s">
        <v>6218</v>
      </c>
      <c r="B1162" s="20" t="s">
        <v>6218</v>
      </c>
    </row>
    <row r="1163" spans="1:2" x14ac:dyDescent="0.25">
      <c r="A1163" s="138" t="s">
        <v>6218</v>
      </c>
      <c r="B1163" s="138" t="s">
        <v>6218</v>
      </c>
    </row>
    <row r="1164" spans="1:2" x14ac:dyDescent="0.25">
      <c r="A1164" s="20" t="s">
        <v>6218</v>
      </c>
      <c r="B1164" s="20" t="s">
        <v>6218</v>
      </c>
    </row>
    <row r="1165" spans="1:2" x14ac:dyDescent="0.25">
      <c r="A1165" s="138" t="s">
        <v>6218</v>
      </c>
      <c r="B1165" s="138" t="s">
        <v>6218</v>
      </c>
    </row>
    <row r="1166" spans="1:2" x14ac:dyDescent="0.25">
      <c r="A1166" s="20" t="s">
        <v>6218</v>
      </c>
      <c r="B1166" s="20" t="s">
        <v>6218</v>
      </c>
    </row>
    <row r="1167" spans="1:2" x14ac:dyDescent="0.25">
      <c r="A1167" s="138" t="s">
        <v>6218</v>
      </c>
      <c r="B1167" s="138" t="s">
        <v>6218</v>
      </c>
    </row>
    <row r="1168" spans="1:2" x14ac:dyDescent="0.25">
      <c r="A1168" s="20" t="s">
        <v>6218</v>
      </c>
      <c r="B1168" s="20" t="s">
        <v>6218</v>
      </c>
    </row>
    <row r="1169" spans="1:2" x14ac:dyDescent="0.25">
      <c r="A1169" s="138" t="s">
        <v>6218</v>
      </c>
      <c r="B1169" s="138" t="s">
        <v>6218</v>
      </c>
    </row>
    <row r="1170" spans="1:2" x14ac:dyDescent="0.25">
      <c r="A1170" s="20" t="s">
        <v>6218</v>
      </c>
      <c r="B1170" s="20" t="s">
        <v>6218</v>
      </c>
    </row>
    <row r="1171" spans="1:2" x14ac:dyDescent="0.25">
      <c r="A1171" s="138" t="s">
        <v>6218</v>
      </c>
      <c r="B1171" s="138" t="s">
        <v>6218</v>
      </c>
    </row>
    <row r="1172" spans="1:2" x14ac:dyDescent="0.25">
      <c r="A1172" s="20" t="s">
        <v>6218</v>
      </c>
      <c r="B1172" s="20" t="s">
        <v>6218</v>
      </c>
    </row>
    <row r="1173" spans="1:2" x14ac:dyDescent="0.25">
      <c r="A1173" s="138" t="s">
        <v>6218</v>
      </c>
      <c r="B1173" s="138" t="s">
        <v>6218</v>
      </c>
    </row>
    <row r="1174" spans="1:2" x14ac:dyDescent="0.25">
      <c r="A1174" s="20" t="s">
        <v>6218</v>
      </c>
      <c r="B1174" s="20" t="s">
        <v>6218</v>
      </c>
    </row>
    <row r="1175" spans="1:2" x14ac:dyDescent="0.25">
      <c r="A1175" s="138" t="s">
        <v>6218</v>
      </c>
      <c r="B1175" s="138" t="s">
        <v>6218</v>
      </c>
    </row>
    <row r="1176" spans="1:2" x14ac:dyDescent="0.25">
      <c r="A1176" s="20" t="s">
        <v>6218</v>
      </c>
      <c r="B1176" s="20" t="s">
        <v>6218</v>
      </c>
    </row>
    <row r="1177" spans="1:2" x14ac:dyDescent="0.25">
      <c r="A1177" s="138" t="s">
        <v>6218</v>
      </c>
      <c r="B1177" s="138" t="s">
        <v>6218</v>
      </c>
    </row>
    <row r="1178" spans="1:2" x14ac:dyDescent="0.25">
      <c r="A1178" s="20" t="s">
        <v>6218</v>
      </c>
      <c r="B1178" s="20" t="s">
        <v>6218</v>
      </c>
    </row>
    <row r="1179" spans="1:2" x14ac:dyDescent="0.25">
      <c r="A1179" s="138" t="s">
        <v>6235</v>
      </c>
      <c r="B1179" s="138" t="s">
        <v>1548</v>
      </c>
    </row>
    <row r="1180" spans="1:2" x14ac:dyDescent="0.25">
      <c r="A1180" s="20">
        <v>115</v>
      </c>
      <c r="B1180" s="20" t="s">
        <v>2003</v>
      </c>
    </row>
    <row r="1181" spans="1:2" x14ac:dyDescent="0.25">
      <c r="A1181" s="138">
        <v>115</v>
      </c>
      <c r="B1181" s="138" t="s">
        <v>2003</v>
      </c>
    </row>
    <row r="1182" spans="1:2" x14ac:dyDescent="0.25">
      <c r="A1182" s="20">
        <v>115</v>
      </c>
      <c r="B1182" s="20" t="s">
        <v>2003</v>
      </c>
    </row>
    <row r="1183" spans="1:2" x14ac:dyDescent="0.25">
      <c r="A1183" s="20">
        <v>115</v>
      </c>
      <c r="B1183" s="20" t="s">
        <v>2003</v>
      </c>
    </row>
    <row r="1184" spans="1:2" x14ac:dyDescent="0.25">
      <c r="A1184" s="138">
        <v>115</v>
      </c>
      <c r="B1184" s="138" t="s">
        <v>2003</v>
      </c>
    </row>
    <row r="1185" spans="1:2" x14ac:dyDescent="0.25">
      <c r="A1185" s="20">
        <v>115</v>
      </c>
      <c r="B1185" s="20" t="s">
        <v>2003</v>
      </c>
    </row>
    <row r="1186" spans="1:2" x14ac:dyDescent="0.25">
      <c r="A1186" s="138">
        <v>115</v>
      </c>
      <c r="B1186" s="138" t="s">
        <v>2003</v>
      </c>
    </row>
    <row r="1187" spans="1:2" x14ac:dyDescent="0.25">
      <c r="A1187" s="20">
        <v>115</v>
      </c>
      <c r="B1187" s="20" t="s">
        <v>2003</v>
      </c>
    </row>
    <row r="1188" spans="1:2" x14ac:dyDescent="0.25">
      <c r="A1188" s="138">
        <v>115</v>
      </c>
      <c r="B1188" s="138" t="s">
        <v>2003</v>
      </c>
    </row>
    <row r="1189" spans="1:2" x14ac:dyDescent="0.25">
      <c r="A1189" s="20">
        <v>115</v>
      </c>
      <c r="B1189" s="20" t="s">
        <v>2003</v>
      </c>
    </row>
    <row r="1190" spans="1:2" x14ac:dyDescent="0.25">
      <c r="A1190" s="138">
        <v>115</v>
      </c>
      <c r="B1190" s="138" t="s">
        <v>2003</v>
      </c>
    </row>
    <row r="1191" spans="1:2" x14ac:dyDescent="0.25">
      <c r="A1191" s="20">
        <v>115</v>
      </c>
      <c r="B1191" s="20" t="s">
        <v>2003</v>
      </c>
    </row>
    <row r="1192" spans="1:2" x14ac:dyDescent="0.25">
      <c r="A1192" s="138">
        <v>115</v>
      </c>
      <c r="B1192" s="138" t="s">
        <v>2003</v>
      </c>
    </row>
    <row r="1193" spans="1:2" x14ac:dyDescent="0.25">
      <c r="A1193" s="20">
        <v>115</v>
      </c>
      <c r="B1193" s="20" t="s">
        <v>2003</v>
      </c>
    </row>
    <row r="1194" spans="1:2" x14ac:dyDescent="0.25">
      <c r="A1194" s="138">
        <v>115</v>
      </c>
      <c r="B1194" s="138" t="s">
        <v>2003</v>
      </c>
    </row>
    <row r="1195" spans="1:2" x14ac:dyDescent="0.25">
      <c r="A1195" s="20">
        <v>115</v>
      </c>
      <c r="B1195" s="20" t="s">
        <v>2003</v>
      </c>
    </row>
    <row r="1196" spans="1:2" x14ac:dyDescent="0.25">
      <c r="A1196" s="138">
        <v>115</v>
      </c>
      <c r="B1196" s="138" t="s">
        <v>2003</v>
      </c>
    </row>
    <row r="1197" spans="1:2" x14ac:dyDescent="0.25">
      <c r="A1197" s="20">
        <v>115</v>
      </c>
      <c r="B1197" s="20" t="s">
        <v>2003</v>
      </c>
    </row>
    <row r="1198" spans="1:2" x14ac:dyDescent="0.25">
      <c r="A1198" s="138">
        <v>115</v>
      </c>
      <c r="B1198" s="138" t="s">
        <v>2003</v>
      </c>
    </row>
    <row r="1199" spans="1:2" x14ac:dyDescent="0.25">
      <c r="A1199" s="20">
        <v>115</v>
      </c>
      <c r="B1199" s="20" t="s">
        <v>2003</v>
      </c>
    </row>
    <row r="1200" spans="1:2" x14ac:dyDescent="0.25">
      <c r="A1200" s="138">
        <v>115</v>
      </c>
      <c r="B1200" s="138" t="s">
        <v>2003</v>
      </c>
    </row>
    <row r="1201" spans="1:2" x14ac:dyDescent="0.25">
      <c r="A1201" s="20">
        <v>115</v>
      </c>
      <c r="B1201" s="20" t="s">
        <v>2003</v>
      </c>
    </row>
    <row r="1202" spans="1:2" x14ac:dyDescent="0.25">
      <c r="A1202" s="138">
        <v>115</v>
      </c>
      <c r="B1202" s="138" t="s">
        <v>2003</v>
      </c>
    </row>
    <row r="1203" spans="1:2" x14ac:dyDescent="0.25">
      <c r="A1203" s="20">
        <v>115</v>
      </c>
      <c r="B1203" s="20" t="s">
        <v>2003</v>
      </c>
    </row>
    <row r="1204" spans="1:2" x14ac:dyDescent="0.25">
      <c r="A1204" s="138">
        <v>115</v>
      </c>
      <c r="B1204" s="138" t="s">
        <v>2003</v>
      </c>
    </row>
    <row r="1205" spans="1:2" x14ac:dyDescent="0.25">
      <c r="A1205" s="20">
        <v>115</v>
      </c>
      <c r="B1205" s="20" t="s">
        <v>2003</v>
      </c>
    </row>
    <row r="1206" spans="1:2" x14ac:dyDescent="0.25">
      <c r="A1206" s="138">
        <v>115</v>
      </c>
      <c r="B1206" s="138" t="s">
        <v>2003</v>
      </c>
    </row>
    <row r="1207" spans="1:2" x14ac:dyDescent="0.25">
      <c r="A1207" s="20">
        <v>115</v>
      </c>
      <c r="B1207" s="20" t="s">
        <v>2003</v>
      </c>
    </row>
    <row r="1208" spans="1:2" x14ac:dyDescent="0.25">
      <c r="A1208" s="138">
        <v>115</v>
      </c>
      <c r="B1208" s="138" t="s">
        <v>2003</v>
      </c>
    </row>
    <row r="1209" spans="1:2" x14ac:dyDescent="0.25">
      <c r="A1209" s="20">
        <v>115</v>
      </c>
      <c r="B1209" s="20" t="s">
        <v>2003</v>
      </c>
    </row>
    <row r="1210" spans="1:2" x14ac:dyDescent="0.25">
      <c r="A1210" s="138">
        <v>115</v>
      </c>
      <c r="B1210" s="138" t="s">
        <v>2003</v>
      </c>
    </row>
    <row r="1211" spans="1:2" x14ac:dyDescent="0.25">
      <c r="A1211" s="20">
        <v>115</v>
      </c>
      <c r="B1211" s="20" t="s">
        <v>2003</v>
      </c>
    </row>
    <row r="1212" spans="1:2" x14ac:dyDescent="0.25">
      <c r="A1212" s="138">
        <v>115</v>
      </c>
      <c r="B1212" s="138" t="s">
        <v>2003</v>
      </c>
    </row>
    <row r="1213" spans="1:2" x14ac:dyDescent="0.25">
      <c r="A1213" s="20">
        <v>115</v>
      </c>
      <c r="B1213" s="20" t="s">
        <v>2003</v>
      </c>
    </row>
    <row r="1214" spans="1:2" x14ac:dyDescent="0.25">
      <c r="A1214" s="138">
        <v>115</v>
      </c>
      <c r="B1214" s="138" t="s">
        <v>2003</v>
      </c>
    </row>
    <row r="1215" spans="1:2" x14ac:dyDescent="0.25">
      <c r="A1215" s="20">
        <v>115</v>
      </c>
      <c r="B1215" s="20" t="s">
        <v>2003</v>
      </c>
    </row>
    <row r="1216" spans="1:2" x14ac:dyDescent="0.25">
      <c r="A1216" s="138">
        <v>115</v>
      </c>
      <c r="B1216" s="138" t="s">
        <v>2003</v>
      </c>
    </row>
    <row r="1217" spans="1:2" x14ac:dyDescent="0.25">
      <c r="A1217" s="20">
        <v>115</v>
      </c>
      <c r="B1217" s="20" t="s">
        <v>2003</v>
      </c>
    </row>
    <row r="1218" spans="1:2" x14ac:dyDescent="0.25">
      <c r="A1218" s="138">
        <v>115</v>
      </c>
      <c r="B1218" s="138" t="s">
        <v>2003</v>
      </c>
    </row>
    <row r="1219" spans="1:2" x14ac:dyDescent="0.25">
      <c r="A1219" s="20">
        <v>115</v>
      </c>
      <c r="B1219" s="20" t="s">
        <v>2003</v>
      </c>
    </row>
    <row r="1220" spans="1:2" x14ac:dyDescent="0.25">
      <c r="A1220" s="138">
        <v>115</v>
      </c>
      <c r="B1220" s="138" t="s">
        <v>2003</v>
      </c>
    </row>
    <row r="1221" spans="1:2" x14ac:dyDescent="0.25">
      <c r="A1221" s="20">
        <v>115</v>
      </c>
      <c r="B1221" s="20" t="s">
        <v>2003</v>
      </c>
    </row>
    <row r="1222" spans="1:2" x14ac:dyDescent="0.25">
      <c r="A1222" s="138">
        <v>115</v>
      </c>
      <c r="B1222" s="138" t="s">
        <v>2003</v>
      </c>
    </row>
    <row r="1223" spans="1:2" x14ac:dyDescent="0.25">
      <c r="A1223" s="20" t="s">
        <v>6243</v>
      </c>
      <c r="B1223" s="20" t="s">
        <v>6244</v>
      </c>
    </row>
    <row r="1224" spans="1:2" x14ac:dyDescent="0.25">
      <c r="A1224" s="138" t="s">
        <v>6243</v>
      </c>
      <c r="B1224" s="138" t="s">
        <v>6244</v>
      </c>
    </row>
    <row r="1225" spans="1:2" x14ac:dyDescent="0.25">
      <c r="A1225" s="20">
        <v>199</v>
      </c>
      <c r="B1225" s="20" t="s">
        <v>1275</v>
      </c>
    </row>
    <row r="1226" spans="1:2" x14ac:dyDescent="0.25">
      <c r="A1226" s="138">
        <v>199</v>
      </c>
      <c r="B1226" s="138" t="s">
        <v>1275</v>
      </c>
    </row>
    <row r="1227" spans="1:2" x14ac:dyDescent="0.25">
      <c r="A1227" s="20">
        <v>199</v>
      </c>
      <c r="B1227" s="20" t="s">
        <v>1275</v>
      </c>
    </row>
    <row r="1228" spans="1:2" x14ac:dyDescent="0.25">
      <c r="A1228" s="138">
        <v>199</v>
      </c>
      <c r="B1228" s="138" t="s">
        <v>1275</v>
      </c>
    </row>
    <row r="1229" spans="1:2" x14ac:dyDescent="0.25">
      <c r="A1229" s="20">
        <v>199</v>
      </c>
      <c r="B1229" s="20" t="s">
        <v>1275</v>
      </c>
    </row>
    <row r="1230" spans="1:2" x14ac:dyDescent="0.25">
      <c r="A1230" s="138">
        <v>199</v>
      </c>
      <c r="B1230" s="138" t="s">
        <v>1275</v>
      </c>
    </row>
    <row r="1231" spans="1:2" x14ac:dyDescent="0.25">
      <c r="A1231" s="20">
        <v>199</v>
      </c>
      <c r="B1231" s="20" t="s">
        <v>1275</v>
      </c>
    </row>
    <row r="1232" spans="1:2" x14ac:dyDescent="0.25">
      <c r="A1232" s="138">
        <v>199</v>
      </c>
      <c r="B1232" s="138" t="s">
        <v>1275</v>
      </c>
    </row>
    <row r="1233" spans="1:2" x14ac:dyDescent="0.25">
      <c r="A1233" s="20">
        <v>199</v>
      </c>
      <c r="B1233" s="20" t="s">
        <v>1275</v>
      </c>
    </row>
    <row r="1234" spans="1:2" x14ac:dyDescent="0.25">
      <c r="A1234" s="138">
        <v>234</v>
      </c>
      <c r="B1234" s="138" t="s">
        <v>206</v>
      </c>
    </row>
    <row r="1235" spans="1:2" x14ac:dyDescent="0.25">
      <c r="A1235" s="20">
        <v>109</v>
      </c>
      <c r="B1235" s="20" t="s">
        <v>924</v>
      </c>
    </row>
    <row r="1236" spans="1:2" x14ac:dyDescent="0.25">
      <c r="A1236" s="138">
        <v>109</v>
      </c>
      <c r="B1236" s="138" t="s">
        <v>924</v>
      </c>
    </row>
    <row r="1237" spans="1:2" x14ac:dyDescent="0.25">
      <c r="A1237" s="20">
        <v>109</v>
      </c>
      <c r="B1237" s="20" t="s">
        <v>924</v>
      </c>
    </row>
    <row r="1238" spans="1:2" x14ac:dyDescent="0.25">
      <c r="A1238" s="138">
        <v>109</v>
      </c>
      <c r="B1238" s="138" t="s">
        <v>924</v>
      </c>
    </row>
    <row r="1239" spans="1:2" x14ac:dyDescent="0.25">
      <c r="A1239" s="20">
        <v>109</v>
      </c>
      <c r="B1239" s="20" t="s">
        <v>924</v>
      </c>
    </row>
    <row r="1240" spans="1:2" x14ac:dyDescent="0.25">
      <c r="A1240" s="138">
        <v>96</v>
      </c>
      <c r="B1240" s="138" t="s">
        <v>1275</v>
      </c>
    </row>
    <row r="1241" spans="1:2" x14ac:dyDescent="0.25">
      <c r="A1241" s="20">
        <v>96</v>
      </c>
      <c r="B1241" s="20" t="s">
        <v>1275</v>
      </c>
    </row>
    <row r="1242" spans="1:2" x14ac:dyDescent="0.25">
      <c r="A1242" s="138">
        <v>96</v>
      </c>
      <c r="B1242" s="138" t="s">
        <v>1275</v>
      </c>
    </row>
    <row r="1243" spans="1:2" x14ac:dyDescent="0.25">
      <c r="A1243" s="20">
        <v>96</v>
      </c>
      <c r="B1243" s="20" t="s">
        <v>1275</v>
      </c>
    </row>
    <row r="1244" spans="1:2" x14ac:dyDescent="0.25">
      <c r="A1244" s="138">
        <v>96</v>
      </c>
      <c r="B1244" s="138" t="s">
        <v>1275</v>
      </c>
    </row>
    <row r="1245" spans="1:2" x14ac:dyDescent="0.25">
      <c r="A1245" s="20">
        <v>96</v>
      </c>
      <c r="B1245" s="20" t="s">
        <v>1275</v>
      </c>
    </row>
    <row r="1246" spans="1:2" x14ac:dyDescent="0.25">
      <c r="A1246" s="138">
        <v>96</v>
      </c>
      <c r="B1246" s="138" t="s">
        <v>1275</v>
      </c>
    </row>
    <row r="1247" spans="1:2" x14ac:dyDescent="0.25">
      <c r="A1247" s="20">
        <v>96</v>
      </c>
      <c r="B1247" s="20" t="s">
        <v>1275</v>
      </c>
    </row>
    <row r="1248" spans="1:2" x14ac:dyDescent="0.25">
      <c r="A1248" s="138">
        <v>96</v>
      </c>
      <c r="B1248" s="138" t="s">
        <v>1275</v>
      </c>
    </row>
    <row r="1249" spans="1:2" x14ac:dyDescent="0.25">
      <c r="A1249" s="20">
        <v>96</v>
      </c>
      <c r="B1249" s="20" t="s">
        <v>1275</v>
      </c>
    </row>
    <row r="1250" spans="1:2" x14ac:dyDescent="0.25">
      <c r="A1250" s="138">
        <v>96</v>
      </c>
      <c r="B1250" s="138" t="s">
        <v>1275</v>
      </c>
    </row>
    <row r="1251" spans="1:2" x14ac:dyDescent="0.25">
      <c r="A1251" s="20">
        <v>96</v>
      </c>
      <c r="B1251" s="20" t="s">
        <v>1275</v>
      </c>
    </row>
    <row r="1252" spans="1:2" x14ac:dyDescent="0.25">
      <c r="A1252" s="138">
        <v>96</v>
      </c>
      <c r="B1252" s="138" t="s">
        <v>1275</v>
      </c>
    </row>
    <row r="1253" spans="1:2" x14ac:dyDescent="0.25">
      <c r="A1253" s="20">
        <v>96</v>
      </c>
      <c r="B1253" s="20" t="s">
        <v>1275</v>
      </c>
    </row>
    <row r="1254" spans="1:2" x14ac:dyDescent="0.25">
      <c r="A1254" s="138">
        <v>96</v>
      </c>
      <c r="B1254" s="138" t="s">
        <v>1275</v>
      </c>
    </row>
    <row r="1255" spans="1:2" x14ac:dyDescent="0.25">
      <c r="A1255" s="20">
        <v>96</v>
      </c>
      <c r="B1255" s="20" t="s">
        <v>1275</v>
      </c>
    </row>
    <row r="1256" spans="1:2" x14ac:dyDescent="0.25">
      <c r="A1256" s="138">
        <v>96</v>
      </c>
      <c r="B1256" s="138" t="s">
        <v>1275</v>
      </c>
    </row>
    <row r="1257" spans="1:2" x14ac:dyDescent="0.25">
      <c r="A1257" s="20">
        <v>96</v>
      </c>
      <c r="B1257" s="20" t="s">
        <v>1275</v>
      </c>
    </row>
    <row r="1258" spans="1:2" x14ac:dyDescent="0.25">
      <c r="A1258" s="138">
        <v>96</v>
      </c>
      <c r="B1258" s="138" t="s">
        <v>1275</v>
      </c>
    </row>
    <row r="1259" spans="1:2" x14ac:dyDescent="0.25">
      <c r="A1259" s="20">
        <v>96</v>
      </c>
      <c r="B1259" s="20" t="s">
        <v>1275</v>
      </c>
    </row>
    <row r="1260" spans="1:2" x14ac:dyDescent="0.25">
      <c r="A1260" s="138">
        <v>96</v>
      </c>
      <c r="B1260" s="138" t="s">
        <v>1275</v>
      </c>
    </row>
    <row r="1261" spans="1:2" x14ac:dyDescent="0.25">
      <c r="A1261" s="20">
        <v>96</v>
      </c>
      <c r="B1261" s="20" t="s">
        <v>1275</v>
      </c>
    </row>
    <row r="1262" spans="1:2" x14ac:dyDescent="0.25">
      <c r="A1262" s="138">
        <v>96</v>
      </c>
      <c r="B1262" s="138" t="s">
        <v>1275</v>
      </c>
    </row>
    <row r="1263" spans="1:2" x14ac:dyDescent="0.25">
      <c r="A1263" s="20">
        <v>96</v>
      </c>
      <c r="B1263" s="20" t="s">
        <v>1275</v>
      </c>
    </row>
    <row r="1264" spans="1:2" x14ac:dyDescent="0.25">
      <c r="A1264" s="138">
        <v>96</v>
      </c>
      <c r="B1264" s="138" t="s">
        <v>1275</v>
      </c>
    </row>
    <row r="1265" spans="1:2" x14ac:dyDescent="0.25">
      <c r="A1265" s="20">
        <v>96</v>
      </c>
      <c r="B1265" s="20" t="s">
        <v>1275</v>
      </c>
    </row>
    <row r="1266" spans="1:2" x14ac:dyDescent="0.25">
      <c r="A1266" s="138">
        <v>96</v>
      </c>
      <c r="B1266" s="138" t="s">
        <v>1275</v>
      </c>
    </row>
    <row r="1267" spans="1:2" x14ac:dyDescent="0.25">
      <c r="A1267" s="20">
        <v>96</v>
      </c>
      <c r="B1267" s="20" t="s">
        <v>1275</v>
      </c>
    </row>
    <row r="1268" spans="1:2" x14ac:dyDescent="0.25">
      <c r="A1268" s="20">
        <v>96</v>
      </c>
      <c r="B1268" s="20" t="s">
        <v>1275</v>
      </c>
    </row>
    <row r="1269" spans="1:2" x14ac:dyDescent="0.25">
      <c r="A1269" s="138" t="s">
        <v>2517</v>
      </c>
      <c r="B1269" s="138" t="s">
        <v>1289</v>
      </c>
    </row>
    <row r="1270" spans="1:2" x14ac:dyDescent="0.25">
      <c r="A1270" s="20">
        <v>18</v>
      </c>
      <c r="B1270" s="20" t="s">
        <v>1289</v>
      </c>
    </row>
    <row r="1271" spans="1:2" x14ac:dyDescent="0.25">
      <c r="A1271" s="138">
        <v>18</v>
      </c>
      <c r="B1271" s="138" t="s">
        <v>1289</v>
      </c>
    </row>
    <row r="1272" spans="1:2" x14ac:dyDescent="0.25">
      <c r="A1272" s="20">
        <v>18</v>
      </c>
      <c r="B1272" s="20" t="s">
        <v>1289</v>
      </c>
    </row>
    <row r="1273" spans="1:2" x14ac:dyDescent="0.25">
      <c r="A1273" s="138">
        <v>18</v>
      </c>
      <c r="B1273" s="138" t="s">
        <v>1289</v>
      </c>
    </row>
    <row r="1274" spans="1:2" x14ac:dyDescent="0.25">
      <c r="A1274" s="20">
        <v>18</v>
      </c>
      <c r="B1274" s="20" t="s">
        <v>1289</v>
      </c>
    </row>
    <row r="1275" spans="1:2" x14ac:dyDescent="0.25">
      <c r="A1275" s="138" t="s">
        <v>3717</v>
      </c>
      <c r="B1275" s="138" t="s">
        <v>1244</v>
      </c>
    </row>
    <row r="1276" spans="1:2" x14ac:dyDescent="0.25">
      <c r="A1276" s="20">
        <v>27</v>
      </c>
      <c r="B1276" s="20" t="s">
        <v>655</v>
      </c>
    </row>
    <row r="1277" spans="1:2" x14ac:dyDescent="0.25">
      <c r="A1277" s="138">
        <v>16</v>
      </c>
      <c r="B1277" s="138" t="s">
        <v>2005</v>
      </c>
    </row>
    <row r="1278" spans="1:2" x14ac:dyDescent="0.25">
      <c r="A1278" s="20">
        <v>16</v>
      </c>
      <c r="B1278" s="20" t="s">
        <v>2005</v>
      </c>
    </row>
    <row r="1279" spans="1:2" x14ac:dyDescent="0.25">
      <c r="A1279" s="138">
        <v>16</v>
      </c>
      <c r="B1279" s="138" t="s">
        <v>262</v>
      </c>
    </row>
    <row r="1280" spans="1:2" x14ac:dyDescent="0.25">
      <c r="A1280" s="20">
        <v>11</v>
      </c>
      <c r="B1280" s="20" t="s">
        <v>638</v>
      </c>
    </row>
    <row r="1281" spans="1:2" x14ac:dyDescent="0.25">
      <c r="A1281" s="138">
        <v>11</v>
      </c>
      <c r="B1281" s="138" t="s">
        <v>638</v>
      </c>
    </row>
    <row r="1282" spans="1:2" x14ac:dyDescent="0.25">
      <c r="A1282" s="20">
        <v>11</v>
      </c>
      <c r="B1282" s="20" t="s">
        <v>638</v>
      </c>
    </row>
    <row r="1283" spans="1:2" x14ac:dyDescent="0.25">
      <c r="A1283" s="138">
        <v>11</v>
      </c>
      <c r="B1283" s="138" t="s">
        <v>638</v>
      </c>
    </row>
    <row r="1284" spans="1:2" x14ac:dyDescent="0.25">
      <c r="A1284" s="20">
        <v>11</v>
      </c>
      <c r="B1284" s="20" t="s">
        <v>638</v>
      </c>
    </row>
    <row r="1285" spans="1:2" x14ac:dyDescent="0.25">
      <c r="A1285" s="138">
        <v>11</v>
      </c>
      <c r="B1285" s="138" t="s">
        <v>638</v>
      </c>
    </row>
    <row r="1286" spans="1:2" x14ac:dyDescent="0.25">
      <c r="A1286" s="20">
        <v>11</v>
      </c>
      <c r="B1286" s="20" t="s">
        <v>638</v>
      </c>
    </row>
    <row r="1287" spans="1:2" x14ac:dyDescent="0.25">
      <c r="A1287" s="138">
        <v>11</v>
      </c>
      <c r="B1287" s="138" t="s">
        <v>638</v>
      </c>
    </row>
    <row r="1288" spans="1:2" x14ac:dyDescent="0.25">
      <c r="A1288" s="20">
        <v>11</v>
      </c>
      <c r="B1288" s="20" t="s">
        <v>638</v>
      </c>
    </row>
    <row r="1289" spans="1:2" x14ac:dyDescent="0.25">
      <c r="A1289" s="138">
        <v>11</v>
      </c>
      <c r="B1289" s="138" t="s">
        <v>638</v>
      </c>
    </row>
    <row r="1290" spans="1:2" x14ac:dyDescent="0.25">
      <c r="A1290" s="20">
        <v>11</v>
      </c>
      <c r="B1290" s="20" t="s">
        <v>638</v>
      </c>
    </row>
    <row r="1291" spans="1:2" x14ac:dyDescent="0.25">
      <c r="A1291" s="138">
        <v>11</v>
      </c>
      <c r="B1291" s="138" t="s">
        <v>638</v>
      </c>
    </row>
    <row r="1292" spans="1:2" x14ac:dyDescent="0.25">
      <c r="A1292" s="20">
        <v>11</v>
      </c>
      <c r="B1292" s="20" t="s">
        <v>638</v>
      </c>
    </row>
    <row r="1293" spans="1:2" x14ac:dyDescent="0.25">
      <c r="A1293" s="138">
        <v>11</v>
      </c>
      <c r="B1293" s="138" t="s">
        <v>638</v>
      </c>
    </row>
    <row r="1294" spans="1:2" x14ac:dyDescent="0.25">
      <c r="A1294" s="20">
        <v>11</v>
      </c>
      <c r="B1294" s="20" t="s">
        <v>638</v>
      </c>
    </row>
    <row r="1295" spans="1:2" x14ac:dyDescent="0.25">
      <c r="A1295" s="138" t="s">
        <v>3658</v>
      </c>
      <c r="B1295" s="138" t="s">
        <v>270</v>
      </c>
    </row>
    <row r="1296" spans="1:2" x14ac:dyDescent="0.25">
      <c r="A1296" s="20" t="s">
        <v>6189</v>
      </c>
      <c r="B1296" s="20" t="s">
        <v>280</v>
      </c>
    </row>
    <row r="1297" spans="1:2" x14ac:dyDescent="0.25">
      <c r="A1297" s="138" t="s">
        <v>3710</v>
      </c>
      <c r="B1297" s="138" t="s">
        <v>280</v>
      </c>
    </row>
    <row r="1298" spans="1:2" x14ac:dyDescent="0.25">
      <c r="A1298" s="20" t="s">
        <v>3710</v>
      </c>
      <c r="B1298" s="20" t="s">
        <v>280</v>
      </c>
    </row>
    <row r="1299" spans="1:2" x14ac:dyDescent="0.25">
      <c r="A1299" s="138">
        <v>11</v>
      </c>
      <c r="B1299" s="138" t="s">
        <v>638</v>
      </c>
    </row>
    <row r="1300" spans="1:2" x14ac:dyDescent="0.25">
      <c r="A1300" s="20">
        <v>11</v>
      </c>
      <c r="B1300" s="20" t="s">
        <v>638</v>
      </c>
    </row>
    <row r="1301" spans="1:2" x14ac:dyDescent="0.25">
      <c r="A1301" s="138">
        <v>11</v>
      </c>
      <c r="B1301" s="138" t="s">
        <v>638</v>
      </c>
    </row>
    <row r="1302" spans="1:2" x14ac:dyDescent="0.25">
      <c r="A1302" s="20">
        <v>11</v>
      </c>
      <c r="B1302" s="20" t="s">
        <v>638</v>
      </c>
    </row>
    <row r="1303" spans="1:2" x14ac:dyDescent="0.25">
      <c r="A1303" s="138">
        <v>11</v>
      </c>
      <c r="B1303" s="138" t="s">
        <v>638</v>
      </c>
    </row>
    <row r="1304" spans="1:2" x14ac:dyDescent="0.25">
      <c r="A1304" s="20">
        <v>11</v>
      </c>
      <c r="B1304" s="20" t="s">
        <v>638</v>
      </c>
    </row>
    <row r="1305" spans="1:2" x14ac:dyDescent="0.25">
      <c r="A1305" s="138">
        <v>16</v>
      </c>
      <c r="B1305" s="138" t="s">
        <v>1530</v>
      </c>
    </row>
    <row r="1306" spans="1:2" x14ac:dyDescent="0.25">
      <c r="A1306" s="20">
        <v>16</v>
      </c>
      <c r="B1306" s="20" t="s">
        <v>1530</v>
      </c>
    </row>
    <row r="1307" spans="1:2" x14ac:dyDescent="0.25">
      <c r="A1307" s="138">
        <v>16</v>
      </c>
      <c r="B1307" s="138" t="s">
        <v>1530</v>
      </c>
    </row>
    <row r="1308" spans="1:2" x14ac:dyDescent="0.25">
      <c r="A1308" s="20">
        <v>16</v>
      </c>
      <c r="B1308" s="20" t="s">
        <v>1530</v>
      </c>
    </row>
    <row r="1309" spans="1:2" x14ac:dyDescent="0.25">
      <c r="A1309" s="138">
        <v>16</v>
      </c>
      <c r="B1309" s="138" t="s">
        <v>1530</v>
      </c>
    </row>
    <row r="1310" spans="1:2" x14ac:dyDescent="0.25">
      <c r="A1310" s="20">
        <v>16</v>
      </c>
      <c r="B1310" s="20" t="s">
        <v>1530</v>
      </c>
    </row>
    <row r="1311" spans="1:2" x14ac:dyDescent="0.25">
      <c r="A1311" s="138">
        <v>16</v>
      </c>
      <c r="B1311" s="138" t="s">
        <v>1530</v>
      </c>
    </row>
    <row r="1312" spans="1:2" x14ac:dyDescent="0.25">
      <c r="A1312" s="20">
        <v>16</v>
      </c>
      <c r="B1312" s="20" t="s">
        <v>1530</v>
      </c>
    </row>
    <row r="1313" spans="1:2" x14ac:dyDescent="0.25">
      <c r="A1313" s="138" t="s">
        <v>6194</v>
      </c>
      <c r="B1313" s="138" t="s">
        <v>450</v>
      </c>
    </row>
    <row r="1314" spans="1:2" x14ac:dyDescent="0.25">
      <c r="A1314" s="20" t="s">
        <v>6194</v>
      </c>
      <c r="B1314" s="20" t="s">
        <v>450</v>
      </c>
    </row>
    <row r="1315" spans="1:2" x14ac:dyDescent="0.25">
      <c r="A1315" s="138" t="s">
        <v>6194</v>
      </c>
      <c r="B1315" s="138" t="s">
        <v>450</v>
      </c>
    </row>
    <row r="1316" spans="1:2" x14ac:dyDescent="0.25">
      <c r="A1316" s="20">
        <v>151</v>
      </c>
      <c r="B1316" s="20" t="s">
        <v>1161</v>
      </c>
    </row>
    <row r="1317" spans="1:2" x14ac:dyDescent="0.25">
      <c r="A1317" s="138">
        <v>151</v>
      </c>
      <c r="B1317" s="138" t="s">
        <v>1161</v>
      </c>
    </row>
    <row r="1318" spans="1:2" x14ac:dyDescent="0.25">
      <c r="A1318" s="20">
        <v>151</v>
      </c>
      <c r="B1318" s="20" t="s">
        <v>1161</v>
      </c>
    </row>
    <row r="1319" spans="1:2" x14ac:dyDescent="0.25">
      <c r="A1319" s="138">
        <v>151</v>
      </c>
      <c r="B1319" s="138" t="s">
        <v>1161</v>
      </c>
    </row>
    <row r="1320" spans="1:2" x14ac:dyDescent="0.25">
      <c r="A1320" s="20">
        <v>151</v>
      </c>
      <c r="B1320" s="20" t="s">
        <v>1161</v>
      </c>
    </row>
    <row r="1321" spans="1:2" x14ac:dyDescent="0.25">
      <c r="A1321" s="138">
        <v>151</v>
      </c>
      <c r="B1321" s="138" t="s">
        <v>1161</v>
      </c>
    </row>
    <row r="1322" spans="1:2" x14ac:dyDescent="0.25">
      <c r="A1322" s="20">
        <v>151</v>
      </c>
      <c r="B1322" s="20" t="s">
        <v>1161</v>
      </c>
    </row>
    <row r="1323" spans="1:2" x14ac:dyDescent="0.25">
      <c r="A1323" s="138">
        <v>151</v>
      </c>
      <c r="B1323" s="138" t="s">
        <v>1161</v>
      </c>
    </row>
    <row r="1324" spans="1:2" x14ac:dyDescent="0.25">
      <c r="A1324" s="20">
        <v>242</v>
      </c>
      <c r="B1324" s="20" t="s">
        <v>1326</v>
      </c>
    </row>
    <row r="1325" spans="1:2" x14ac:dyDescent="0.25">
      <c r="A1325" s="138">
        <v>242</v>
      </c>
      <c r="B1325" s="138" t="s">
        <v>1326</v>
      </c>
    </row>
    <row r="1326" spans="1:2" x14ac:dyDescent="0.25">
      <c r="A1326" s="20">
        <v>242</v>
      </c>
      <c r="B1326" s="20" t="s">
        <v>1326</v>
      </c>
    </row>
    <row r="1327" spans="1:2" x14ac:dyDescent="0.25">
      <c r="A1327" s="138">
        <v>242</v>
      </c>
      <c r="B1327" s="138" t="s">
        <v>1326</v>
      </c>
    </row>
    <row r="1328" spans="1:2" x14ac:dyDescent="0.25">
      <c r="A1328" s="20">
        <v>242</v>
      </c>
      <c r="B1328" s="20" t="s">
        <v>1326</v>
      </c>
    </row>
    <row r="1329" spans="1:2" x14ac:dyDescent="0.25">
      <c r="A1329" s="138">
        <v>96</v>
      </c>
      <c r="B1329" s="138" t="s">
        <v>1403</v>
      </c>
    </row>
    <row r="1330" spans="1:2" x14ac:dyDescent="0.25">
      <c r="A1330" s="20">
        <v>96</v>
      </c>
      <c r="B1330" s="20" t="s">
        <v>1403</v>
      </c>
    </row>
    <row r="1331" spans="1:2" x14ac:dyDescent="0.25">
      <c r="A1331" s="138">
        <v>96</v>
      </c>
      <c r="B1331" s="138" t="s">
        <v>1403</v>
      </c>
    </row>
    <row r="1332" spans="1:2" x14ac:dyDescent="0.25">
      <c r="A1332" s="20">
        <v>96</v>
      </c>
      <c r="B1332" s="20" t="s">
        <v>491</v>
      </c>
    </row>
    <row r="1333" spans="1:2" x14ac:dyDescent="0.25">
      <c r="A1333" s="138">
        <v>96</v>
      </c>
      <c r="B1333" s="138" t="s">
        <v>491</v>
      </c>
    </row>
    <row r="1334" spans="1:2" x14ac:dyDescent="0.25">
      <c r="A1334" s="20">
        <v>96</v>
      </c>
      <c r="B1334" s="20" t="s">
        <v>491</v>
      </c>
    </row>
    <row r="1335" spans="1:2" x14ac:dyDescent="0.25">
      <c r="A1335" s="138">
        <v>96</v>
      </c>
      <c r="B1335" s="138" t="s">
        <v>491</v>
      </c>
    </row>
    <row r="1336" spans="1:2" x14ac:dyDescent="0.25">
      <c r="A1336" s="20">
        <v>96</v>
      </c>
      <c r="B1336" s="20" t="s">
        <v>491</v>
      </c>
    </row>
    <row r="1337" spans="1:2" x14ac:dyDescent="0.25">
      <c r="A1337" s="138">
        <v>96</v>
      </c>
      <c r="B1337" s="138" t="s">
        <v>491</v>
      </c>
    </row>
    <row r="1338" spans="1:2" x14ac:dyDescent="0.25">
      <c r="A1338" s="20">
        <v>50</v>
      </c>
      <c r="B1338" s="20" t="s">
        <v>1478</v>
      </c>
    </row>
    <row r="1339" spans="1:2" x14ac:dyDescent="0.25">
      <c r="A1339" s="138">
        <v>50</v>
      </c>
      <c r="B1339" s="138" t="s">
        <v>1478</v>
      </c>
    </row>
    <row r="1340" spans="1:2" x14ac:dyDescent="0.25">
      <c r="A1340" s="20" t="s">
        <v>6256</v>
      </c>
      <c r="B1340" s="20" t="s">
        <v>1520</v>
      </c>
    </row>
    <row r="1341" spans="1:2" x14ac:dyDescent="0.25">
      <c r="A1341" s="138" t="s">
        <v>6256</v>
      </c>
      <c r="B1341" s="138" t="s">
        <v>1520</v>
      </c>
    </row>
    <row r="1342" spans="1:2" x14ac:dyDescent="0.25">
      <c r="A1342" s="138" t="s">
        <v>6336</v>
      </c>
      <c r="B1342" s="138" t="s">
        <v>6336</v>
      </c>
    </row>
    <row r="1343" spans="1:2" x14ac:dyDescent="0.25">
      <c r="A1343" s="138" t="s">
        <v>6336</v>
      </c>
      <c r="B1343" s="138" t="s">
        <v>6336</v>
      </c>
    </row>
    <row r="1344" spans="1:2" x14ac:dyDescent="0.25">
      <c r="A1344" s="138" t="s">
        <v>6336</v>
      </c>
      <c r="B1344" s="138" t="s">
        <v>6336</v>
      </c>
    </row>
    <row r="1345" spans="1:2" x14ac:dyDescent="0.25">
      <c r="A1345" s="20" t="s">
        <v>6336</v>
      </c>
      <c r="B1345" s="20" t="s">
        <v>6336</v>
      </c>
    </row>
    <row r="1346" spans="1:2" x14ac:dyDescent="0.25">
      <c r="A1346" s="20" t="s">
        <v>6336</v>
      </c>
      <c r="B1346" s="20" t="s">
        <v>6336</v>
      </c>
    </row>
    <row r="1347" spans="1:2" x14ac:dyDescent="0.25">
      <c r="A1347" s="138" t="s">
        <v>6336</v>
      </c>
      <c r="B1347" s="138" t="s">
        <v>6336</v>
      </c>
    </row>
    <row r="1348" spans="1:2" x14ac:dyDescent="0.25">
      <c r="A1348" s="20" t="s">
        <v>6336</v>
      </c>
      <c r="B1348" s="20" t="s">
        <v>6336</v>
      </c>
    </row>
    <row r="1349" spans="1:2" x14ac:dyDescent="0.25">
      <c r="A1349" s="20" t="s">
        <v>6336</v>
      </c>
      <c r="B1349" s="20" t="s">
        <v>6336</v>
      </c>
    </row>
    <row r="1350" spans="1:2" x14ac:dyDescent="0.25">
      <c r="A1350" s="138" t="s">
        <v>6336</v>
      </c>
      <c r="B1350" s="138" t="s">
        <v>6336</v>
      </c>
    </row>
    <row r="1351" spans="1:2" x14ac:dyDescent="0.25">
      <c r="A1351" s="138" t="s">
        <v>6221</v>
      </c>
      <c r="B1351" s="138" t="s">
        <v>337</v>
      </c>
    </row>
    <row r="1352" spans="1:2" x14ac:dyDescent="0.25">
      <c r="A1352" s="20" t="s">
        <v>6221</v>
      </c>
      <c r="B1352" s="20" t="s">
        <v>337</v>
      </c>
    </row>
    <row r="1353" spans="1:2" x14ac:dyDescent="0.25">
      <c r="A1353" s="138" t="s">
        <v>6221</v>
      </c>
      <c r="B1353" s="138" t="s">
        <v>337</v>
      </c>
    </row>
    <row r="1354" spans="1:2" x14ac:dyDescent="0.25">
      <c r="A1354" s="20">
        <v>16</v>
      </c>
      <c r="B1354" s="20" t="s">
        <v>417</v>
      </c>
    </row>
    <row r="1355" spans="1:2" x14ac:dyDescent="0.25">
      <c r="A1355" s="138" t="s">
        <v>6235</v>
      </c>
      <c r="B1355" s="138" t="s">
        <v>1548</v>
      </c>
    </row>
    <row r="1356" spans="1:2" x14ac:dyDescent="0.25">
      <c r="A1356" s="20" t="s">
        <v>6235</v>
      </c>
      <c r="B1356" s="20" t="s">
        <v>1548</v>
      </c>
    </row>
    <row r="1357" spans="1:2" x14ac:dyDescent="0.25">
      <c r="A1357" s="138" t="s">
        <v>6235</v>
      </c>
      <c r="B1357" s="138" t="s">
        <v>1548</v>
      </c>
    </row>
    <row r="1358" spans="1:2" x14ac:dyDescent="0.25">
      <c r="A1358" s="20" t="s">
        <v>6235</v>
      </c>
      <c r="B1358" s="20" t="s">
        <v>1548</v>
      </c>
    </row>
    <row r="1359" spans="1:2" x14ac:dyDescent="0.25">
      <c r="A1359" s="138" t="s">
        <v>6235</v>
      </c>
      <c r="B1359" s="138" t="s">
        <v>1548</v>
      </c>
    </row>
    <row r="1360" spans="1:2" x14ac:dyDescent="0.25">
      <c r="A1360" s="20">
        <v>115</v>
      </c>
      <c r="B1360" s="20" t="s">
        <v>2003</v>
      </c>
    </row>
    <row r="1361" spans="1:2" x14ac:dyDescent="0.25">
      <c r="A1361" s="138">
        <v>115</v>
      </c>
      <c r="B1361" s="138" t="s">
        <v>2003</v>
      </c>
    </row>
    <row r="1362" spans="1:2" x14ac:dyDescent="0.25">
      <c r="A1362" s="20">
        <v>115</v>
      </c>
      <c r="B1362" s="20" t="s">
        <v>2003</v>
      </c>
    </row>
    <row r="1363" spans="1:2" x14ac:dyDescent="0.25">
      <c r="A1363" s="138">
        <v>115</v>
      </c>
      <c r="B1363" s="138" t="s">
        <v>2003</v>
      </c>
    </row>
    <row r="1364" spans="1:2" x14ac:dyDescent="0.25">
      <c r="A1364" s="20">
        <v>199</v>
      </c>
      <c r="B1364" s="20" t="s">
        <v>1275</v>
      </c>
    </row>
    <row r="1365" spans="1:2" x14ac:dyDescent="0.25">
      <c r="A1365" s="138">
        <v>109</v>
      </c>
      <c r="B1365" s="138" t="s">
        <v>924</v>
      </c>
    </row>
    <row r="1366" spans="1:2" x14ac:dyDescent="0.25">
      <c r="A1366" s="20">
        <v>109</v>
      </c>
      <c r="B1366" s="20" t="s">
        <v>924</v>
      </c>
    </row>
    <row r="1367" spans="1:2" x14ac:dyDescent="0.25">
      <c r="A1367" s="138">
        <v>109</v>
      </c>
      <c r="B1367" s="138" t="s">
        <v>1346</v>
      </c>
    </row>
    <row r="1368" spans="1:2" x14ac:dyDescent="0.25">
      <c r="A1368" s="20">
        <v>16</v>
      </c>
      <c r="B1368" s="20" t="s">
        <v>305</v>
      </c>
    </row>
    <row r="1369" spans="1:2" x14ac:dyDescent="0.25">
      <c r="A1369" s="138">
        <v>96</v>
      </c>
      <c r="B1369" s="138" t="s">
        <v>1275</v>
      </c>
    </row>
    <row r="1370" spans="1:2" x14ac:dyDescent="0.25">
      <c r="A1370" s="20">
        <v>96</v>
      </c>
      <c r="B1370" s="20" t="s">
        <v>1275</v>
      </c>
    </row>
    <row r="1371" spans="1:2" x14ac:dyDescent="0.25">
      <c r="A1371" s="138">
        <v>96</v>
      </c>
      <c r="B1371" s="138" t="s">
        <v>1275</v>
      </c>
    </row>
    <row r="1372" spans="1:2" x14ac:dyDescent="0.25">
      <c r="A1372" s="20">
        <v>96</v>
      </c>
      <c r="B1372" s="20" t="s">
        <v>1275</v>
      </c>
    </row>
    <row r="1373" spans="1:2" x14ac:dyDescent="0.25">
      <c r="A1373" s="138">
        <v>96</v>
      </c>
      <c r="B1373" s="138" t="s">
        <v>1275</v>
      </c>
    </row>
    <row r="1374" spans="1:2" x14ac:dyDescent="0.25">
      <c r="A1374" s="20">
        <v>96</v>
      </c>
      <c r="B1374" s="20" t="s">
        <v>1275</v>
      </c>
    </row>
    <row r="1375" spans="1:2" x14ac:dyDescent="0.25">
      <c r="A1375" s="138">
        <v>96</v>
      </c>
      <c r="B1375" s="138" t="s">
        <v>1275</v>
      </c>
    </row>
    <row r="1376" spans="1:2" x14ac:dyDescent="0.25">
      <c r="A1376" s="20">
        <v>96</v>
      </c>
      <c r="B1376" s="20" t="s">
        <v>1275</v>
      </c>
    </row>
    <row r="1377" spans="1:2" x14ac:dyDescent="0.25">
      <c r="A1377" s="138">
        <v>96</v>
      </c>
      <c r="B1377" s="138" t="s">
        <v>1275</v>
      </c>
    </row>
    <row r="1378" spans="1:2" x14ac:dyDescent="0.25">
      <c r="A1378" s="20">
        <v>96</v>
      </c>
      <c r="B1378" s="20" t="s">
        <v>1275</v>
      </c>
    </row>
    <row r="1379" spans="1:2" x14ac:dyDescent="0.25">
      <c r="A1379" s="138">
        <v>96</v>
      </c>
      <c r="B1379" s="138" t="s">
        <v>1275</v>
      </c>
    </row>
    <row r="1380" spans="1:2" x14ac:dyDescent="0.25">
      <c r="A1380" s="20">
        <v>96</v>
      </c>
      <c r="B1380" s="20" t="s">
        <v>1275</v>
      </c>
    </row>
    <row r="1381" spans="1:2" x14ac:dyDescent="0.25">
      <c r="A1381" s="138">
        <v>96</v>
      </c>
      <c r="B1381" s="138" t="s">
        <v>1275</v>
      </c>
    </row>
    <row r="1382" spans="1:2" x14ac:dyDescent="0.25">
      <c r="A1382" s="20">
        <v>96</v>
      </c>
      <c r="B1382" s="20" t="s">
        <v>1275</v>
      </c>
    </row>
    <row r="1383" spans="1:2" x14ac:dyDescent="0.25">
      <c r="A1383" s="138">
        <v>96</v>
      </c>
      <c r="B1383" s="138" t="s">
        <v>1275</v>
      </c>
    </row>
    <row r="1384" spans="1:2" x14ac:dyDescent="0.25">
      <c r="A1384" s="20">
        <v>96</v>
      </c>
      <c r="B1384" s="20" t="s">
        <v>1275</v>
      </c>
    </row>
    <row r="1385" spans="1:2" x14ac:dyDescent="0.25">
      <c r="A1385" s="138">
        <v>96</v>
      </c>
      <c r="B1385" s="138" t="s">
        <v>1275</v>
      </c>
    </row>
    <row r="1386" spans="1:2" x14ac:dyDescent="0.25">
      <c r="A1386" s="20">
        <v>96</v>
      </c>
      <c r="B1386" s="20" t="s">
        <v>1275</v>
      </c>
    </row>
    <row r="1387" spans="1:2" x14ac:dyDescent="0.25">
      <c r="A1387" s="138">
        <v>96</v>
      </c>
      <c r="B1387" s="138" t="s">
        <v>1275</v>
      </c>
    </row>
    <row r="1388" spans="1:2" x14ac:dyDescent="0.25">
      <c r="A1388" s="20">
        <v>96</v>
      </c>
      <c r="B1388" s="20" t="s">
        <v>1275</v>
      </c>
    </row>
    <row r="1389" spans="1:2" x14ac:dyDescent="0.25">
      <c r="A1389" s="138">
        <v>96</v>
      </c>
      <c r="B1389" s="138" t="s">
        <v>1275</v>
      </c>
    </row>
    <row r="1390" spans="1:2" x14ac:dyDescent="0.25">
      <c r="A1390" s="20">
        <v>96</v>
      </c>
      <c r="B1390" s="20" t="s">
        <v>1275</v>
      </c>
    </row>
    <row r="1391" spans="1:2" x14ac:dyDescent="0.25">
      <c r="A1391" s="138">
        <v>96</v>
      </c>
      <c r="B1391" s="138" t="s">
        <v>1275</v>
      </c>
    </row>
    <row r="1392" spans="1:2" x14ac:dyDescent="0.25">
      <c r="A1392" s="20">
        <v>96</v>
      </c>
      <c r="B1392" s="20" t="s">
        <v>1275</v>
      </c>
    </row>
    <row r="1393" spans="1:2" x14ac:dyDescent="0.25">
      <c r="A1393" s="138">
        <v>96</v>
      </c>
      <c r="B1393" s="138" t="s">
        <v>1275</v>
      </c>
    </row>
    <row r="1394" spans="1:2" x14ac:dyDescent="0.25">
      <c r="A1394" s="20">
        <v>96</v>
      </c>
      <c r="B1394" s="20" t="s">
        <v>1275</v>
      </c>
    </row>
    <row r="1395" spans="1:2" x14ac:dyDescent="0.25">
      <c r="A1395" s="138">
        <v>96</v>
      </c>
      <c r="B1395" s="138" t="s">
        <v>1275</v>
      </c>
    </row>
    <row r="1396" spans="1:2" x14ac:dyDescent="0.25">
      <c r="A1396" s="20">
        <v>96</v>
      </c>
      <c r="B1396" s="20" t="s">
        <v>1275</v>
      </c>
    </row>
    <row r="1397" spans="1:2" x14ac:dyDescent="0.25">
      <c r="A1397" s="138">
        <v>96</v>
      </c>
      <c r="B1397" s="138" t="s">
        <v>1275</v>
      </c>
    </row>
    <row r="1398" spans="1:2" x14ac:dyDescent="0.25">
      <c r="A1398" s="20">
        <v>96</v>
      </c>
      <c r="B1398" s="20" t="s">
        <v>1275</v>
      </c>
    </row>
    <row r="1399" spans="1:2" x14ac:dyDescent="0.25">
      <c r="A1399" s="138">
        <v>96</v>
      </c>
      <c r="B1399" s="138" t="s">
        <v>1275</v>
      </c>
    </row>
    <row r="1400" spans="1:2" x14ac:dyDescent="0.25">
      <c r="A1400" s="20">
        <v>96</v>
      </c>
      <c r="B1400" s="20" t="s">
        <v>1275</v>
      </c>
    </row>
    <row r="1401" spans="1:2" x14ac:dyDescent="0.25">
      <c r="A1401" s="138">
        <v>32</v>
      </c>
      <c r="B1401" s="138" t="s">
        <v>693</v>
      </c>
    </row>
    <row r="1402" spans="1:2" x14ac:dyDescent="0.25">
      <c r="A1402" s="20">
        <v>32</v>
      </c>
      <c r="B1402" s="20" t="s">
        <v>693</v>
      </c>
    </row>
    <row r="1403" spans="1:2" x14ac:dyDescent="0.25">
      <c r="A1403" s="138">
        <v>18</v>
      </c>
      <c r="B1403" s="138" t="s">
        <v>1289</v>
      </c>
    </row>
    <row r="1404" spans="1:2" x14ac:dyDescent="0.25">
      <c r="A1404" s="20">
        <v>18</v>
      </c>
      <c r="B1404" s="20" t="s">
        <v>1289</v>
      </c>
    </row>
    <row r="1405" spans="1:2" x14ac:dyDescent="0.25">
      <c r="A1405" s="138" t="s">
        <v>3717</v>
      </c>
      <c r="B1405" s="138" t="s">
        <v>1244</v>
      </c>
    </row>
    <row r="1406" spans="1:2" x14ac:dyDescent="0.25">
      <c r="A1406" s="20" t="s">
        <v>3717</v>
      </c>
      <c r="B1406" s="20" t="s">
        <v>1244</v>
      </c>
    </row>
    <row r="1407" spans="1:2" x14ac:dyDescent="0.25">
      <c r="A1407" s="138">
        <v>16</v>
      </c>
      <c r="B1407" s="138" t="s">
        <v>2005</v>
      </c>
    </row>
    <row r="1408" spans="1:2" x14ac:dyDescent="0.25">
      <c r="A1408" s="20">
        <v>16</v>
      </c>
      <c r="B1408" s="20" t="s">
        <v>262</v>
      </c>
    </row>
    <row r="1409" spans="1:2" x14ac:dyDescent="0.25">
      <c r="A1409" s="138">
        <v>16</v>
      </c>
      <c r="B1409" s="138" t="s">
        <v>2005</v>
      </c>
    </row>
    <row r="1410" spans="1:2" x14ac:dyDescent="0.25">
      <c r="A1410" s="20">
        <v>16</v>
      </c>
      <c r="B1410" s="20" t="s">
        <v>828</v>
      </c>
    </row>
    <row r="1411" spans="1:2" x14ac:dyDescent="0.25">
      <c r="A1411" s="138">
        <v>16</v>
      </c>
      <c r="B1411" s="138" t="s">
        <v>262</v>
      </c>
    </row>
    <row r="1412" spans="1:2" x14ac:dyDescent="0.25">
      <c r="A1412" s="20">
        <v>16</v>
      </c>
      <c r="B1412" s="20" t="s">
        <v>262</v>
      </c>
    </row>
    <row r="1413" spans="1:2" x14ac:dyDescent="0.25">
      <c r="A1413" s="138">
        <v>16</v>
      </c>
      <c r="B1413" s="138" t="s">
        <v>1289</v>
      </c>
    </row>
    <row r="1414" spans="1:2" x14ac:dyDescent="0.25">
      <c r="A1414" s="20">
        <v>16</v>
      </c>
      <c r="B1414" s="20" t="s">
        <v>262</v>
      </c>
    </row>
    <row r="1415" spans="1:2" x14ac:dyDescent="0.25">
      <c r="A1415" s="138">
        <v>16</v>
      </c>
      <c r="B1415" s="138" t="s">
        <v>262</v>
      </c>
    </row>
    <row r="1416" spans="1:2" x14ac:dyDescent="0.25">
      <c r="A1416" s="20">
        <v>16</v>
      </c>
      <c r="B1416" s="20" t="s">
        <v>2005</v>
      </c>
    </row>
    <row r="1417" spans="1:2" x14ac:dyDescent="0.25">
      <c r="A1417" s="138">
        <v>16</v>
      </c>
      <c r="B1417" s="138" t="s">
        <v>262</v>
      </c>
    </row>
    <row r="1418" spans="1:2" x14ac:dyDescent="0.25">
      <c r="A1418" s="20">
        <v>11</v>
      </c>
      <c r="B1418" s="20" t="s">
        <v>638</v>
      </c>
    </row>
    <row r="1419" spans="1:2" x14ac:dyDescent="0.25">
      <c r="A1419" s="138">
        <v>11</v>
      </c>
      <c r="B1419" s="138" t="s">
        <v>638</v>
      </c>
    </row>
    <row r="1420" spans="1:2" x14ac:dyDescent="0.25">
      <c r="A1420" s="20">
        <v>11</v>
      </c>
      <c r="B1420" s="20" t="s">
        <v>638</v>
      </c>
    </row>
    <row r="1421" spans="1:2" x14ac:dyDescent="0.25">
      <c r="A1421" s="138">
        <v>11</v>
      </c>
      <c r="B1421" s="138" t="s">
        <v>638</v>
      </c>
    </row>
    <row r="1422" spans="1:2" x14ac:dyDescent="0.25">
      <c r="A1422" s="20">
        <v>11</v>
      </c>
      <c r="B1422" s="20" t="s">
        <v>638</v>
      </c>
    </row>
    <row r="1423" spans="1:2" x14ac:dyDescent="0.25">
      <c r="A1423" s="138">
        <v>11</v>
      </c>
      <c r="B1423" s="138" t="s">
        <v>638</v>
      </c>
    </row>
    <row r="1424" spans="1:2" x14ac:dyDescent="0.25">
      <c r="A1424" s="20">
        <v>11</v>
      </c>
      <c r="B1424" s="20" t="s">
        <v>638</v>
      </c>
    </row>
    <row r="1425" spans="1:2" x14ac:dyDescent="0.25">
      <c r="A1425" s="138">
        <v>11</v>
      </c>
      <c r="B1425" s="138" t="s">
        <v>638</v>
      </c>
    </row>
    <row r="1426" spans="1:2" x14ac:dyDescent="0.25">
      <c r="A1426" s="20">
        <v>11</v>
      </c>
      <c r="B1426" s="20" t="s">
        <v>638</v>
      </c>
    </row>
    <row r="1427" spans="1:2" x14ac:dyDescent="0.25">
      <c r="A1427" s="138">
        <v>11</v>
      </c>
      <c r="B1427" s="138" t="s">
        <v>638</v>
      </c>
    </row>
    <row r="1428" spans="1:2" x14ac:dyDescent="0.25">
      <c r="A1428" s="20">
        <v>11</v>
      </c>
      <c r="B1428" s="20" t="s">
        <v>638</v>
      </c>
    </row>
    <row r="1429" spans="1:2" x14ac:dyDescent="0.25">
      <c r="A1429" s="138">
        <v>11</v>
      </c>
      <c r="B1429" s="138" t="s">
        <v>638</v>
      </c>
    </row>
    <row r="1430" spans="1:2" x14ac:dyDescent="0.25">
      <c r="A1430" s="20">
        <v>11</v>
      </c>
      <c r="B1430" s="20" t="s">
        <v>638</v>
      </c>
    </row>
    <row r="1431" spans="1:2" x14ac:dyDescent="0.25">
      <c r="A1431" s="138">
        <v>11</v>
      </c>
      <c r="B1431" s="138" t="s">
        <v>638</v>
      </c>
    </row>
    <row r="1432" spans="1:2" x14ac:dyDescent="0.25">
      <c r="A1432" s="20" t="s">
        <v>3710</v>
      </c>
      <c r="B1432" s="20" t="s">
        <v>280</v>
      </c>
    </row>
    <row r="1433" spans="1:2" x14ac:dyDescent="0.25">
      <c r="A1433" s="138" t="s">
        <v>3710</v>
      </c>
      <c r="B1433" s="138" t="s">
        <v>280</v>
      </c>
    </row>
    <row r="1434" spans="1:2" x14ac:dyDescent="0.25">
      <c r="A1434" s="20" t="s">
        <v>3710</v>
      </c>
      <c r="B1434" s="20" t="s">
        <v>280</v>
      </c>
    </row>
    <row r="1435" spans="1:2" x14ac:dyDescent="0.25">
      <c r="A1435" s="138" t="s">
        <v>3710</v>
      </c>
      <c r="B1435" s="138" t="s">
        <v>280</v>
      </c>
    </row>
    <row r="1436" spans="1:2" x14ac:dyDescent="0.25">
      <c r="A1436" s="20" t="s">
        <v>6194</v>
      </c>
      <c r="B1436" s="20" t="s">
        <v>450</v>
      </c>
    </row>
    <row r="1437" spans="1:2" x14ac:dyDescent="0.25">
      <c r="A1437" s="138" t="s">
        <v>6194</v>
      </c>
      <c r="B1437" s="138" t="s">
        <v>450</v>
      </c>
    </row>
    <row r="1438" spans="1:2" x14ac:dyDescent="0.25">
      <c r="A1438" s="20" t="s">
        <v>6194</v>
      </c>
      <c r="B1438" s="20" t="s">
        <v>450</v>
      </c>
    </row>
    <row r="1439" spans="1:2" x14ac:dyDescent="0.25">
      <c r="A1439" s="138" t="s">
        <v>6194</v>
      </c>
      <c r="B1439" s="138" t="s">
        <v>450</v>
      </c>
    </row>
    <row r="1440" spans="1:2" x14ac:dyDescent="0.25">
      <c r="A1440" s="20">
        <v>151</v>
      </c>
      <c r="B1440" s="20" t="s">
        <v>1161</v>
      </c>
    </row>
    <row r="1441" spans="1:2" x14ac:dyDescent="0.25">
      <c r="A1441" s="138">
        <v>151</v>
      </c>
      <c r="B1441" s="138" t="s">
        <v>1161</v>
      </c>
    </row>
    <row r="1442" spans="1:2" x14ac:dyDescent="0.25">
      <c r="A1442" s="20">
        <v>151</v>
      </c>
      <c r="B1442" s="20" t="s">
        <v>1161</v>
      </c>
    </row>
    <row r="1443" spans="1:2" x14ac:dyDescent="0.25">
      <c r="A1443" s="138">
        <v>151</v>
      </c>
      <c r="B1443" s="138" t="s">
        <v>1161</v>
      </c>
    </row>
    <row r="1444" spans="1:2" x14ac:dyDescent="0.25">
      <c r="A1444" s="20">
        <v>151</v>
      </c>
      <c r="B1444" s="20" t="s">
        <v>1161</v>
      </c>
    </row>
    <row r="1445" spans="1:2" x14ac:dyDescent="0.25">
      <c r="A1445" s="138">
        <v>151</v>
      </c>
      <c r="B1445" s="138" t="s">
        <v>1161</v>
      </c>
    </row>
    <row r="1446" spans="1:2" x14ac:dyDescent="0.25">
      <c r="A1446" s="20">
        <v>151</v>
      </c>
      <c r="B1446" s="20" t="s">
        <v>1161</v>
      </c>
    </row>
    <row r="1447" spans="1:2" x14ac:dyDescent="0.25">
      <c r="A1447" s="138">
        <v>151</v>
      </c>
      <c r="B1447" s="138" t="s">
        <v>1161</v>
      </c>
    </row>
    <row r="1448" spans="1:2" x14ac:dyDescent="0.25">
      <c r="A1448" s="20">
        <v>242</v>
      </c>
      <c r="B1448" s="20" t="s">
        <v>1326</v>
      </c>
    </row>
    <row r="1449" spans="1:2" x14ac:dyDescent="0.25">
      <c r="A1449" s="138">
        <v>242</v>
      </c>
      <c r="B1449" s="138" t="s">
        <v>1326</v>
      </c>
    </row>
    <row r="1450" spans="1:2" x14ac:dyDescent="0.25">
      <c r="A1450" s="20">
        <v>242</v>
      </c>
      <c r="B1450" s="20" t="s">
        <v>1326</v>
      </c>
    </row>
    <row r="1451" spans="1:2" x14ac:dyDescent="0.25">
      <c r="A1451" s="138">
        <v>242</v>
      </c>
      <c r="B1451" s="138" t="s">
        <v>1326</v>
      </c>
    </row>
    <row r="1452" spans="1:2" x14ac:dyDescent="0.25">
      <c r="A1452" s="20">
        <v>242</v>
      </c>
      <c r="B1452" s="20" t="s">
        <v>1326</v>
      </c>
    </row>
    <row r="1453" spans="1:2" x14ac:dyDescent="0.25">
      <c r="A1453" s="138">
        <v>242</v>
      </c>
      <c r="B1453" s="138" t="s">
        <v>1326</v>
      </c>
    </row>
    <row r="1454" spans="1:2" x14ac:dyDescent="0.25">
      <c r="A1454" s="20">
        <v>242</v>
      </c>
      <c r="B1454" s="20" t="s">
        <v>1326</v>
      </c>
    </row>
    <row r="1455" spans="1:2" x14ac:dyDescent="0.25">
      <c r="A1455" s="138">
        <v>242</v>
      </c>
      <c r="B1455" s="138" t="s">
        <v>1326</v>
      </c>
    </row>
    <row r="1456" spans="1:2" x14ac:dyDescent="0.25">
      <c r="A1456" s="20">
        <v>242</v>
      </c>
      <c r="B1456" s="20" t="s">
        <v>1326</v>
      </c>
    </row>
    <row r="1457" spans="1:2" x14ac:dyDescent="0.25">
      <c r="A1457" s="138">
        <v>242</v>
      </c>
      <c r="B1457" s="138" t="s">
        <v>1326</v>
      </c>
    </row>
    <row r="1458" spans="1:2" x14ac:dyDescent="0.25">
      <c r="A1458" s="20">
        <v>242</v>
      </c>
      <c r="B1458" s="20" t="s">
        <v>1326</v>
      </c>
    </row>
    <row r="1459" spans="1:2" x14ac:dyDescent="0.25">
      <c r="A1459" s="138">
        <v>242</v>
      </c>
      <c r="B1459" s="138" t="s">
        <v>1326</v>
      </c>
    </row>
    <row r="1460" spans="1:2" x14ac:dyDescent="0.25">
      <c r="A1460" s="20">
        <v>242</v>
      </c>
      <c r="B1460" s="20" t="s">
        <v>1326</v>
      </c>
    </row>
    <row r="1461" spans="1:2" x14ac:dyDescent="0.25">
      <c r="A1461" s="138">
        <v>242</v>
      </c>
      <c r="B1461" s="138" t="s">
        <v>1326</v>
      </c>
    </row>
    <row r="1462" spans="1:2" x14ac:dyDescent="0.25">
      <c r="A1462" s="20">
        <v>242</v>
      </c>
      <c r="B1462" s="20" t="s">
        <v>1326</v>
      </c>
    </row>
    <row r="1463" spans="1:2" x14ac:dyDescent="0.25">
      <c r="A1463" s="138">
        <v>242</v>
      </c>
      <c r="B1463" s="138" t="s">
        <v>1326</v>
      </c>
    </row>
    <row r="1464" spans="1:2" x14ac:dyDescent="0.25">
      <c r="A1464" s="20">
        <v>96</v>
      </c>
      <c r="B1464" s="20" t="s">
        <v>1403</v>
      </c>
    </row>
    <row r="1465" spans="1:2" x14ac:dyDescent="0.25">
      <c r="A1465" s="138">
        <v>96</v>
      </c>
      <c r="B1465" s="138" t="s">
        <v>1403</v>
      </c>
    </row>
    <row r="1466" spans="1:2" x14ac:dyDescent="0.25">
      <c r="A1466" s="20">
        <v>96</v>
      </c>
      <c r="B1466" s="20" t="s">
        <v>1403</v>
      </c>
    </row>
    <row r="1467" spans="1:2" x14ac:dyDescent="0.25">
      <c r="A1467" s="138">
        <v>96</v>
      </c>
      <c r="B1467" s="138" t="s">
        <v>1403</v>
      </c>
    </row>
    <row r="1468" spans="1:2" x14ac:dyDescent="0.25">
      <c r="A1468" s="20">
        <v>96</v>
      </c>
      <c r="B1468" s="20" t="s">
        <v>1403</v>
      </c>
    </row>
    <row r="1469" spans="1:2" x14ac:dyDescent="0.25">
      <c r="A1469" s="20">
        <v>96</v>
      </c>
      <c r="B1469" s="20" t="s">
        <v>1403</v>
      </c>
    </row>
    <row r="1470" spans="1:2" x14ac:dyDescent="0.25">
      <c r="A1470" s="138">
        <v>96</v>
      </c>
      <c r="B1470" s="138" t="s">
        <v>1403</v>
      </c>
    </row>
    <row r="1471" spans="1:2" x14ac:dyDescent="0.25">
      <c r="A1471" s="20">
        <v>96</v>
      </c>
      <c r="B1471" s="20" t="s">
        <v>1403</v>
      </c>
    </row>
    <row r="1472" spans="1:2" x14ac:dyDescent="0.25">
      <c r="A1472" s="138">
        <v>96</v>
      </c>
      <c r="B1472" s="138" t="s">
        <v>1403</v>
      </c>
    </row>
    <row r="1473" spans="1:2" x14ac:dyDescent="0.25">
      <c r="A1473" s="20">
        <v>96</v>
      </c>
      <c r="B1473" s="20" t="s">
        <v>1403</v>
      </c>
    </row>
    <row r="1474" spans="1:2" x14ac:dyDescent="0.25">
      <c r="A1474" s="138">
        <v>96</v>
      </c>
      <c r="B1474" s="138" t="s">
        <v>1403</v>
      </c>
    </row>
    <row r="1475" spans="1:2" x14ac:dyDescent="0.25">
      <c r="A1475" s="20">
        <v>96</v>
      </c>
      <c r="B1475" s="20" t="s">
        <v>1403</v>
      </c>
    </row>
    <row r="1476" spans="1:2" x14ac:dyDescent="0.25">
      <c r="A1476" s="138">
        <v>96</v>
      </c>
      <c r="B1476" s="138" t="s">
        <v>491</v>
      </c>
    </row>
    <row r="1477" spans="1:2" x14ac:dyDescent="0.25">
      <c r="A1477" s="20">
        <v>16</v>
      </c>
      <c r="B1477" s="20" t="s">
        <v>1276</v>
      </c>
    </row>
    <row r="1478" spans="1:2" x14ac:dyDescent="0.25">
      <c r="A1478" s="138">
        <v>18</v>
      </c>
      <c r="B1478" s="138" t="s">
        <v>1289</v>
      </c>
    </row>
    <row r="1479" spans="1:2" x14ac:dyDescent="0.25">
      <c r="A1479" s="20">
        <v>18</v>
      </c>
      <c r="B1479" s="20" t="s">
        <v>1289</v>
      </c>
    </row>
    <row r="1480" spans="1:2" x14ac:dyDescent="0.25">
      <c r="A1480" s="138">
        <v>97</v>
      </c>
      <c r="B1480" s="138" t="s">
        <v>206</v>
      </c>
    </row>
    <row r="1481" spans="1:2" x14ac:dyDescent="0.25">
      <c r="A1481" s="20">
        <v>97</v>
      </c>
      <c r="B1481" s="20" t="s">
        <v>206</v>
      </c>
    </row>
    <row r="1482" spans="1:2" x14ac:dyDescent="0.25">
      <c r="A1482" s="138">
        <v>97</v>
      </c>
      <c r="B1482" s="138" t="s">
        <v>206</v>
      </c>
    </row>
    <row r="1483" spans="1:2" x14ac:dyDescent="0.25">
      <c r="A1483" s="20">
        <v>97</v>
      </c>
      <c r="B1483" s="20" t="s">
        <v>206</v>
      </c>
    </row>
    <row r="1484" spans="1:2" x14ac:dyDescent="0.25">
      <c r="A1484" s="138" t="s">
        <v>6218</v>
      </c>
      <c r="B1484" s="138" t="s">
        <v>6218</v>
      </c>
    </row>
    <row r="1485" spans="1:2" x14ac:dyDescent="0.25">
      <c r="A1485" s="20" t="s">
        <v>6221</v>
      </c>
      <c r="B1485" s="20" t="s">
        <v>337</v>
      </c>
    </row>
    <row r="1486" spans="1:2" x14ac:dyDescent="0.25">
      <c r="A1486" s="138">
        <v>16</v>
      </c>
      <c r="B1486" s="138" t="s">
        <v>417</v>
      </c>
    </row>
    <row r="1487" spans="1:2" x14ac:dyDescent="0.25">
      <c r="A1487" s="20">
        <v>16</v>
      </c>
      <c r="B1487" s="20" t="s">
        <v>417</v>
      </c>
    </row>
    <row r="1488" spans="1:2" x14ac:dyDescent="0.25">
      <c r="A1488" s="138">
        <v>16</v>
      </c>
      <c r="B1488" s="138" t="s">
        <v>417</v>
      </c>
    </row>
    <row r="1489" spans="1:2" x14ac:dyDescent="0.25">
      <c r="A1489" s="20">
        <v>16</v>
      </c>
      <c r="B1489" s="20" t="s">
        <v>417</v>
      </c>
    </row>
    <row r="1490" spans="1:2" x14ac:dyDescent="0.25">
      <c r="A1490" s="138">
        <v>16</v>
      </c>
      <c r="B1490" s="138" t="s">
        <v>417</v>
      </c>
    </row>
    <row r="1491" spans="1:2" x14ac:dyDescent="0.25">
      <c r="A1491" s="20">
        <v>16</v>
      </c>
      <c r="B1491" s="20" t="s">
        <v>417</v>
      </c>
    </row>
    <row r="1492" spans="1:2" x14ac:dyDescent="0.25">
      <c r="A1492" s="138">
        <v>23</v>
      </c>
      <c r="B1492" s="138">
        <v>275</v>
      </c>
    </row>
    <row r="1493" spans="1:2" x14ac:dyDescent="0.25">
      <c r="A1493" s="20">
        <v>23</v>
      </c>
      <c r="B1493" s="20">
        <v>275</v>
      </c>
    </row>
    <row r="1494" spans="1:2" x14ac:dyDescent="0.25">
      <c r="A1494" s="138">
        <v>23</v>
      </c>
      <c r="B1494" s="138">
        <v>275</v>
      </c>
    </row>
    <row r="1495" spans="1:2" x14ac:dyDescent="0.25">
      <c r="A1495" s="138">
        <v>23</v>
      </c>
      <c r="B1495" s="138">
        <v>275</v>
      </c>
    </row>
    <row r="1496" spans="1:2" x14ac:dyDescent="0.25">
      <c r="A1496" s="20">
        <v>23</v>
      </c>
      <c r="B1496" s="20">
        <v>275</v>
      </c>
    </row>
    <row r="1497" spans="1:2" x14ac:dyDescent="0.25">
      <c r="A1497" s="138">
        <v>23</v>
      </c>
      <c r="B1497" s="138">
        <v>275</v>
      </c>
    </row>
    <row r="1498" spans="1:2" x14ac:dyDescent="0.25">
      <c r="A1498" s="20" t="s">
        <v>6229</v>
      </c>
      <c r="B1498" s="20" t="s">
        <v>1726</v>
      </c>
    </row>
    <row r="1499" spans="1:2" x14ac:dyDescent="0.25">
      <c r="A1499" s="138" t="s">
        <v>6229</v>
      </c>
      <c r="B1499" s="138" t="s">
        <v>1726</v>
      </c>
    </row>
    <row r="1500" spans="1:2" x14ac:dyDescent="0.25">
      <c r="A1500" s="20" t="s">
        <v>6229</v>
      </c>
      <c r="B1500" s="20" t="s">
        <v>1726</v>
      </c>
    </row>
    <row r="1501" spans="1:2" x14ac:dyDescent="0.25">
      <c r="A1501" s="138" t="s">
        <v>6229</v>
      </c>
      <c r="B1501" s="138" t="s">
        <v>1726</v>
      </c>
    </row>
    <row r="1502" spans="1:2" x14ac:dyDescent="0.25">
      <c r="A1502" s="20" t="s">
        <v>6229</v>
      </c>
      <c r="B1502" s="20" t="s">
        <v>1726</v>
      </c>
    </row>
    <row r="1503" spans="1:2" x14ac:dyDescent="0.25">
      <c r="A1503" s="138" t="s">
        <v>6229</v>
      </c>
      <c r="B1503" s="138" t="s">
        <v>1726</v>
      </c>
    </row>
    <row r="1504" spans="1:2" x14ac:dyDescent="0.25">
      <c r="A1504" s="20" t="s">
        <v>6229</v>
      </c>
      <c r="B1504" s="20" t="s">
        <v>1726</v>
      </c>
    </row>
    <row r="1505" spans="1:2" x14ac:dyDescent="0.25">
      <c r="A1505" s="138" t="s">
        <v>6229</v>
      </c>
      <c r="B1505" s="138" t="s">
        <v>1726</v>
      </c>
    </row>
    <row r="1506" spans="1:2" x14ac:dyDescent="0.25">
      <c r="A1506" s="20">
        <v>115</v>
      </c>
      <c r="B1506" s="20" t="s">
        <v>2003</v>
      </c>
    </row>
    <row r="1507" spans="1:2" x14ac:dyDescent="0.25">
      <c r="A1507" s="138">
        <v>115</v>
      </c>
      <c r="B1507" s="138" t="s">
        <v>2003</v>
      </c>
    </row>
    <row r="1508" spans="1:2" x14ac:dyDescent="0.25">
      <c r="A1508" s="20">
        <v>115</v>
      </c>
      <c r="B1508" s="20" t="s">
        <v>2003</v>
      </c>
    </row>
    <row r="1509" spans="1:2" x14ac:dyDescent="0.25">
      <c r="A1509" s="138">
        <v>115</v>
      </c>
      <c r="B1509" s="138" t="s">
        <v>2003</v>
      </c>
    </row>
    <row r="1510" spans="1:2" x14ac:dyDescent="0.25">
      <c r="A1510" s="20">
        <v>115</v>
      </c>
      <c r="B1510" s="20" t="s">
        <v>2003</v>
      </c>
    </row>
    <row r="1511" spans="1:2" x14ac:dyDescent="0.25">
      <c r="A1511" s="138">
        <v>115</v>
      </c>
      <c r="B1511" s="138" t="s">
        <v>2003</v>
      </c>
    </row>
    <row r="1512" spans="1:2" x14ac:dyDescent="0.25">
      <c r="A1512" s="20">
        <v>115</v>
      </c>
      <c r="B1512" s="20" t="s">
        <v>2003</v>
      </c>
    </row>
    <row r="1513" spans="1:2" x14ac:dyDescent="0.25">
      <c r="A1513" s="138">
        <v>115</v>
      </c>
      <c r="B1513" s="138" t="s">
        <v>2003</v>
      </c>
    </row>
    <row r="1514" spans="1:2" x14ac:dyDescent="0.25">
      <c r="A1514" s="20">
        <v>115</v>
      </c>
      <c r="B1514" s="20" t="s">
        <v>2003</v>
      </c>
    </row>
    <row r="1515" spans="1:2" x14ac:dyDescent="0.25">
      <c r="A1515" s="138">
        <v>115</v>
      </c>
      <c r="B1515" s="138" t="s">
        <v>2003</v>
      </c>
    </row>
    <row r="1516" spans="1:2" x14ac:dyDescent="0.25">
      <c r="A1516" s="20">
        <v>115</v>
      </c>
      <c r="B1516" s="20" t="s">
        <v>2003</v>
      </c>
    </row>
    <row r="1517" spans="1:2" x14ac:dyDescent="0.25">
      <c r="A1517" s="138">
        <v>115</v>
      </c>
      <c r="B1517" s="138" t="s">
        <v>2003</v>
      </c>
    </row>
    <row r="1518" spans="1:2" x14ac:dyDescent="0.25">
      <c r="A1518" s="20">
        <v>115</v>
      </c>
      <c r="B1518" s="20" t="s">
        <v>2003</v>
      </c>
    </row>
    <row r="1519" spans="1:2" x14ac:dyDescent="0.25">
      <c r="A1519" s="138">
        <v>115</v>
      </c>
      <c r="B1519" s="138" t="s">
        <v>2003</v>
      </c>
    </row>
    <row r="1520" spans="1:2" x14ac:dyDescent="0.25">
      <c r="A1520" s="20" t="s">
        <v>6243</v>
      </c>
      <c r="B1520" s="20" t="s">
        <v>6244</v>
      </c>
    </row>
    <row r="1521" spans="1:2" x14ac:dyDescent="0.25">
      <c r="A1521" s="138" t="s">
        <v>6243</v>
      </c>
      <c r="B1521" s="138" t="s">
        <v>6244</v>
      </c>
    </row>
    <row r="1522" spans="1:2" x14ac:dyDescent="0.25">
      <c r="A1522" s="20" t="s">
        <v>6243</v>
      </c>
      <c r="B1522" s="20" t="s">
        <v>6244</v>
      </c>
    </row>
    <row r="1523" spans="1:2" x14ac:dyDescent="0.25">
      <c r="A1523" s="138" t="s">
        <v>6243</v>
      </c>
      <c r="B1523" s="138" t="s">
        <v>6244</v>
      </c>
    </row>
    <row r="1524" spans="1:2" x14ac:dyDescent="0.25">
      <c r="A1524" s="20" t="s">
        <v>6243</v>
      </c>
      <c r="B1524" s="20" t="s">
        <v>6244</v>
      </c>
    </row>
    <row r="1525" spans="1:2" x14ac:dyDescent="0.25">
      <c r="A1525" s="138" t="s">
        <v>6243</v>
      </c>
      <c r="B1525" s="138" t="s">
        <v>6244</v>
      </c>
    </row>
    <row r="1526" spans="1:2" x14ac:dyDescent="0.25">
      <c r="A1526" s="20" t="s">
        <v>6243</v>
      </c>
      <c r="B1526" s="20" t="s">
        <v>6244</v>
      </c>
    </row>
    <row r="1527" spans="1:2" x14ac:dyDescent="0.25">
      <c r="A1527" s="138">
        <v>199</v>
      </c>
      <c r="B1527" s="138" t="s">
        <v>1275</v>
      </c>
    </row>
    <row r="1528" spans="1:2" x14ac:dyDescent="0.25">
      <c r="A1528" s="20">
        <v>234</v>
      </c>
      <c r="B1528" s="20" t="s">
        <v>206</v>
      </c>
    </row>
    <row r="1529" spans="1:2" x14ac:dyDescent="0.25">
      <c r="A1529" s="138">
        <v>234</v>
      </c>
      <c r="B1529" s="138" t="s">
        <v>206</v>
      </c>
    </row>
    <row r="1530" spans="1:2" x14ac:dyDescent="0.25">
      <c r="A1530" s="20">
        <v>59</v>
      </c>
      <c r="B1530" s="20" t="s">
        <v>171</v>
      </c>
    </row>
    <row r="1531" spans="1:2" x14ac:dyDescent="0.25">
      <c r="A1531" s="138">
        <v>59</v>
      </c>
      <c r="B1531" s="138" t="s">
        <v>171</v>
      </c>
    </row>
    <row r="1532" spans="1:2" x14ac:dyDescent="0.25">
      <c r="A1532" s="20">
        <v>59</v>
      </c>
      <c r="B1532" s="20" t="s">
        <v>171</v>
      </c>
    </row>
    <row r="1533" spans="1:2" x14ac:dyDescent="0.25">
      <c r="A1533" s="138">
        <v>109</v>
      </c>
      <c r="B1533" s="138" t="s">
        <v>924</v>
      </c>
    </row>
    <row r="1534" spans="1:2" x14ac:dyDescent="0.25">
      <c r="A1534" s="20">
        <v>109</v>
      </c>
      <c r="B1534" s="20" t="s">
        <v>924</v>
      </c>
    </row>
    <row r="1535" spans="1:2" x14ac:dyDescent="0.25">
      <c r="A1535" s="138">
        <v>109</v>
      </c>
      <c r="B1535" s="138" t="s">
        <v>924</v>
      </c>
    </row>
    <row r="1536" spans="1:2" x14ac:dyDescent="0.25">
      <c r="A1536" s="20">
        <v>109</v>
      </c>
      <c r="B1536" s="20" t="s">
        <v>924</v>
      </c>
    </row>
    <row r="1537" spans="1:2" x14ac:dyDescent="0.25">
      <c r="A1537" s="138">
        <v>109</v>
      </c>
      <c r="B1537" s="138" t="s">
        <v>1346</v>
      </c>
    </row>
    <row r="1538" spans="1:2" x14ac:dyDescent="0.25">
      <c r="A1538" s="20">
        <v>109</v>
      </c>
      <c r="B1538" s="20" t="s">
        <v>1346</v>
      </c>
    </row>
    <row r="1539" spans="1:2" x14ac:dyDescent="0.25">
      <c r="A1539" s="138">
        <v>109</v>
      </c>
      <c r="B1539" s="138" t="s">
        <v>924</v>
      </c>
    </row>
    <row r="1540" spans="1:2" x14ac:dyDescent="0.25">
      <c r="A1540" s="20">
        <v>96</v>
      </c>
      <c r="B1540" s="20" t="s">
        <v>1275</v>
      </c>
    </row>
    <row r="1541" spans="1:2" x14ac:dyDescent="0.25">
      <c r="A1541" s="138">
        <v>96</v>
      </c>
      <c r="B1541" s="138" t="s">
        <v>1275</v>
      </c>
    </row>
    <row r="1542" spans="1:2" x14ac:dyDescent="0.25">
      <c r="A1542" s="20">
        <v>96</v>
      </c>
      <c r="B1542" s="20" t="s">
        <v>1275</v>
      </c>
    </row>
    <row r="1543" spans="1:2" x14ac:dyDescent="0.25">
      <c r="A1543" s="138">
        <v>96</v>
      </c>
      <c r="B1543" s="138" t="s">
        <v>1275</v>
      </c>
    </row>
    <row r="1544" spans="1:2" x14ac:dyDescent="0.25">
      <c r="A1544" s="20">
        <v>96</v>
      </c>
      <c r="B1544" s="20" t="s">
        <v>1275</v>
      </c>
    </row>
    <row r="1545" spans="1:2" x14ac:dyDescent="0.25">
      <c r="A1545" s="20" t="s">
        <v>2517</v>
      </c>
      <c r="B1545" s="20" t="s">
        <v>1289</v>
      </c>
    </row>
    <row r="1546" spans="1:2" x14ac:dyDescent="0.25">
      <c r="A1546" s="138" t="s">
        <v>2517</v>
      </c>
      <c r="B1546" s="138" t="s">
        <v>1289</v>
      </c>
    </row>
    <row r="1547" spans="1:2" x14ac:dyDescent="0.25">
      <c r="A1547" s="20" t="s">
        <v>2517</v>
      </c>
      <c r="B1547" s="20" t="s">
        <v>1289</v>
      </c>
    </row>
    <row r="1548" spans="1:2" x14ac:dyDescent="0.25">
      <c r="A1548" s="138">
        <v>18</v>
      </c>
      <c r="B1548" s="138" t="s">
        <v>1289</v>
      </c>
    </row>
    <row r="1549" spans="1:2" x14ac:dyDescent="0.25">
      <c r="A1549" s="20">
        <v>18</v>
      </c>
      <c r="B1549" s="20" t="s">
        <v>1289</v>
      </c>
    </row>
    <row r="1550" spans="1:2" x14ac:dyDescent="0.25">
      <c r="A1550" s="138">
        <v>18</v>
      </c>
      <c r="B1550" s="138" t="s">
        <v>1289</v>
      </c>
    </row>
    <row r="1551" spans="1:2" x14ac:dyDescent="0.25">
      <c r="A1551" s="20">
        <v>27</v>
      </c>
      <c r="B1551" s="20" t="s">
        <v>655</v>
      </c>
    </row>
    <row r="1552" spans="1:2" x14ac:dyDescent="0.25">
      <c r="A1552" s="138">
        <v>27</v>
      </c>
      <c r="B1552" s="138" t="s">
        <v>655</v>
      </c>
    </row>
    <row r="1553" spans="1:2" x14ac:dyDescent="0.25">
      <c r="A1553" s="20">
        <v>27</v>
      </c>
      <c r="B1553" s="20" t="s">
        <v>655</v>
      </c>
    </row>
    <row r="1554" spans="1:2" x14ac:dyDescent="0.25">
      <c r="A1554" s="138">
        <v>27</v>
      </c>
      <c r="B1554" s="138" t="s">
        <v>655</v>
      </c>
    </row>
    <row r="1555" spans="1:2" x14ac:dyDescent="0.25">
      <c r="A1555" s="20">
        <v>16</v>
      </c>
      <c r="B1555" s="20" t="s">
        <v>2005</v>
      </c>
    </row>
    <row r="1556" spans="1:2" x14ac:dyDescent="0.25">
      <c r="A1556" s="138">
        <v>16</v>
      </c>
      <c r="B1556" s="138" t="s">
        <v>2005</v>
      </c>
    </row>
    <row r="1557" spans="1:2" x14ac:dyDescent="0.25">
      <c r="A1557" s="20">
        <v>16</v>
      </c>
      <c r="B1557" s="20" t="s">
        <v>2005</v>
      </c>
    </row>
    <row r="1558" spans="1:2" x14ac:dyDescent="0.25">
      <c r="A1558" s="138">
        <v>16</v>
      </c>
      <c r="B1558" s="138" t="s">
        <v>2005</v>
      </c>
    </row>
    <row r="1559" spans="1:2" x14ac:dyDescent="0.25">
      <c r="A1559" s="20">
        <v>16</v>
      </c>
      <c r="B1559" s="20" t="s">
        <v>2005</v>
      </c>
    </row>
    <row r="1560" spans="1:2" x14ac:dyDescent="0.25">
      <c r="A1560" s="138">
        <v>16</v>
      </c>
      <c r="B1560" s="138" t="s">
        <v>2005</v>
      </c>
    </row>
    <row r="1561" spans="1:2" x14ac:dyDescent="0.25">
      <c r="A1561" s="20">
        <v>16</v>
      </c>
      <c r="B1561" s="20" t="s">
        <v>2005</v>
      </c>
    </row>
    <row r="1562" spans="1:2" x14ac:dyDescent="0.25">
      <c r="A1562" s="138">
        <v>16</v>
      </c>
      <c r="B1562" s="138" t="s">
        <v>2005</v>
      </c>
    </row>
    <row r="1563" spans="1:2" x14ac:dyDescent="0.25">
      <c r="A1563" s="20">
        <v>16</v>
      </c>
      <c r="B1563" s="20" t="s">
        <v>2005</v>
      </c>
    </row>
    <row r="1564" spans="1:2" x14ac:dyDescent="0.25">
      <c r="A1564" s="138">
        <v>16</v>
      </c>
      <c r="B1564" s="138" t="s">
        <v>2005</v>
      </c>
    </row>
    <row r="1565" spans="1:2" x14ac:dyDescent="0.25">
      <c r="A1565" s="20">
        <v>16</v>
      </c>
      <c r="B1565" s="20" t="s">
        <v>2005</v>
      </c>
    </row>
    <row r="1566" spans="1:2" x14ac:dyDescent="0.25">
      <c r="A1566" s="138">
        <v>16</v>
      </c>
      <c r="B1566" s="138" t="s">
        <v>2005</v>
      </c>
    </row>
    <row r="1567" spans="1:2" x14ac:dyDescent="0.25">
      <c r="A1567" s="20">
        <v>16</v>
      </c>
      <c r="B1567" s="20" t="s">
        <v>2005</v>
      </c>
    </row>
    <row r="1568" spans="1:2" x14ac:dyDescent="0.25">
      <c r="A1568" s="138">
        <v>16</v>
      </c>
      <c r="B1568" s="138" t="s">
        <v>2005</v>
      </c>
    </row>
    <row r="1569" spans="1:2" x14ac:dyDescent="0.25">
      <c r="A1569" s="20">
        <v>11</v>
      </c>
      <c r="B1569" s="20" t="s">
        <v>638</v>
      </c>
    </row>
    <row r="1570" spans="1:2" x14ac:dyDescent="0.25">
      <c r="A1570" s="138">
        <v>11</v>
      </c>
      <c r="B1570" s="138" t="s">
        <v>638</v>
      </c>
    </row>
    <row r="1571" spans="1:2" x14ac:dyDescent="0.25">
      <c r="A1571" s="20">
        <v>11</v>
      </c>
      <c r="B1571" s="20" t="s">
        <v>638</v>
      </c>
    </row>
    <row r="1572" spans="1:2" x14ac:dyDescent="0.25">
      <c r="A1572" s="138">
        <v>11</v>
      </c>
      <c r="B1572" s="138" t="s">
        <v>638</v>
      </c>
    </row>
    <row r="1573" spans="1:2" x14ac:dyDescent="0.25">
      <c r="A1573" s="20">
        <v>11</v>
      </c>
      <c r="B1573" s="20" t="s">
        <v>638</v>
      </c>
    </row>
    <row r="1574" spans="1:2" x14ac:dyDescent="0.25">
      <c r="A1574" s="138">
        <v>11</v>
      </c>
      <c r="B1574" s="138" t="s">
        <v>638</v>
      </c>
    </row>
    <row r="1575" spans="1:2" x14ac:dyDescent="0.25">
      <c r="A1575" s="20">
        <v>11</v>
      </c>
      <c r="B1575" s="20" t="s">
        <v>638</v>
      </c>
    </row>
    <row r="1576" spans="1:2" x14ac:dyDescent="0.25">
      <c r="A1576" s="138">
        <v>11</v>
      </c>
      <c r="B1576" s="138" t="s">
        <v>638</v>
      </c>
    </row>
    <row r="1577" spans="1:2" x14ac:dyDescent="0.25">
      <c r="A1577" s="20">
        <v>11</v>
      </c>
      <c r="B1577" s="20" t="s">
        <v>638</v>
      </c>
    </row>
    <row r="1578" spans="1:2" x14ac:dyDescent="0.25">
      <c r="A1578" s="20" t="s">
        <v>3658</v>
      </c>
      <c r="B1578" s="20" t="s">
        <v>270</v>
      </c>
    </row>
    <row r="1579" spans="1:2" x14ac:dyDescent="0.25">
      <c r="A1579" s="138" t="s">
        <v>3658</v>
      </c>
      <c r="B1579" s="138" t="s">
        <v>270</v>
      </c>
    </row>
    <row r="1580" spans="1:2" x14ac:dyDescent="0.25">
      <c r="A1580" s="20" t="s">
        <v>3658</v>
      </c>
      <c r="B1580" s="20" t="s">
        <v>270</v>
      </c>
    </row>
    <row r="1581" spans="1:2" x14ac:dyDescent="0.25">
      <c r="A1581" s="20" t="s">
        <v>3710</v>
      </c>
      <c r="B1581" s="20" t="s">
        <v>280</v>
      </c>
    </row>
    <row r="1582" spans="1:2" x14ac:dyDescent="0.25">
      <c r="A1582" s="138">
        <v>11</v>
      </c>
      <c r="B1582" s="138" t="s">
        <v>638</v>
      </c>
    </row>
    <row r="1583" spans="1:2" x14ac:dyDescent="0.25">
      <c r="A1583" s="20">
        <v>11</v>
      </c>
      <c r="B1583" s="20" t="s">
        <v>638</v>
      </c>
    </row>
    <row r="1584" spans="1:2" x14ac:dyDescent="0.25">
      <c r="A1584" s="138">
        <v>227</v>
      </c>
      <c r="B1584" s="138" t="s">
        <v>545</v>
      </c>
    </row>
    <row r="1585" spans="1:2" x14ac:dyDescent="0.25">
      <c r="A1585" s="20" t="s">
        <v>6194</v>
      </c>
      <c r="B1585" s="20" t="s">
        <v>450</v>
      </c>
    </row>
    <row r="1586" spans="1:2" x14ac:dyDescent="0.25">
      <c r="A1586" s="138" t="s">
        <v>6194</v>
      </c>
      <c r="B1586" s="138" t="s">
        <v>450</v>
      </c>
    </row>
    <row r="1587" spans="1:2" x14ac:dyDescent="0.25">
      <c r="A1587" s="138" t="s">
        <v>6194</v>
      </c>
      <c r="B1587" s="138" t="s">
        <v>450</v>
      </c>
    </row>
    <row r="1588" spans="1:2" x14ac:dyDescent="0.25">
      <c r="A1588" s="20" t="s">
        <v>6194</v>
      </c>
      <c r="B1588" s="20" t="s">
        <v>450</v>
      </c>
    </row>
    <row r="1589" spans="1:2" x14ac:dyDescent="0.25">
      <c r="A1589" s="138" t="s">
        <v>6194</v>
      </c>
      <c r="B1589" s="138" t="s">
        <v>450</v>
      </c>
    </row>
    <row r="1590" spans="1:2" x14ac:dyDescent="0.25">
      <c r="A1590" s="20">
        <v>231</v>
      </c>
      <c r="B1590" s="20" t="s">
        <v>886</v>
      </c>
    </row>
    <row r="1591" spans="1:2" x14ac:dyDescent="0.25">
      <c r="A1591" s="138">
        <v>231</v>
      </c>
      <c r="B1591" s="138" t="s">
        <v>886</v>
      </c>
    </row>
    <row r="1592" spans="1:2" x14ac:dyDescent="0.25">
      <c r="A1592" s="20">
        <v>231</v>
      </c>
      <c r="B1592" s="20" t="s">
        <v>886</v>
      </c>
    </row>
    <row r="1593" spans="1:2" x14ac:dyDescent="0.25">
      <c r="A1593" s="138">
        <v>231</v>
      </c>
      <c r="B1593" s="138" t="s">
        <v>886</v>
      </c>
    </row>
    <row r="1594" spans="1:2" x14ac:dyDescent="0.25">
      <c r="A1594" s="20">
        <v>16</v>
      </c>
      <c r="B1594" s="20" t="s">
        <v>170</v>
      </c>
    </row>
    <row r="1595" spans="1:2" x14ac:dyDescent="0.25">
      <c r="A1595" s="138">
        <v>16</v>
      </c>
      <c r="B1595" s="138" t="s">
        <v>262</v>
      </c>
    </row>
    <row r="1596" spans="1:2" x14ac:dyDescent="0.25">
      <c r="A1596" s="20">
        <v>16</v>
      </c>
      <c r="B1596" s="20" t="s">
        <v>170</v>
      </c>
    </row>
    <row r="1597" spans="1:2" x14ac:dyDescent="0.25">
      <c r="A1597" s="138">
        <v>16</v>
      </c>
      <c r="B1597" s="138" t="s">
        <v>170</v>
      </c>
    </row>
    <row r="1598" spans="1:2" x14ac:dyDescent="0.25">
      <c r="A1598" s="20">
        <v>151</v>
      </c>
      <c r="B1598" s="20" t="s">
        <v>1161</v>
      </c>
    </row>
    <row r="1599" spans="1:2" x14ac:dyDescent="0.25">
      <c r="A1599" s="138">
        <v>151</v>
      </c>
      <c r="B1599" s="138" t="s">
        <v>1161</v>
      </c>
    </row>
    <row r="1600" spans="1:2" x14ac:dyDescent="0.25">
      <c r="A1600" s="20">
        <v>151</v>
      </c>
      <c r="B1600" s="20" t="s">
        <v>1161</v>
      </c>
    </row>
    <row r="1601" spans="1:2" x14ac:dyDescent="0.25">
      <c r="A1601" s="138">
        <v>151</v>
      </c>
      <c r="B1601" s="138" t="s">
        <v>1161</v>
      </c>
    </row>
    <row r="1602" spans="1:2" x14ac:dyDescent="0.25">
      <c r="A1602" s="20">
        <v>151</v>
      </c>
      <c r="B1602" s="20" t="s">
        <v>1161</v>
      </c>
    </row>
    <row r="1603" spans="1:2" x14ac:dyDescent="0.25">
      <c r="A1603" s="138">
        <v>151</v>
      </c>
      <c r="B1603" s="138" t="s">
        <v>1161</v>
      </c>
    </row>
    <row r="1604" spans="1:2" x14ac:dyDescent="0.25">
      <c r="A1604" s="20">
        <v>151</v>
      </c>
      <c r="B1604" s="20" t="s">
        <v>1161</v>
      </c>
    </row>
    <row r="1605" spans="1:2" x14ac:dyDescent="0.25">
      <c r="A1605" s="138">
        <v>151</v>
      </c>
      <c r="B1605" s="138" t="s">
        <v>1161</v>
      </c>
    </row>
    <row r="1606" spans="1:2" x14ac:dyDescent="0.25">
      <c r="A1606" s="20">
        <v>151</v>
      </c>
      <c r="B1606" s="20" t="s">
        <v>1161</v>
      </c>
    </row>
    <row r="1607" spans="1:2" x14ac:dyDescent="0.25">
      <c r="A1607" s="138">
        <v>151</v>
      </c>
      <c r="B1607" s="138" t="s">
        <v>1161</v>
      </c>
    </row>
    <row r="1608" spans="1:2" x14ac:dyDescent="0.25">
      <c r="A1608" s="20">
        <v>151</v>
      </c>
      <c r="B1608" s="20" t="s">
        <v>1161</v>
      </c>
    </row>
    <row r="1609" spans="1:2" x14ac:dyDescent="0.25">
      <c r="A1609" s="138">
        <v>151</v>
      </c>
      <c r="B1609" s="138" t="s">
        <v>1161</v>
      </c>
    </row>
    <row r="1610" spans="1:2" x14ac:dyDescent="0.25">
      <c r="A1610" s="20">
        <v>151</v>
      </c>
      <c r="B1610" s="20" t="s">
        <v>1161</v>
      </c>
    </row>
    <row r="1611" spans="1:2" x14ac:dyDescent="0.25">
      <c r="A1611" s="138">
        <v>151</v>
      </c>
      <c r="B1611" s="138" t="s">
        <v>1161</v>
      </c>
    </row>
    <row r="1612" spans="1:2" x14ac:dyDescent="0.25">
      <c r="A1612" s="20">
        <v>151</v>
      </c>
      <c r="B1612" s="20" t="s">
        <v>1161</v>
      </c>
    </row>
    <row r="1613" spans="1:2" x14ac:dyDescent="0.25">
      <c r="A1613" s="138">
        <v>151</v>
      </c>
      <c r="B1613" s="138" t="s">
        <v>1161</v>
      </c>
    </row>
    <row r="1614" spans="1:2" x14ac:dyDescent="0.25">
      <c r="A1614" s="20">
        <v>151</v>
      </c>
      <c r="B1614" s="20" t="s">
        <v>1161</v>
      </c>
    </row>
    <row r="1615" spans="1:2" x14ac:dyDescent="0.25">
      <c r="A1615" s="138">
        <v>151</v>
      </c>
      <c r="B1615" s="138" t="s">
        <v>1161</v>
      </c>
    </row>
    <row r="1616" spans="1:2" x14ac:dyDescent="0.25">
      <c r="A1616" s="20">
        <v>151</v>
      </c>
      <c r="B1616" s="20" t="s">
        <v>1161</v>
      </c>
    </row>
    <row r="1617" spans="1:2" x14ac:dyDescent="0.25">
      <c r="A1617" s="138">
        <v>151</v>
      </c>
      <c r="B1617" s="138" t="s">
        <v>1161</v>
      </c>
    </row>
    <row r="1618" spans="1:2" x14ac:dyDescent="0.25">
      <c r="A1618" s="20">
        <v>151</v>
      </c>
      <c r="B1618" s="20" t="s">
        <v>1161</v>
      </c>
    </row>
    <row r="1619" spans="1:2" x14ac:dyDescent="0.25">
      <c r="A1619" s="138">
        <v>151</v>
      </c>
      <c r="B1619" s="138" t="s">
        <v>1161</v>
      </c>
    </row>
    <row r="1620" spans="1:2" x14ac:dyDescent="0.25">
      <c r="A1620" s="20">
        <v>242</v>
      </c>
      <c r="B1620" s="20" t="s">
        <v>1326</v>
      </c>
    </row>
    <row r="1621" spans="1:2" x14ac:dyDescent="0.25">
      <c r="A1621" s="138">
        <v>96</v>
      </c>
      <c r="B1621" s="138" t="s">
        <v>1403</v>
      </c>
    </row>
    <row r="1622" spans="1:2" x14ac:dyDescent="0.25">
      <c r="A1622" s="138">
        <v>96</v>
      </c>
      <c r="B1622" s="138" t="s">
        <v>1403</v>
      </c>
    </row>
    <row r="1623" spans="1:2" x14ac:dyDescent="0.25">
      <c r="A1623" s="138">
        <v>96</v>
      </c>
      <c r="B1623" s="138" t="s">
        <v>1403</v>
      </c>
    </row>
    <row r="1624" spans="1:2" x14ac:dyDescent="0.25">
      <c r="A1624" s="20">
        <v>96</v>
      </c>
      <c r="B1624" s="20" t="s">
        <v>1403</v>
      </c>
    </row>
    <row r="1625" spans="1:2" x14ac:dyDescent="0.25">
      <c r="A1625" s="138">
        <v>96</v>
      </c>
      <c r="B1625" s="138" t="s">
        <v>1403</v>
      </c>
    </row>
    <row r="1626" spans="1:2" x14ac:dyDescent="0.25">
      <c r="A1626" s="20">
        <v>96</v>
      </c>
      <c r="B1626" s="20" t="s">
        <v>1403</v>
      </c>
    </row>
    <row r="1627" spans="1:2" x14ac:dyDescent="0.25">
      <c r="A1627" s="138">
        <v>96</v>
      </c>
      <c r="B1627" s="138" t="s">
        <v>1403</v>
      </c>
    </row>
    <row r="1628" spans="1:2" x14ac:dyDescent="0.25">
      <c r="A1628" s="20">
        <v>96</v>
      </c>
      <c r="B1628" s="20" t="s">
        <v>1403</v>
      </c>
    </row>
    <row r="1629" spans="1:2" x14ac:dyDescent="0.25">
      <c r="A1629" s="138">
        <v>97</v>
      </c>
      <c r="B1629" s="138" t="s">
        <v>206</v>
      </c>
    </row>
    <row r="1630" spans="1:2" x14ac:dyDescent="0.25">
      <c r="A1630" s="20">
        <v>97</v>
      </c>
      <c r="B1630" s="20" t="s">
        <v>206</v>
      </c>
    </row>
    <row r="1631" spans="1:2" x14ac:dyDescent="0.25">
      <c r="A1631" s="138">
        <v>97</v>
      </c>
      <c r="B1631" s="138" t="s">
        <v>206</v>
      </c>
    </row>
    <row r="1632" spans="1:2" x14ac:dyDescent="0.25">
      <c r="A1632" s="20" t="s">
        <v>6218</v>
      </c>
      <c r="B1632" s="20" t="s">
        <v>6218</v>
      </c>
    </row>
    <row r="1633" spans="1:2" x14ac:dyDescent="0.25">
      <c r="A1633" s="138" t="s">
        <v>6218</v>
      </c>
      <c r="B1633" s="138" t="s">
        <v>6218</v>
      </c>
    </row>
    <row r="1634" spans="1:2" x14ac:dyDescent="0.25">
      <c r="A1634" s="20" t="s">
        <v>6218</v>
      </c>
      <c r="B1634" s="20" t="s">
        <v>6218</v>
      </c>
    </row>
    <row r="1635" spans="1:2" x14ac:dyDescent="0.25">
      <c r="A1635" s="138" t="s">
        <v>6218</v>
      </c>
      <c r="B1635" s="138" t="s">
        <v>6218</v>
      </c>
    </row>
    <row r="1636" spans="1:2" x14ac:dyDescent="0.25">
      <c r="A1636" s="20" t="s">
        <v>6218</v>
      </c>
      <c r="B1636" s="20" t="s">
        <v>6218</v>
      </c>
    </row>
    <row r="1637" spans="1:2" x14ac:dyDescent="0.25">
      <c r="A1637" s="20" t="s">
        <v>6218</v>
      </c>
      <c r="B1637" s="20" t="s">
        <v>6218</v>
      </c>
    </row>
    <row r="1638" spans="1:2" x14ac:dyDescent="0.25">
      <c r="A1638" s="20" t="s">
        <v>6218</v>
      </c>
      <c r="B1638" s="20" t="s">
        <v>6218</v>
      </c>
    </row>
    <row r="1639" spans="1:2" x14ac:dyDescent="0.25">
      <c r="A1639" s="20" t="s">
        <v>6218</v>
      </c>
      <c r="B1639" s="20" t="s">
        <v>6218</v>
      </c>
    </row>
    <row r="1640" spans="1:2" x14ac:dyDescent="0.25">
      <c r="A1640" s="138" t="s">
        <v>6218</v>
      </c>
      <c r="B1640" s="138" t="s">
        <v>6218</v>
      </c>
    </row>
    <row r="1641" spans="1:2" x14ac:dyDescent="0.25">
      <c r="A1641" s="138" t="s">
        <v>6218</v>
      </c>
      <c r="B1641" s="138" t="s">
        <v>6218</v>
      </c>
    </row>
    <row r="1642" spans="1:2" x14ac:dyDescent="0.25">
      <c r="A1642" s="20" t="s">
        <v>6218</v>
      </c>
      <c r="B1642" s="20" t="s">
        <v>6218</v>
      </c>
    </row>
    <row r="1643" spans="1:2" x14ac:dyDescent="0.25">
      <c r="A1643" s="138" t="s">
        <v>6218</v>
      </c>
      <c r="B1643" s="138" t="s">
        <v>6218</v>
      </c>
    </row>
    <row r="1644" spans="1:2" x14ac:dyDescent="0.25">
      <c r="A1644" s="20" t="s">
        <v>6218</v>
      </c>
      <c r="B1644" s="20" t="s">
        <v>6218</v>
      </c>
    </row>
    <row r="1645" spans="1:2" x14ac:dyDescent="0.25">
      <c r="A1645" s="20" t="s">
        <v>6218</v>
      </c>
      <c r="B1645" s="20" t="s">
        <v>6218</v>
      </c>
    </row>
    <row r="1646" spans="1:2" x14ac:dyDescent="0.25">
      <c r="A1646" s="20" t="s">
        <v>6218</v>
      </c>
      <c r="B1646" s="20" t="s">
        <v>6218</v>
      </c>
    </row>
    <row r="1647" spans="1:2" x14ac:dyDescent="0.25">
      <c r="A1647" s="20" t="s">
        <v>6218</v>
      </c>
      <c r="B1647" s="20" t="s">
        <v>6218</v>
      </c>
    </row>
    <row r="1648" spans="1:2" x14ac:dyDescent="0.25">
      <c r="A1648" s="138" t="s">
        <v>6218</v>
      </c>
      <c r="B1648" s="138" t="s">
        <v>6218</v>
      </c>
    </row>
    <row r="1649" spans="1:2" x14ac:dyDescent="0.25">
      <c r="A1649" s="138" t="s">
        <v>6218</v>
      </c>
      <c r="B1649" s="138" t="s">
        <v>6218</v>
      </c>
    </row>
    <row r="1650" spans="1:2" x14ac:dyDescent="0.25">
      <c r="A1650" s="20" t="s">
        <v>6218</v>
      </c>
      <c r="B1650" s="20" t="s">
        <v>6218</v>
      </c>
    </row>
    <row r="1651" spans="1:2" x14ac:dyDescent="0.25">
      <c r="A1651" s="138" t="s">
        <v>6218</v>
      </c>
      <c r="B1651" s="138" t="s">
        <v>6218</v>
      </c>
    </row>
    <row r="1652" spans="1:2" x14ac:dyDescent="0.25">
      <c r="A1652" s="20" t="s">
        <v>6218</v>
      </c>
      <c r="B1652" s="20" t="s">
        <v>6218</v>
      </c>
    </row>
    <row r="1653" spans="1:2" x14ac:dyDescent="0.25">
      <c r="A1653" s="20" t="s">
        <v>6218</v>
      </c>
      <c r="B1653" s="20" t="s">
        <v>6218</v>
      </c>
    </row>
    <row r="1654" spans="1:2" x14ac:dyDescent="0.25">
      <c r="A1654" s="138" t="s">
        <v>6218</v>
      </c>
      <c r="B1654" s="138" t="s">
        <v>6218</v>
      </c>
    </row>
    <row r="1655" spans="1:2" x14ac:dyDescent="0.25">
      <c r="A1655" s="20" t="s">
        <v>6218</v>
      </c>
      <c r="B1655" s="20" t="s">
        <v>6218</v>
      </c>
    </row>
    <row r="1656" spans="1:2" x14ac:dyDescent="0.25">
      <c r="A1656" s="138" t="s">
        <v>6218</v>
      </c>
      <c r="B1656" s="138" t="s">
        <v>6218</v>
      </c>
    </row>
    <row r="1657" spans="1:2" x14ac:dyDescent="0.25">
      <c r="A1657" s="20" t="s">
        <v>6218</v>
      </c>
      <c r="B1657" s="20" t="s">
        <v>6218</v>
      </c>
    </row>
    <row r="1658" spans="1:2" x14ac:dyDescent="0.25">
      <c r="A1658" s="138" t="s">
        <v>6218</v>
      </c>
      <c r="B1658" s="138" t="s">
        <v>6218</v>
      </c>
    </row>
    <row r="1659" spans="1:2" x14ac:dyDescent="0.25">
      <c r="A1659" s="20" t="s">
        <v>6218</v>
      </c>
      <c r="B1659" s="20" t="s">
        <v>6218</v>
      </c>
    </row>
    <row r="1660" spans="1:2" x14ac:dyDescent="0.25">
      <c r="A1660" s="20" t="s">
        <v>6218</v>
      </c>
      <c r="B1660" s="20" t="s">
        <v>6218</v>
      </c>
    </row>
    <row r="1661" spans="1:2" x14ac:dyDescent="0.25">
      <c r="A1661" s="138" t="s">
        <v>6218</v>
      </c>
      <c r="B1661" s="138" t="s">
        <v>6218</v>
      </c>
    </row>
    <row r="1662" spans="1:2" x14ac:dyDescent="0.25">
      <c r="A1662" s="20" t="s">
        <v>6218</v>
      </c>
      <c r="B1662" s="20" t="s">
        <v>6218</v>
      </c>
    </row>
    <row r="1663" spans="1:2" x14ac:dyDescent="0.25">
      <c r="A1663" s="138" t="s">
        <v>6218</v>
      </c>
      <c r="B1663" s="138" t="s">
        <v>6218</v>
      </c>
    </row>
    <row r="1664" spans="1:2" x14ac:dyDescent="0.25">
      <c r="A1664" s="20" t="s">
        <v>6218</v>
      </c>
      <c r="B1664" s="20" t="s">
        <v>6218</v>
      </c>
    </row>
    <row r="1665" spans="1:2" x14ac:dyDescent="0.25">
      <c r="A1665" s="138" t="s">
        <v>6218</v>
      </c>
      <c r="B1665" s="138" t="s">
        <v>6218</v>
      </c>
    </row>
    <row r="1666" spans="1:2" x14ac:dyDescent="0.25">
      <c r="A1666" s="20" t="s">
        <v>6218</v>
      </c>
      <c r="B1666" s="20" t="s">
        <v>6218</v>
      </c>
    </row>
    <row r="1667" spans="1:2" x14ac:dyDescent="0.25">
      <c r="A1667" s="20" t="s">
        <v>6218</v>
      </c>
      <c r="B1667" s="20" t="s">
        <v>6218</v>
      </c>
    </row>
    <row r="1668" spans="1:2" x14ac:dyDescent="0.25">
      <c r="A1668" s="138" t="s">
        <v>6218</v>
      </c>
      <c r="B1668" s="138" t="s">
        <v>6218</v>
      </c>
    </row>
    <row r="1669" spans="1:2" x14ac:dyDescent="0.25">
      <c r="A1669" s="20" t="s">
        <v>6218</v>
      </c>
      <c r="B1669" s="20" t="s">
        <v>6218</v>
      </c>
    </row>
    <row r="1670" spans="1:2" x14ac:dyDescent="0.25">
      <c r="A1670" s="138" t="s">
        <v>6218</v>
      </c>
      <c r="B1670" s="138" t="s">
        <v>6218</v>
      </c>
    </row>
    <row r="1671" spans="1:2" x14ac:dyDescent="0.25">
      <c r="A1671" s="20" t="s">
        <v>6218</v>
      </c>
      <c r="B1671" s="20" t="s">
        <v>6218</v>
      </c>
    </row>
    <row r="1672" spans="1:2" x14ac:dyDescent="0.25">
      <c r="A1672" s="20" t="s">
        <v>6218</v>
      </c>
      <c r="B1672" s="20" t="s">
        <v>6218</v>
      </c>
    </row>
    <row r="1673" spans="1:2" x14ac:dyDescent="0.25">
      <c r="A1673" s="138" t="s">
        <v>6218</v>
      </c>
      <c r="B1673" s="138" t="s">
        <v>6218</v>
      </c>
    </row>
    <row r="1674" spans="1:2" x14ac:dyDescent="0.25">
      <c r="A1674" s="20" t="s">
        <v>6218</v>
      </c>
      <c r="B1674" s="20" t="s">
        <v>6218</v>
      </c>
    </row>
    <row r="1675" spans="1:2" x14ac:dyDescent="0.25">
      <c r="A1675" s="138" t="s">
        <v>6218</v>
      </c>
      <c r="B1675" s="138" t="s">
        <v>6218</v>
      </c>
    </row>
    <row r="1676" spans="1:2" x14ac:dyDescent="0.25">
      <c r="A1676" s="20" t="s">
        <v>6218</v>
      </c>
      <c r="B1676" s="20" t="s">
        <v>6218</v>
      </c>
    </row>
    <row r="1677" spans="1:2" x14ac:dyDescent="0.25">
      <c r="A1677" s="20" t="s">
        <v>6218</v>
      </c>
      <c r="B1677" s="20" t="s">
        <v>6218</v>
      </c>
    </row>
    <row r="1678" spans="1:2" x14ac:dyDescent="0.25">
      <c r="A1678" s="20" t="s">
        <v>6218</v>
      </c>
      <c r="B1678" s="20" t="s">
        <v>6218</v>
      </c>
    </row>
    <row r="1679" spans="1:2" x14ac:dyDescent="0.25">
      <c r="A1679" s="138" t="s">
        <v>6218</v>
      </c>
      <c r="B1679" s="138" t="s">
        <v>6218</v>
      </c>
    </row>
    <row r="1680" spans="1:2" x14ac:dyDescent="0.25">
      <c r="A1680" s="138" t="s">
        <v>6218</v>
      </c>
      <c r="B1680" s="138" t="s">
        <v>6218</v>
      </c>
    </row>
    <row r="1681" spans="1:2" x14ac:dyDescent="0.25">
      <c r="A1681" s="20" t="s">
        <v>6218</v>
      </c>
      <c r="B1681" s="20" t="s">
        <v>6218</v>
      </c>
    </row>
    <row r="1682" spans="1:2" x14ac:dyDescent="0.25">
      <c r="A1682" s="138" t="s">
        <v>6218</v>
      </c>
      <c r="B1682" s="138" t="s">
        <v>6218</v>
      </c>
    </row>
    <row r="1683" spans="1:2" x14ac:dyDescent="0.25">
      <c r="A1683" s="138" t="s">
        <v>6218</v>
      </c>
      <c r="B1683" s="138" t="s">
        <v>6218</v>
      </c>
    </row>
    <row r="1684" spans="1:2" x14ac:dyDescent="0.25">
      <c r="A1684" s="20" t="s">
        <v>6218</v>
      </c>
      <c r="B1684" s="20" t="s">
        <v>6218</v>
      </c>
    </row>
    <row r="1685" spans="1:2" x14ac:dyDescent="0.25">
      <c r="A1685" s="138" t="s">
        <v>6218</v>
      </c>
      <c r="B1685" s="138" t="s">
        <v>6218</v>
      </c>
    </row>
    <row r="1686" spans="1:2" x14ac:dyDescent="0.25">
      <c r="A1686" s="138" t="s">
        <v>6218</v>
      </c>
      <c r="B1686" s="138" t="s">
        <v>6218</v>
      </c>
    </row>
    <row r="1687" spans="1:2" x14ac:dyDescent="0.25">
      <c r="A1687" s="138" t="s">
        <v>6218</v>
      </c>
      <c r="B1687" s="138" t="s">
        <v>6218</v>
      </c>
    </row>
    <row r="1688" spans="1:2" x14ac:dyDescent="0.25">
      <c r="A1688" s="138" t="s">
        <v>6218</v>
      </c>
      <c r="B1688" s="138" t="s">
        <v>6218</v>
      </c>
    </row>
    <row r="1689" spans="1:2" x14ac:dyDescent="0.25">
      <c r="A1689" s="138" t="s">
        <v>6218</v>
      </c>
      <c r="B1689" s="138" t="s">
        <v>6218</v>
      </c>
    </row>
    <row r="1690" spans="1:2" x14ac:dyDescent="0.25">
      <c r="A1690" s="138" t="s">
        <v>6221</v>
      </c>
      <c r="B1690" s="138" t="s">
        <v>337</v>
      </c>
    </row>
    <row r="1691" spans="1:2" x14ac:dyDescent="0.25">
      <c r="A1691" s="20" t="s">
        <v>6221</v>
      </c>
      <c r="B1691" s="20" t="s">
        <v>337</v>
      </c>
    </row>
    <row r="1692" spans="1:2" x14ac:dyDescent="0.25">
      <c r="A1692" s="138" t="s">
        <v>6221</v>
      </c>
      <c r="B1692" s="138" t="s">
        <v>337</v>
      </c>
    </row>
    <row r="1693" spans="1:2" x14ac:dyDescent="0.25">
      <c r="A1693" s="20" t="s">
        <v>6221</v>
      </c>
      <c r="B1693" s="20" t="s">
        <v>337</v>
      </c>
    </row>
    <row r="1694" spans="1:2" x14ac:dyDescent="0.25">
      <c r="A1694" s="138" t="s">
        <v>6221</v>
      </c>
      <c r="B1694" s="138" t="s">
        <v>337</v>
      </c>
    </row>
    <row r="1695" spans="1:2" x14ac:dyDescent="0.25">
      <c r="A1695" s="20" t="s">
        <v>6221</v>
      </c>
      <c r="B1695" s="20" t="s">
        <v>337</v>
      </c>
    </row>
    <row r="1696" spans="1:2" x14ac:dyDescent="0.25">
      <c r="A1696" s="138" t="s">
        <v>6221</v>
      </c>
      <c r="B1696" s="138" t="s">
        <v>337</v>
      </c>
    </row>
    <row r="1697" spans="1:2" x14ac:dyDescent="0.25">
      <c r="A1697" s="20" t="s">
        <v>6221</v>
      </c>
      <c r="B1697" s="20" t="s">
        <v>337</v>
      </c>
    </row>
    <row r="1698" spans="1:2" x14ac:dyDescent="0.25">
      <c r="A1698" s="138" t="s">
        <v>6221</v>
      </c>
      <c r="B1698" s="138" t="s">
        <v>337</v>
      </c>
    </row>
    <row r="1699" spans="1:2" x14ac:dyDescent="0.25">
      <c r="A1699" s="20" t="s">
        <v>6221</v>
      </c>
      <c r="B1699" s="20" t="s">
        <v>337</v>
      </c>
    </row>
    <row r="1700" spans="1:2" x14ac:dyDescent="0.25">
      <c r="A1700" s="138" t="s">
        <v>6221</v>
      </c>
      <c r="B1700" s="138" t="s">
        <v>337</v>
      </c>
    </row>
    <row r="1701" spans="1:2" x14ac:dyDescent="0.25">
      <c r="A1701" s="20" t="s">
        <v>6221</v>
      </c>
      <c r="B1701" s="20" t="s">
        <v>337</v>
      </c>
    </row>
    <row r="1702" spans="1:2" x14ac:dyDescent="0.25">
      <c r="A1702" s="20" t="s">
        <v>6221</v>
      </c>
      <c r="B1702" s="20" t="s">
        <v>337</v>
      </c>
    </row>
    <row r="1703" spans="1:2" x14ac:dyDescent="0.25">
      <c r="A1703" s="138" t="s">
        <v>6221</v>
      </c>
      <c r="B1703" s="138" t="s">
        <v>337</v>
      </c>
    </row>
    <row r="1704" spans="1:2" x14ac:dyDescent="0.25">
      <c r="A1704" s="20" t="s">
        <v>6221</v>
      </c>
      <c r="B1704" s="20" t="s">
        <v>337</v>
      </c>
    </row>
    <row r="1705" spans="1:2" x14ac:dyDescent="0.25">
      <c r="A1705" s="138" t="s">
        <v>6221</v>
      </c>
      <c r="B1705" s="138" t="s">
        <v>337</v>
      </c>
    </row>
    <row r="1706" spans="1:2" x14ac:dyDescent="0.25">
      <c r="A1706" s="20" t="s">
        <v>6221</v>
      </c>
      <c r="B1706" s="20" t="s">
        <v>337</v>
      </c>
    </row>
    <row r="1707" spans="1:2" x14ac:dyDescent="0.25">
      <c r="A1707" s="138">
        <v>16</v>
      </c>
      <c r="B1707" s="138" t="s">
        <v>417</v>
      </c>
    </row>
    <row r="1708" spans="1:2" x14ac:dyDescent="0.25">
      <c r="A1708" s="20">
        <v>252</v>
      </c>
      <c r="B1708" s="20" t="s">
        <v>615</v>
      </c>
    </row>
    <row r="1709" spans="1:2" x14ac:dyDescent="0.25">
      <c r="A1709" s="138">
        <v>252</v>
      </c>
      <c r="B1709" s="138" t="s">
        <v>615</v>
      </c>
    </row>
    <row r="1710" spans="1:2" x14ac:dyDescent="0.25">
      <c r="A1710" s="20">
        <v>252</v>
      </c>
      <c r="B1710" s="20" t="s">
        <v>615</v>
      </c>
    </row>
    <row r="1711" spans="1:2" x14ac:dyDescent="0.25">
      <c r="A1711" s="20">
        <v>16</v>
      </c>
      <c r="B1711" s="20" t="s">
        <v>417</v>
      </c>
    </row>
    <row r="1712" spans="1:2" x14ac:dyDescent="0.25">
      <c r="A1712" s="138">
        <v>252</v>
      </c>
      <c r="B1712" s="138" t="s">
        <v>615</v>
      </c>
    </row>
    <row r="1713" spans="1:2" x14ac:dyDescent="0.25">
      <c r="A1713" s="20">
        <v>252</v>
      </c>
      <c r="B1713" s="20" t="s">
        <v>615</v>
      </c>
    </row>
    <row r="1714" spans="1:2" x14ac:dyDescent="0.25">
      <c r="A1714" s="138">
        <v>23</v>
      </c>
      <c r="B1714" s="138">
        <v>275</v>
      </c>
    </row>
    <row r="1715" spans="1:2" x14ac:dyDescent="0.25">
      <c r="A1715" s="20">
        <v>23</v>
      </c>
      <c r="B1715" s="20">
        <v>275</v>
      </c>
    </row>
    <row r="1716" spans="1:2" x14ac:dyDescent="0.25">
      <c r="A1716" s="138">
        <v>23</v>
      </c>
      <c r="B1716" s="138">
        <v>275</v>
      </c>
    </row>
    <row r="1717" spans="1:2" x14ac:dyDescent="0.25">
      <c r="A1717" s="20">
        <v>23</v>
      </c>
      <c r="B1717" s="20">
        <v>275</v>
      </c>
    </row>
    <row r="1718" spans="1:2" x14ac:dyDescent="0.25">
      <c r="A1718" s="138">
        <v>23</v>
      </c>
      <c r="B1718" s="138">
        <v>275</v>
      </c>
    </row>
    <row r="1719" spans="1:2" x14ac:dyDescent="0.25">
      <c r="A1719" s="20">
        <v>23</v>
      </c>
      <c r="B1719" s="20">
        <v>275</v>
      </c>
    </row>
    <row r="1720" spans="1:2" x14ac:dyDescent="0.25">
      <c r="A1720" s="138">
        <v>23</v>
      </c>
      <c r="B1720" s="138">
        <v>275</v>
      </c>
    </row>
    <row r="1721" spans="1:2" x14ac:dyDescent="0.25">
      <c r="A1721" s="20" t="s">
        <v>6229</v>
      </c>
      <c r="B1721" s="20" t="s">
        <v>1726</v>
      </c>
    </row>
    <row r="1722" spans="1:2" x14ac:dyDescent="0.25">
      <c r="A1722" s="138">
        <v>115</v>
      </c>
      <c r="B1722" s="138" t="s">
        <v>2003</v>
      </c>
    </row>
    <row r="1723" spans="1:2" x14ac:dyDescent="0.25">
      <c r="A1723" s="20">
        <v>115</v>
      </c>
      <c r="B1723" s="20" t="s">
        <v>2003</v>
      </c>
    </row>
    <row r="1724" spans="1:2" x14ac:dyDescent="0.25">
      <c r="A1724" s="138">
        <v>115</v>
      </c>
      <c r="B1724" s="138" t="s">
        <v>2003</v>
      </c>
    </row>
    <row r="1725" spans="1:2" x14ac:dyDescent="0.25">
      <c r="A1725" s="20">
        <v>115</v>
      </c>
      <c r="B1725" s="20" t="s">
        <v>2003</v>
      </c>
    </row>
    <row r="1726" spans="1:2" x14ac:dyDescent="0.25">
      <c r="A1726" s="138">
        <v>115</v>
      </c>
      <c r="B1726" s="138" t="s">
        <v>2003</v>
      </c>
    </row>
    <row r="1727" spans="1:2" x14ac:dyDescent="0.25">
      <c r="A1727" s="20">
        <v>115</v>
      </c>
      <c r="B1727" s="20" t="s">
        <v>2003</v>
      </c>
    </row>
    <row r="1728" spans="1:2" x14ac:dyDescent="0.25">
      <c r="A1728" s="138">
        <v>115</v>
      </c>
      <c r="B1728" s="138" t="s">
        <v>2003</v>
      </c>
    </row>
    <row r="1729" spans="1:2" x14ac:dyDescent="0.25">
      <c r="A1729" s="20">
        <v>199</v>
      </c>
      <c r="B1729" s="20" t="s">
        <v>1275</v>
      </c>
    </row>
    <row r="1730" spans="1:2" x14ac:dyDescent="0.25">
      <c r="A1730" s="138">
        <v>234</v>
      </c>
      <c r="B1730" s="138" t="s">
        <v>206</v>
      </c>
    </row>
    <row r="1731" spans="1:2" x14ac:dyDescent="0.25">
      <c r="A1731" s="20">
        <v>109</v>
      </c>
      <c r="B1731" s="20" t="s">
        <v>777</v>
      </c>
    </row>
    <row r="1732" spans="1:2" x14ac:dyDescent="0.25">
      <c r="A1732" s="138">
        <v>96</v>
      </c>
      <c r="B1732" s="138" t="s">
        <v>1275</v>
      </c>
    </row>
    <row r="1733" spans="1:2" x14ac:dyDescent="0.25">
      <c r="A1733" s="20">
        <v>96</v>
      </c>
      <c r="B1733" s="20" t="s">
        <v>1275</v>
      </c>
    </row>
    <row r="1734" spans="1:2" x14ac:dyDescent="0.25">
      <c r="A1734" s="138">
        <v>96</v>
      </c>
      <c r="B1734" s="138" t="s">
        <v>1275</v>
      </c>
    </row>
    <row r="1735" spans="1:2" x14ac:dyDescent="0.25">
      <c r="A1735" s="20">
        <v>96</v>
      </c>
      <c r="B1735" s="20" t="s">
        <v>1275</v>
      </c>
    </row>
    <row r="1736" spans="1:2" x14ac:dyDescent="0.25">
      <c r="A1736" s="138">
        <v>96</v>
      </c>
      <c r="B1736" s="138" t="s">
        <v>1275</v>
      </c>
    </row>
    <row r="1737" spans="1:2" x14ac:dyDescent="0.25">
      <c r="A1737" s="20">
        <v>32</v>
      </c>
      <c r="B1737" s="20" t="s">
        <v>693</v>
      </c>
    </row>
    <row r="1738" spans="1:2" x14ac:dyDescent="0.25">
      <c r="A1738" s="20">
        <v>32</v>
      </c>
      <c r="B1738" s="20" t="s">
        <v>693</v>
      </c>
    </row>
    <row r="1739" spans="1:2" x14ac:dyDescent="0.25">
      <c r="A1739" s="20">
        <v>18</v>
      </c>
      <c r="B1739" s="20" t="s">
        <v>1289</v>
      </c>
    </row>
    <row r="1740" spans="1:2" x14ac:dyDescent="0.25">
      <c r="A1740" s="138">
        <v>18</v>
      </c>
      <c r="B1740" s="138" t="s">
        <v>1289</v>
      </c>
    </row>
    <row r="1741" spans="1:2" x14ac:dyDescent="0.25">
      <c r="A1741" s="20" t="s">
        <v>2517</v>
      </c>
      <c r="B1741" s="20" t="s">
        <v>1289</v>
      </c>
    </row>
    <row r="1742" spans="1:2" x14ac:dyDescent="0.25">
      <c r="A1742" s="138">
        <v>18</v>
      </c>
      <c r="B1742" s="138" t="s">
        <v>1289</v>
      </c>
    </row>
    <row r="1743" spans="1:2" x14ac:dyDescent="0.25">
      <c r="A1743" s="20" t="s">
        <v>2517</v>
      </c>
      <c r="B1743" s="20" t="s">
        <v>1289</v>
      </c>
    </row>
    <row r="1744" spans="1:2" x14ac:dyDescent="0.25">
      <c r="A1744" s="138">
        <v>18</v>
      </c>
      <c r="B1744" s="138" t="s">
        <v>1289</v>
      </c>
    </row>
    <row r="1745" spans="1:2" x14ac:dyDescent="0.25">
      <c r="A1745" s="138">
        <v>18</v>
      </c>
      <c r="B1745" s="138" t="s">
        <v>1289</v>
      </c>
    </row>
    <row r="1746" spans="1:2" x14ac:dyDescent="0.25">
      <c r="A1746" s="20">
        <v>18</v>
      </c>
      <c r="B1746" s="20" t="s">
        <v>1289</v>
      </c>
    </row>
    <row r="1747" spans="1:2" x14ac:dyDescent="0.25">
      <c r="A1747" s="138">
        <v>18</v>
      </c>
      <c r="B1747" s="138" t="s">
        <v>1289</v>
      </c>
    </row>
    <row r="1748" spans="1:2" x14ac:dyDescent="0.25">
      <c r="A1748" s="20">
        <v>18</v>
      </c>
      <c r="B1748" s="20" t="s">
        <v>1289</v>
      </c>
    </row>
    <row r="1749" spans="1:2" x14ac:dyDescent="0.25">
      <c r="A1749" s="138">
        <v>18</v>
      </c>
      <c r="B1749" s="138" t="s">
        <v>1289</v>
      </c>
    </row>
    <row r="1750" spans="1:2" x14ac:dyDescent="0.25">
      <c r="A1750" s="20">
        <v>16</v>
      </c>
      <c r="B1750" s="20" t="s">
        <v>2005</v>
      </c>
    </row>
    <row r="1751" spans="1:2" x14ac:dyDescent="0.25">
      <c r="A1751" s="138">
        <v>16</v>
      </c>
      <c r="B1751" s="138" t="s">
        <v>2005</v>
      </c>
    </row>
    <row r="1752" spans="1:2" x14ac:dyDescent="0.25">
      <c r="A1752" s="138">
        <v>11</v>
      </c>
      <c r="B1752" s="138" t="s">
        <v>638</v>
      </c>
    </row>
    <row r="1753" spans="1:2" x14ac:dyDescent="0.25">
      <c r="A1753" s="20">
        <v>11</v>
      </c>
      <c r="B1753" s="20" t="s">
        <v>638</v>
      </c>
    </row>
    <row r="1754" spans="1:2" x14ac:dyDescent="0.25">
      <c r="A1754" s="138" t="s">
        <v>3658</v>
      </c>
      <c r="B1754" s="138" t="s">
        <v>270</v>
      </c>
    </row>
    <row r="1755" spans="1:2" x14ac:dyDescent="0.25">
      <c r="A1755" s="20" t="s">
        <v>3710</v>
      </c>
      <c r="B1755" s="20" t="s">
        <v>280</v>
      </c>
    </row>
    <row r="1756" spans="1:2" x14ac:dyDescent="0.25">
      <c r="A1756" s="138" t="s">
        <v>3710</v>
      </c>
      <c r="B1756" s="138" t="s">
        <v>280</v>
      </c>
    </row>
    <row r="1757" spans="1:2" x14ac:dyDescent="0.25">
      <c r="A1757" s="20" t="s">
        <v>3710</v>
      </c>
      <c r="B1757" s="20" t="s">
        <v>280</v>
      </c>
    </row>
    <row r="1758" spans="1:2" x14ac:dyDescent="0.25">
      <c r="A1758" s="20" t="s">
        <v>3710</v>
      </c>
      <c r="B1758" s="20" t="s">
        <v>280</v>
      </c>
    </row>
    <row r="1759" spans="1:2" x14ac:dyDescent="0.25">
      <c r="A1759" s="138" t="s">
        <v>3710</v>
      </c>
      <c r="B1759" s="138" t="s">
        <v>280</v>
      </c>
    </row>
    <row r="1760" spans="1:2" x14ac:dyDescent="0.25">
      <c r="A1760" s="20" t="s">
        <v>3710</v>
      </c>
      <c r="B1760" s="20" t="s">
        <v>280</v>
      </c>
    </row>
    <row r="1761" spans="1:2" x14ac:dyDescent="0.25">
      <c r="A1761" s="138" t="s">
        <v>3710</v>
      </c>
      <c r="B1761" s="138" t="s">
        <v>280</v>
      </c>
    </row>
    <row r="1762" spans="1:2" x14ac:dyDescent="0.25">
      <c r="A1762" s="20" t="s">
        <v>3710</v>
      </c>
      <c r="B1762" s="20" t="s">
        <v>280</v>
      </c>
    </row>
    <row r="1763" spans="1:2" x14ac:dyDescent="0.25">
      <c r="A1763" s="20" t="s">
        <v>3710</v>
      </c>
      <c r="B1763" s="20" t="s">
        <v>280</v>
      </c>
    </row>
    <row r="1764" spans="1:2" x14ac:dyDescent="0.25">
      <c r="A1764" s="138">
        <v>11</v>
      </c>
      <c r="B1764" s="138" t="s">
        <v>638</v>
      </c>
    </row>
    <row r="1765" spans="1:2" x14ac:dyDescent="0.25">
      <c r="A1765" s="20">
        <v>227</v>
      </c>
      <c r="B1765" s="20" t="s">
        <v>545</v>
      </c>
    </row>
    <row r="1766" spans="1:2" x14ac:dyDescent="0.25">
      <c r="A1766" s="138">
        <v>206</v>
      </c>
      <c r="B1766" s="138" t="s">
        <v>1075</v>
      </c>
    </row>
    <row r="1767" spans="1:2" x14ac:dyDescent="0.25">
      <c r="A1767" s="20">
        <v>206</v>
      </c>
      <c r="B1767" s="20" t="s">
        <v>1075</v>
      </c>
    </row>
    <row r="1768" spans="1:2" x14ac:dyDescent="0.25">
      <c r="A1768" s="138">
        <v>206</v>
      </c>
      <c r="B1768" s="138" t="s">
        <v>1075</v>
      </c>
    </row>
    <row r="1769" spans="1:2" x14ac:dyDescent="0.25">
      <c r="A1769" s="20" t="s">
        <v>6194</v>
      </c>
      <c r="B1769" s="20" t="s">
        <v>450</v>
      </c>
    </row>
    <row r="1770" spans="1:2" x14ac:dyDescent="0.25">
      <c r="A1770" s="138" t="s">
        <v>6194</v>
      </c>
      <c r="B1770" s="138" t="s">
        <v>450</v>
      </c>
    </row>
    <row r="1771" spans="1:2" x14ac:dyDescent="0.25">
      <c r="A1771" s="20" t="s">
        <v>6194</v>
      </c>
      <c r="B1771" s="20" t="s">
        <v>450</v>
      </c>
    </row>
    <row r="1772" spans="1:2" x14ac:dyDescent="0.25">
      <c r="A1772" s="138">
        <v>16</v>
      </c>
      <c r="B1772" s="138" t="s">
        <v>170</v>
      </c>
    </row>
    <row r="1773" spans="1:2" x14ac:dyDescent="0.25">
      <c r="A1773" s="20">
        <v>151</v>
      </c>
      <c r="B1773" s="20" t="s">
        <v>1161</v>
      </c>
    </row>
    <row r="1774" spans="1:2" x14ac:dyDescent="0.25">
      <c r="A1774" s="20">
        <v>151</v>
      </c>
      <c r="B1774" s="20" t="s">
        <v>1161</v>
      </c>
    </row>
    <row r="1775" spans="1:2" x14ac:dyDescent="0.25">
      <c r="A1775" s="20">
        <v>151</v>
      </c>
      <c r="B1775" s="20" t="s">
        <v>1161</v>
      </c>
    </row>
    <row r="1776" spans="1:2" x14ac:dyDescent="0.25">
      <c r="A1776" s="20">
        <v>151</v>
      </c>
      <c r="B1776" s="20" t="s">
        <v>1161</v>
      </c>
    </row>
    <row r="1777" spans="1:2" x14ac:dyDescent="0.25">
      <c r="A1777" s="138">
        <v>151</v>
      </c>
      <c r="B1777" s="138" t="s">
        <v>1161</v>
      </c>
    </row>
    <row r="1778" spans="1:2" x14ac:dyDescent="0.25">
      <c r="A1778" s="138">
        <v>151</v>
      </c>
      <c r="B1778" s="138" t="s">
        <v>1161</v>
      </c>
    </row>
    <row r="1779" spans="1:2" x14ac:dyDescent="0.25">
      <c r="A1779" s="138">
        <v>151</v>
      </c>
      <c r="B1779" s="138" t="s">
        <v>1161</v>
      </c>
    </row>
    <row r="1780" spans="1:2" x14ac:dyDescent="0.25">
      <c r="A1780" s="20">
        <v>151</v>
      </c>
      <c r="B1780" s="20" t="s">
        <v>1161</v>
      </c>
    </row>
    <row r="1781" spans="1:2" x14ac:dyDescent="0.25">
      <c r="A1781" s="138">
        <v>96</v>
      </c>
      <c r="B1781" s="138" t="s">
        <v>1403</v>
      </c>
    </row>
    <row r="1782" spans="1:2" x14ac:dyDescent="0.25">
      <c r="A1782" s="20">
        <v>96</v>
      </c>
      <c r="B1782" s="20" t="s">
        <v>1403</v>
      </c>
    </row>
    <row r="1783" spans="1:2" x14ac:dyDescent="0.25">
      <c r="A1783" s="138">
        <v>96</v>
      </c>
      <c r="B1783" s="138" t="s">
        <v>1403</v>
      </c>
    </row>
    <row r="1784" spans="1:2" x14ac:dyDescent="0.25">
      <c r="A1784" s="20">
        <v>96</v>
      </c>
      <c r="B1784" s="20" t="s">
        <v>1403</v>
      </c>
    </row>
    <row r="1785" spans="1:2" x14ac:dyDescent="0.25">
      <c r="A1785" s="138">
        <v>96</v>
      </c>
      <c r="B1785" s="138" t="s">
        <v>1403</v>
      </c>
    </row>
    <row r="1786" spans="1:2" x14ac:dyDescent="0.25">
      <c r="A1786" s="20">
        <v>96</v>
      </c>
      <c r="B1786" s="20" t="s">
        <v>1403</v>
      </c>
    </row>
    <row r="1787" spans="1:2" x14ac:dyDescent="0.25">
      <c r="A1787" s="138">
        <v>96</v>
      </c>
      <c r="B1787" s="138" t="s">
        <v>1403</v>
      </c>
    </row>
    <row r="1788" spans="1:2" x14ac:dyDescent="0.25">
      <c r="A1788" s="20">
        <v>96</v>
      </c>
      <c r="B1788" s="20" t="s">
        <v>1403</v>
      </c>
    </row>
    <row r="1789" spans="1:2" x14ac:dyDescent="0.25">
      <c r="A1789" s="138">
        <v>96</v>
      </c>
      <c r="B1789" s="138" t="s">
        <v>1403</v>
      </c>
    </row>
    <row r="1790" spans="1:2" x14ac:dyDescent="0.25">
      <c r="A1790" s="20">
        <v>96</v>
      </c>
      <c r="B1790" s="20" t="s">
        <v>491</v>
      </c>
    </row>
    <row r="1791" spans="1:2" x14ac:dyDescent="0.25">
      <c r="A1791" s="138">
        <v>96</v>
      </c>
      <c r="B1791" s="138" t="s">
        <v>491</v>
      </c>
    </row>
    <row r="1792" spans="1:2" x14ac:dyDescent="0.25">
      <c r="A1792" s="20">
        <v>96</v>
      </c>
      <c r="B1792" s="20" t="s">
        <v>491</v>
      </c>
    </row>
    <row r="1793" spans="1:2" x14ac:dyDescent="0.25">
      <c r="A1793" s="20">
        <v>96</v>
      </c>
      <c r="B1793" s="20" t="s">
        <v>491</v>
      </c>
    </row>
    <row r="1794" spans="1:2" x14ac:dyDescent="0.25">
      <c r="A1794" s="138">
        <v>50</v>
      </c>
      <c r="B1794" s="138" t="s">
        <v>1478</v>
      </c>
    </row>
    <row r="1795" spans="1:2" x14ac:dyDescent="0.25">
      <c r="A1795" s="138">
        <v>50</v>
      </c>
      <c r="B1795" s="138" t="s">
        <v>1478</v>
      </c>
    </row>
    <row r="1796" spans="1:2" x14ac:dyDescent="0.25">
      <c r="A1796" s="20">
        <v>50</v>
      </c>
      <c r="B1796" s="20" t="s">
        <v>1478</v>
      </c>
    </row>
    <row r="1797" spans="1:2" x14ac:dyDescent="0.25">
      <c r="A1797" s="138">
        <v>50</v>
      </c>
      <c r="B1797" s="138" t="s">
        <v>1478</v>
      </c>
    </row>
    <row r="1798" spans="1:2" x14ac:dyDescent="0.25">
      <c r="A1798" s="20">
        <v>50</v>
      </c>
      <c r="B1798" s="20" t="s">
        <v>1478</v>
      </c>
    </row>
    <row r="1799" spans="1:2" x14ac:dyDescent="0.25">
      <c r="A1799" s="138" t="s">
        <v>6256</v>
      </c>
      <c r="B1799" s="138" t="s">
        <v>1520</v>
      </c>
    </row>
    <row r="1800" spans="1:2" x14ac:dyDescent="0.25">
      <c r="A1800" s="138" t="s">
        <v>6256</v>
      </c>
      <c r="B1800" s="138" t="s">
        <v>1520</v>
      </c>
    </row>
    <row r="1801" spans="1:2" x14ac:dyDescent="0.25">
      <c r="A1801" s="20" t="s">
        <v>2517</v>
      </c>
      <c r="B1801" s="20" t="s">
        <v>1289</v>
      </c>
    </row>
    <row r="1802" spans="1:2" x14ac:dyDescent="0.25">
      <c r="A1802" s="138" t="s">
        <v>2517</v>
      </c>
      <c r="B1802" s="138" t="s">
        <v>1289</v>
      </c>
    </row>
    <row r="1803" spans="1:2" x14ac:dyDescent="0.25">
      <c r="A1803" s="20" t="s">
        <v>2517</v>
      </c>
      <c r="B1803" s="20" t="s">
        <v>1289</v>
      </c>
    </row>
    <row r="1804" spans="1:2" x14ac:dyDescent="0.25">
      <c r="A1804" s="20" t="s">
        <v>2517</v>
      </c>
      <c r="B1804" s="20" t="s">
        <v>1289</v>
      </c>
    </row>
    <row r="1805" spans="1:2" x14ac:dyDescent="0.25">
      <c r="A1805" s="20">
        <v>97</v>
      </c>
      <c r="B1805" s="20" t="s">
        <v>206</v>
      </c>
    </row>
    <row r="1806" spans="1:2" x14ac:dyDescent="0.25">
      <c r="A1806" s="138" t="s">
        <v>6218</v>
      </c>
      <c r="B1806" s="138" t="s">
        <v>6218</v>
      </c>
    </row>
    <row r="1807" spans="1:2" x14ac:dyDescent="0.25">
      <c r="A1807" s="20" t="s">
        <v>6218</v>
      </c>
      <c r="B1807" s="20" t="s">
        <v>6218</v>
      </c>
    </row>
    <row r="1808" spans="1:2" x14ac:dyDescent="0.25">
      <c r="A1808" s="138" t="s">
        <v>6218</v>
      </c>
      <c r="B1808" s="138" t="s">
        <v>6218</v>
      </c>
    </row>
    <row r="1809" spans="1:2" x14ac:dyDescent="0.25">
      <c r="A1809" s="138">
        <v>252</v>
      </c>
      <c r="B1809" s="138" t="s">
        <v>615</v>
      </c>
    </row>
    <row r="1810" spans="1:2" x14ac:dyDescent="0.25">
      <c r="A1810" s="20">
        <v>16</v>
      </c>
      <c r="B1810" s="20" t="s">
        <v>417</v>
      </c>
    </row>
    <row r="1811" spans="1:2" x14ac:dyDescent="0.25">
      <c r="A1811" s="138">
        <v>16</v>
      </c>
      <c r="B1811" s="138" t="s">
        <v>417</v>
      </c>
    </row>
    <row r="1812" spans="1:2" x14ac:dyDescent="0.25">
      <c r="A1812" s="20">
        <v>252</v>
      </c>
      <c r="B1812" s="20" t="s">
        <v>615</v>
      </c>
    </row>
    <row r="1813" spans="1:2" x14ac:dyDescent="0.25">
      <c r="A1813" s="138">
        <v>16</v>
      </c>
      <c r="B1813" s="138" t="s">
        <v>417</v>
      </c>
    </row>
    <row r="1814" spans="1:2" x14ac:dyDescent="0.25">
      <c r="A1814" s="20">
        <v>252</v>
      </c>
      <c r="B1814" s="20" t="s">
        <v>615</v>
      </c>
    </row>
    <row r="1815" spans="1:2" x14ac:dyDescent="0.25">
      <c r="A1815" s="138">
        <v>16</v>
      </c>
      <c r="B1815" s="138" t="s">
        <v>417</v>
      </c>
    </row>
    <row r="1816" spans="1:2" x14ac:dyDescent="0.25">
      <c r="A1816" s="20" t="s">
        <v>6229</v>
      </c>
      <c r="B1816" s="20" t="s">
        <v>1726</v>
      </c>
    </row>
    <row r="1817" spans="1:2" x14ac:dyDescent="0.25">
      <c r="A1817" s="138" t="s">
        <v>6229</v>
      </c>
      <c r="B1817" s="138" t="s">
        <v>1726</v>
      </c>
    </row>
    <row r="1818" spans="1:2" x14ac:dyDescent="0.25">
      <c r="A1818" s="138" t="s">
        <v>6229</v>
      </c>
      <c r="B1818" s="138" t="s">
        <v>1726</v>
      </c>
    </row>
    <row r="1819" spans="1:2" x14ac:dyDescent="0.25">
      <c r="A1819" s="20">
        <v>115</v>
      </c>
      <c r="B1819" s="20" t="s">
        <v>2003</v>
      </c>
    </row>
    <row r="1820" spans="1:2" x14ac:dyDescent="0.25">
      <c r="A1820" s="20">
        <v>115</v>
      </c>
      <c r="B1820" s="20" t="s">
        <v>2003</v>
      </c>
    </row>
    <row r="1821" spans="1:2" x14ac:dyDescent="0.25">
      <c r="A1821" s="138">
        <v>115</v>
      </c>
      <c r="B1821" s="138" t="s">
        <v>2003</v>
      </c>
    </row>
    <row r="1822" spans="1:2" x14ac:dyDescent="0.25">
      <c r="A1822" s="20">
        <v>115</v>
      </c>
      <c r="B1822" s="20" t="s">
        <v>2003</v>
      </c>
    </row>
    <row r="1823" spans="1:2" x14ac:dyDescent="0.25">
      <c r="A1823" s="138">
        <v>115</v>
      </c>
      <c r="B1823" s="138" t="s">
        <v>2003</v>
      </c>
    </row>
    <row r="1824" spans="1:2" x14ac:dyDescent="0.25">
      <c r="A1824" s="138">
        <v>115</v>
      </c>
      <c r="B1824" s="138" t="s">
        <v>2003</v>
      </c>
    </row>
    <row r="1825" spans="1:2" x14ac:dyDescent="0.25">
      <c r="A1825" s="20">
        <v>115</v>
      </c>
      <c r="B1825" s="20" t="s">
        <v>2003</v>
      </c>
    </row>
    <row r="1826" spans="1:2" x14ac:dyDescent="0.25">
      <c r="A1826" s="138">
        <v>115</v>
      </c>
      <c r="B1826" s="138" t="s">
        <v>2003</v>
      </c>
    </row>
    <row r="1827" spans="1:2" x14ac:dyDescent="0.25">
      <c r="A1827" s="138">
        <v>115</v>
      </c>
      <c r="B1827" s="138" t="s">
        <v>2003</v>
      </c>
    </row>
    <row r="1828" spans="1:2" x14ac:dyDescent="0.25">
      <c r="A1828" s="20">
        <v>115</v>
      </c>
      <c r="B1828" s="20" t="s">
        <v>2003</v>
      </c>
    </row>
    <row r="1829" spans="1:2" x14ac:dyDescent="0.25">
      <c r="A1829" s="138">
        <v>115</v>
      </c>
      <c r="B1829" s="138" t="s">
        <v>2003</v>
      </c>
    </row>
    <row r="1830" spans="1:2" x14ac:dyDescent="0.25">
      <c r="A1830" s="20">
        <v>115</v>
      </c>
      <c r="B1830" s="20" t="s">
        <v>2003</v>
      </c>
    </row>
    <row r="1831" spans="1:2" x14ac:dyDescent="0.25">
      <c r="A1831" s="138">
        <v>115</v>
      </c>
      <c r="B1831" s="138" t="s">
        <v>2003</v>
      </c>
    </row>
    <row r="1832" spans="1:2" x14ac:dyDescent="0.25">
      <c r="A1832" s="20">
        <v>115</v>
      </c>
      <c r="B1832" s="20" t="s">
        <v>2003</v>
      </c>
    </row>
    <row r="1833" spans="1:2" x14ac:dyDescent="0.25">
      <c r="A1833" s="138">
        <v>115</v>
      </c>
      <c r="B1833" s="138" t="s">
        <v>2003</v>
      </c>
    </row>
    <row r="1834" spans="1:2" x14ac:dyDescent="0.25">
      <c r="A1834" s="20">
        <v>115</v>
      </c>
      <c r="B1834" s="20" t="s">
        <v>2003</v>
      </c>
    </row>
    <row r="1835" spans="1:2" x14ac:dyDescent="0.25">
      <c r="A1835" s="20">
        <v>115</v>
      </c>
      <c r="B1835" s="20" t="s">
        <v>2003</v>
      </c>
    </row>
    <row r="1836" spans="1:2" x14ac:dyDescent="0.25">
      <c r="A1836" s="138">
        <v>115</v>
      </c>
      <c r="B1836" s="138" t="s">
        <v>2003</v>
      </c>
    </row>
    <row r="1837" spans="1:2" x14ac:dyDescent="0.25">
      <c r="A1837" s="20">
        <v>115</v>
      </c>
      <c r="B1837" s="20" t="s">
        <v>2003</v>
      </c>
    </row>
    <row r="1838" spans="1:2" x14ac:dyDescent="0.25">
      <c r="A1838" s="138">
        <v>115</v>
      </c>
      <c r="B1838" s="138" t="s">
        <v>2003</v>
      </c>
    </row>
    <row r="1839" spans="1:2" x14ac:dyDescent="0.25">
      <c r="A1839" s="20">
        <v>115</v>
      </c>
      <c r="B1839" s="20" t="s">
        <v>2003</v>
      </c>
    </row>
    <row r="1840" spans="1:2" x14ac:dyDescent="0.25">
      <c r="A1840" s="138">
        <v>115</v>
      </c>
      <c r="B1840" s="138" t="s">
        <v>2003</v>
      </c>
    </row>
    <row r="1841" spans="1:2" x14ac:dyDescent="0.25">
      <c r="A1841" s="20">
        <v>115</v>
      </c>
      <c r="B1841" s="20" t="s">
        <v>2003</v>
      </c>
    </row>
    <row r="1842" spans="1:2" x14ac:dyDescent="0.25">
      <c r="A1842" s="138">
        <v>115</v>
      </c>
      <c r="B1842" s="138" t="s">
        <v>2003</v>
      </c>
    </row>
    <row r="1843" spans="1:2" x14ac:dyDescent="0.25">
      <c r="A1843" s="20">
        <v>115</v>
      </c>
      <c r="B1843" s="20" t="s">
        <v>2003</v>
      </c>
    </row>
    <row r="1844" spans="1:2" x14ac:dyDescent="0.25">
      <c r="A1844" s="138">
        <v>115</v>
      </c>
      <c r="B1844" s="138" t="s">
        <v>2003</v>
      </c>
    </row>
    <row r="1845" spans="1:2" x14ac:dyDescent="0.25">
      <c r="A1845" s="20">
        <v>199</v>
      </c>
      <c r="B1845" s="20" t="s">
        <v>1275</v>
      </c>
    </row>
    <row r="1846" spans="1:2" x14ac:dyDescent="0.25">
      <c r="A1846" s="138">
        <v>234</v>
      </c>
      <c r="B1846" s="138" t="s">
        <v>206</v>
      </c>
    </row>
    <row r="1847" spans="1:2" x14ac:dyDescent="0.25">
      <c r="A1847" s="20">
        <v>19</v>
      </c>
      <c r="B1847" s="20" t="s">
        <v>1903</v>
      </c>
    </row>
    <row r="1848" spans="1:2" x14ac:dyDescent="0.25">
      <c r="A1848" s="138">
        <v>109</v>
      </c>
      <c r="B1848" s="138" t="s">
        <v>1346</v>
      </c>
    </row>
    <row r="1849" spans="1:2" x14ac:dyDescent="0.25">
      <c r="A1849" s="20">
        <v>109</v>
      </c>
      <c r="B1849" s="20" t="s">
        <v>1346</v>
      </c>
    </row>
    <row r="1850" spans="1:2" x14ac:dyDescent="0.25">
      <c r="A1850" s="138">
        <v>109</v>
      </c>
      <c r="B1850" s="138" t="s">
        <v>1346</v>
      </c>
    </row>
    <row r="1851" spans="1:2" x14ac:dyDescent="0.25">
      <c r="A1851" s="20">
        <v>109</v>
      </c>
      <c r="B1851" s="20" t="s">
        <v>1346</v>
      </c>
    </row>
    <row r="1852" spans="1:2" x14ac:dyDescent="0.25">
      <c r="A1852" s="138">
        <v>109</v>
      </c>
      <c r="B1852" s="138" t="s">
        <v>1346</v>
      </c>
    </row>
    <row r="1853" spans="1:2" x14ac:dyDescent="0.25">
      <c r="A1853" s="138">
        <v>109</v>
      </c>
      <c r="B1853" s="138" t="s">
        <v>1346</v>
      </c>
    </row>
    <row r="1854" spans="1:2" x14ac:dyDescent="0.25">
      <c r="A1854" s="20">
        <v>96</v>
      </c>
      <c r="B1854" s="20" t="s">
        <v>1275</v>
      </c>
    </row>
    <row r="1855" spans="1:2" x14ac:dyDescent="0.25">
      <c r="A1855" s="138">
        <v>96</v>
      </c>
      <c r="B1855" s="138" t="s">
        <v>1275</v>
      </c>
    </row>
    <row r="1856" spans="1:2" x14ac:dyDescent="0.25">
      <c r="A1856" s="20">
        <v>96</v>
      </c>
      <c r="B1856" s="20" t="s">
        <v>1275</v>
      </c>
    </row>
    <row r="1857" spans="1:2" x14ac:dyDescent="0.25">
      <c r="A1857" s="138">
        <v>96</v>
      </c>
      <c r="B1857" s="138" t="s">
        <v>1275</v>
      </c>
    </row>
    <row r="1858" spans="1:2" x14ac:dyDescent="0.25">
      <c r="A1858" s="20">
        <v>96</v>
      </c>
      <c r="B1858" s="20" t="s">
        <v>1275</v>
      </c>
    </row>
    <row r="1859" spans="1:2" x14ac:dyDescent="0.25">
      <c r="A1859" s="138">
        <v>96</v>
      </c>
      <c r="B1859" s="138" t="s">
        <v>1275</v>
      </c>
    </row>
    <row r="1860" spans="1:2" x14ac:dyDescent="0.25">
      <c r="A1860" s="20">
        <v>96</v>
      </c>
      <c r="B1860" s="20" t="s">
        <v>1275</v>
      </c>
    </row>
    <row r="1861" spans="1:2" x14ac:dyDescent="0.25">
      <c r="A1861" s="138">
        <v>96</v>
      </c>
      <c r="B1861" s="138" t="s">
        <v>1275</v>
      </c>
    </row>
    <row r="1862" spans="1:2" x14ac:dyDescent="0.25">
      <c r="A1862" s="20">
        <v>96</v>
      </c>
      <c r="B1862" s="20" t="s">
        <v>1275</v>
      </c>
    </row>
    <row r="1863" spans="1:2" x14ac:dyDescent="0.25">
      <c r="A1863" s="138">
        <v>96</v>
      </c>
      <c r="B1863" s="138" t="s">
        <v>1275</v>
      </c>
    </row>
    <row r="1864" spans="1:2" x14ac:dyDescent="0.25">
      <c r="A1864" s="20">
        <v>96</v>
      </c>
      <c r="B1864" s="20" t="s">
        <v>1275</v>
      </c>
    </row>
    <row r="1865" spans="1:2" x14ac:dyDescent="0.25">
      <c r="A1865" s="138">
        <v>96</v>
      </c>
      <c r="B1865" s="138" t="s">
        <v>1275</v>
      </c>
    </row>
    <row r="1866" spans="1:2" x14ac:dyDescent="0.25">
      <c r="A1866" s="20">
        <v>96</v>
      </c>
      <c r="B1866" s="20" t="s">
        <v>1275</v>
      </c>
    </row>
    <row r="1867" spans="1:2" x14ac:dyDescent="0.25">
      <c r="A1867" s="20">
        <v>96</v>
      </c>
      <c r="B1867" s="20" t="s">
        <v>1275</v>
      </c>
    </row>
    <row r="1868" spans="1:2" x14ac:dyDescent="0.25">
      <c r="A1868" s="138">
        <v>96</v>
      </c>
      <c r="B1868" s="138" t="s">
        <v>1275</v>
      </c>
    </row>
    <row r="1869" spans="1:2" x14ac:dyDescent="0.25">
      <c r="A1869" s="20">
        <v>96</v>
      </c>
      <c r="B1869" s="20" t="s">
        <v>1275</v>
      </c>
    </row>
    <row r="1870" spans="1:2" x14ac:dyDescent="0.25">
      <c r="A1870" s="138">
        <v>96</v>
      </c>
      <c r="B1870" s="138" t="s">
        <v>1275</v>
      </c>
    </row>
    <row r="1871" spans="1:2" x14ac:dyDescent="0.25">
      <c r="A1871" s="20">
        <v>96</v>
      </c>
      <c r="B1871" s="20" t="s">
        <v>1275</v>
      </c>
    </row>
    <row r="1872" spans="1:2" x14ac:dyDescent="0.25">
      <c r="A1872" s="138">
        <v>96</v>
      </c>
      <c r="B1872" s="138" t="s">
        <v>1275</v>
      </c>
    </row>
    <row r="1873" spans="1:2" x14ac:dyDescent="0.25">
      <c r="A1873" s="20">
        <v>96</v>
      </c>
      <c r="B1873" s="20" t="s">
        <v>1275</v>
      </c>
    </row>
    <row r="1874" spans="1:2" x14ac:dyDescent="0.25">
      <c r="A1874" s="138">
        <v>96</v>
      </c>
      <c r="B1874" s="138" t="s">
        <v>1275</v>
      </c>
    </row>
    <row r="1875" spans="1:2" x14ac:dyDescent="0.25">
      <c r="A1875" s="20">
        <v>96</v>
      </c>
      <c r="B1875" s="20" t="s">
        <v>1275</v>
      </c>
    </row>
    <row r="1876" spans="1:2" x14ac:dyDescent="0.25">
      <c r="A1876" s="138">
        <v>96</v>
      </c>
      <c r="B1876" s="138" t="s">
        <v>1275</v>
      </c>
    </row>
    <row r="1877" spans="1:2" x14ac:dyDescent="0.25">
      <c r="A1877" s="138">
        <v>18</v>
      </c>
      <c r="B1877" s="138" t="s">
        <v>1289</v>
      </c>
    </row>
    <row r="1878" spans="1:2" x14ac:dyDescent="0.25">
      <c r="A1878" s="20" t="s">
        <v>2517</v>
      </c>
      <c r="B1878" s="20" t="s">
        <v>1289</v>
      </c>
    </row>
    <row r="1879" spans="1:2" x14ac:dyDescent="0.25">
      <c r="A1879" s="138" t="s">
        <v>2517</v>
      </c>
      <c r="B1879" s="138" t="s">
        <v>1289</v>
      </c>
    </row>
    <row r="1880" spans="1:2" x14ac:dyDescent="0.25">
      <c r="A1880" s="20">
        <v>18</v>
      </c>
      <c r="B1880" s="20" t="s">
        <v>1289</v>
      </c>
    </row>
    <row r="1881" spans="1:2" x14ac:dyDescent="0.25">
      <c r="A1881" s="138">
        <v>18</v>
      </c>
      <c r="B1881" s="138" t="s">
        <v>1289</v>
      </c>
    </row>
    <row r="1882" spans="1:2" x14ac:dyDescent="0.25">
      <c r="A1882" s="138" t="s">
        <v>2517</v>
      </c>
      <c r="B1882" s="138" t="s">
        <v>1289</v>
      </c>
    </row>
    <row r="1883" spans="1:2" x14ac:dyDescent="0.25">
      <c r="A1883" s="20">
        <v>18</v>
      </c>
      <c r="B1883" s="20" t="s">
        <v>1289</v>
      </c>
    </row>
    <row r="1884" spans="1:2" x14ac:dyDescent="0.25">
      <c r="A1884" s="20">
        <v>18</v>
      </c>
      <c r="B1884" s="20" t="s">
        <v>1289</v>
      </c>
    </row>
    <row r="1885" spans="1:2" x14ac:dyDescent="0.25">
      <c r="A1885" s="138" t="s">
        <v>3717</v>
      </c>
      <c r="B1885" s="138" t="s">
        <v>1244</v>
      </c>
    </row>
    <row r="1886" spans="1:2" x14ac:dyDescent="0.25">
      <c r="A1886" s="138">
        <v>16</v>
      </c>
      <c r="B1886" s="138" t="s">
        <v>2005</v>
      </c>
    </row>
    <row r="1887" spans="1:2" x14ac:dyDescent="0.25">
      <c r="A1887" s="20">
        <v>16</v>
      </c>
      <c r="B1887" s="20" t="s">
        <v>2005</v>
      </c>
    </row>
    <row r="1888" spans="1:2" x14ac:dyDescent="0.25">
      <c r="A1888" s="138">
        <v>16</v>
      </c>
      <c r="B1888" s="138" t="s">
        <v>2005</v>
      </c>
    </row>
    <row r="1889" spans="1:2" x14ac:dyDescent="0.25">
      <c r="A1889" s="20">
        <v>16</v>
      </c>
      <c r="B1889" s="20" t="s">
        <v>2005</v>
      </c>
    </row>
    <row r="1890" spans="1:2" x14ac:dyDescent="0.25">
      <c r="A1890" s="138">
        <v>16</v>
      </c>
      <c r="B1890" s="138" t="s">
        <v>2005</v>
      </c>
    </row>
    <row r="1891" spans="1:2" x14ac:dyDescent="0.25">
      <c r="A1891" s="20">
        <v>16</v>
      </c>
      <c r="B1891" s="20" t="s">
        <v>2005</v>
      </c>
    </row>
    <row r="1892" spans="1:2" x14ac:dyDescent="0.25">
      <c r="A1892" s="138">
        <v>16</v>
      </c>
      <c r="B1892" s="138" t="s">
        <v>2005</v>
      </c>
    </row>
    <row r="1893" spans="1:2" x14ac:dyDescent="0.25">
      <c r="A1893" s="20">
        <v>16</v>
      </c>
      <c r="B1893" s="20" t="s">
        <v>2005</v>
      </c>
    </row>
    <row r="1894" spans="1:2" x14ac:dyDescent="0.25">
      <c r="A1894" s="138">
        <v>16</v>
      </c>
      <c r="B1894" s="138" t="s">
        <v>2005</v>
      </c>
    </row>
    <row r="1895" spans="1:2" x14ac:dyDescent="0.25">
      <c r="A1895" s="20">
        <v>16</v>
      </c>
      <c r="B1895" s="20" t="s">
        <v>2005</v>
      </c>
    </row>
    <row r="1896" spans="1:2" x14ac:dyDescent="0.25">
      <c r="A1896" s="138">
        <v>16</v>
      </c>
      <c r="B1896" s="138" t="s">
        <v>2005</v>
      </c>
    </row>
    <row r="1897" spans="1:2" x14ac:dyDescent="0.25">
      <c r="A1897" s="20">
        <v>16</v>
      </c>
      <c r="B1897" s="20" t="s">
        <v>2005</v>
      </c>
    </row>
    <row r="1898" spans="1:2" x14ac:dyDescent="0.25">
      <c r="A1898" s="138">
        <v>11</v>
      </c>
      <c r="B1898" s="138" t="s">
        <v>638</v>
      </c>
    </row>
    <row r="1899" spans="1:2" x14ac:dyDescent="0.25">
      <c r="A1899" s="20">
        <v>11</v>
      </c>
      <c r="B1899" s="20" t="s">
        <v>638</v>
      </c>
    </row>
    <row r="1900" spans="1:2" x14ac:dyDescent="0.25">
      <c r="A1900" s="138">
        <v>11</v>
      </c>
      <c r="B1900" s="138" t="s">
        <v>638</v>
      </c>
    </row>
    <row r="1901" spans="1:2" x14ac:dyDescent="0.25">
      <c r="A1901" s="20">
        <v>11</v>
      </c>
      <c r="B1901" s="20" t="s">
        <v>638</v>
      </c>
    </row>
    <row r="1902" spans="1:2" x14ac:dyDescent="0.25">
      <c r="A1902" s="138">
        <v>11</v>
      </c>
      <c r="B1902" s="138" t="s">
        <v>638</v>
      </c>
    </row>
    <row r="1903" spans="1:2" x14ac:dyDescent="0.25">
      <c r="A1903" s="20" t="s">
        <v>3658</v>
      </c>
      <c r="B1903" s="20" t="s">
        <v>270</v>
      </c>
    </row>
    <row r="1904" spans="1:2" x14ac:dyDescent="0.25">
      <c r="A1904" s="138" t="s">
        <v>3658</v>
      </c>
      <c r="B1904" s="138" t="s">
        <v>270</v>
      </c>
    </row>
    <row r="1905" spans="1:2" x14ac:dyDescent="0.25">
      <c r="A1905" s="20" t="s">
        <v>3658</v>
      </c>
      <c r="B1905" s="20" t="s">
        <v>270</v>
      </c>
    </row>
    <row r="1906" spans="1:2" x14ac:dyDescent="0.25">
      <c r="A1906" s="138" t="s">
        <v>3658</v>
      </c>
      <c r="B1906" s="138" t="s">
        <v>270</v>
      </c>
    </row>
    <row r="1907" spans="1:2" x14ac:dyDescent="0.25">
      <c r="A1907" s="138" t="s">
        <v>3710</v>
      </c>
      <c r="B1907" s="138" t="s">
        <v>280</v>
      </c>
    </row>
    <row r="1908" spans="1:2" x14ac:dyDescent="0.25">
      <c r="A1908" s="138" t="s">
        <v>3710</v>
      </c>
      <c r="B1908" s="138" t="s">
        <v>280</v>
      </c>
    </row>
    <row r="1909" spans="1:2" x14ac:dyDescent="0.25">
      <c r="A1909" s="138">
        <v>227</v>
      </c>
      <c r="B1909" s="138" t="s">
        <v>545</v>
      </c>
    </row>
    <row r="1910" spans="1:2" x14ac:dyDescent="0.25">
      <c r="A1910" s="20">
        <v>227</v>
      </c>
      <c r="B1910" s="20" t="s">
        <v>545</v>
      </c>
    </row>
    <row r="1911" spans="1:2" x14ac:dyDescent="0.25">
      <c r="A1911" s="20">
        <v>231</v>
      </c>
      <c r="B1911" s="20" t="s">
        <v>886</v>
      </c>
    </row>
    <row r="1912" spans="1:2" x14ac:dyDescent="0.25">
      <c r="A1912" s="138">
        <v>151</v>
      </c>
      <c r="B1912" s="138" t="s">
        <v>1161</v>
      </c>
    </row>
    <row r="1913" spans="1:2" x14ac:dyDescent="0.25">
      <c r="A1913" s="138">
        <v>151</v>
      </c>
      <c r="B1913" s="138" t="s">
        <v>1161</v>
      </c>
    </row>
    <row r="1914" spans="1:2" x14ac:dyDescent="0.25">
      <c r="A1914" s="20">
        <v>151</v>
      </c>
      <c r="B1914" s="20" t="s">
        <v>1161</v>
      </c>
    </row>
    <row r="1915" spans="1:2" x14ac:dyDescent="0.25">
      <c r="A1915" s="138">
        <v>151</v>
      </c>
      <c r="B1915" s="138" t="s">
        <v>1161</v>
      </c>
    </row>
    <row r="1916" spans="1:2" x14ac:dyDescent="0.25">
      <c r="A1916" s="20">
        <v>151</v>
      </c>
      <c r="B1916" s="20" t="s">
        <v>1161</v>
      </c>
    </row>
    <row r="1917" spans="1:2" x14ac:dyDescent="0.25">
      <c r="A1917" s="138">
        <v>151</v>
      </c>
      <c r="B1917" s="138" t="s">
        <v>1161</v>
      </c>
    </row>
    <row r="1918" spans="1:2" x14ac:dyDescent="0.25">
      <c r="A1918" s="20">
        <v>151</v>
      </c>
      <c r="B1918" s="20" t="s">
        <v>1161</v>
      </c>
    </row>
    <row r="1919" spans="1:2" x14ac:dyDescent="0.25">
      <c r="A1919" s="138">
        <v>151</v>
      </c>
      <c r="B1919" s="138" t="s">
        <v>1161</v>
      </c>
    </row>
    <row r="1920" spans="1:2" x14ac:dyDescent="0.25">
      <c r="A1920" s="20">
        <v>151</v>
      </c>
      <c r="B1920" s="20" t="s">
        <v>1161</v>
      </c>
    </row>
    <row r="1921" spans="1:2" x14ac:dyDescent="0.25">
      <c r="A1921" s="138">
        <v>96</v>
      </c>
      <c r="B1921" s="138" t="s">
        <v>1403</v>
      </c>
    </row>
    <row r="1922" spans="1:2" x14ac:dyDescent="0.25">
      <c r="A1922" s="138">
        <v>96</v>
      </c>
      <c r="B1922" s="138" t="s">
        <v>1403</v>
      </c>
    </row>
    <row r="1923" spans="1:2" x14ac:dyDescent="0.25">
      <c r="A1923" s="20">
        <v>96</v>
      </c>
      <c r="B1923" s="20" t="s">
        <v>1403</v>
      </c>
    </row>
    <row r="1924" spans="1:2" x14ac:dyDescent="0.25">
      <c r="A1924" s="138">
        <v>96</v>
      </c>
      <c r="B1924" s="138" t="s">
        <v>1403</v>
      </c>
    </row>
    <row r="1925" spans="1:2" x14ac:dyDescent="0.25">
      <c r="A1925" s="20">
        <v>96</v>
      </c>
      <c r="B1925" s="20" t="s">
        <v>1403</v>
      </c>
    </row>
    <row r="1926" spans="1:2" x14ac:dyDescent="0.25">
      <c r="A1926" s="138">
        <v>96</v>
      </c>
      <c r="B1926" s="138" t="s">
        <v>1403</v>
      </c>
    </row>
    <row r="1927" spans="1:2" x14ac:dyDescent="0.25">
      <c r="A1927" s="20">
        <v>50</v>
      </c>
      <c r="B1927" s="20" t="s">
        <v>1478</v>
      </c>
    </row>
    <row r="1928" spans="1:2" x14ac:dyDescent="0.25">
      <c r="A1928" s="138">
        <v>50</v>
      </c>
      <c r="B1928" s="138" t="s">
        <v>1478</v>
      </c>
    </row>
    <row r="1929" spans="1:2" x14ac:dyDescent="0.25">
      <c r="A1929" s="20" t="s">
        <v>6256</v>
      </c>
      <c r="B1929" s="20" t="s">
        <v>1520</v>
      </c>
    </row>
    <row r="1930" spans="1:2" x14ac:dyDescent="0.25">
      <c r="A1930" s="20" t="s">
        <v>6256</v>
      </c>
      <c r="B1930" s="20" t="s">
        <v>1520</v>
      </c>
    </row>
    <row r="1931" spans="1:2" x14ac:dyDescent="0.25">
      <c r="A1931" s="138" t="s">
        <v>2517</v>
      </c>
      <c r="B1931" s="138" t="s">
        <v>1289</v>
      </c>
    </row>
    <row r="1932" spans="1:2" x14ac:dyDescent="0.25">
      <c r="A1932" s="20">
        <v>97</v>
      </c>
      <c r="B1932" s="20" t="s">
        <v>206</v>
      </c>
    </row>
    <row r="1933" spans="1:2" x14ac:dyDescent="0.25">
      <c r="A1933" s="138">
        <v>97</v>
      </c>
      <c r="B1933" s="138" t="s">
        <v>206</v>
      </c>
    </row>
    <row r="1934" spans="1:2" x14ac:dyDescent="0.25">
      <c r="A1934" s="20">
        <v>97</v>
      </c>
      <c r="B1934" s="20" t="s">
        <v>206</v>
      </c>
    </row>
    <row r="1935" spans="1:2" x14ac:dyDescent="0.25">
      <c r="A1935" s="138">
        <v>97</v>
      </c>
      <c r="B1935" s="138" t="s">
        <v>206</v>
      </c>
    </row>
    <row r="1936" spans="1:2" x14ac:dyDescent="0.25">
      <c r="A1936" s="20">
        <v>97</v>
      </c>
      <c r="B1936" s="20" t="s">
        <v>206</v>
      </c>
    </row>
    <row r="1937" spans="1:2" x14ac:dyDescent="0.25">
      <c r="A1937" s="138" t="s">
        <v>6218</v>
      </c>
      <c r="B1937" s="138" t="s">
        <v>6218</v>
      </c>
    </row>
    <row r="1938" spans="1:2" x14ac:dyDescent="0.25">
      <c r="A1938" s="20" t="s">
        <v>6218</v>
      </c>
      <c r="B1938" s="20" t="s">
        <v>6218</v>
      </c>
    </row>
    <row r="1939" spans="1:2" x14ac:dyDescent="0.25">
      <c r="A1939" s="20" t="s">
        <v>6218</v>
      </c>
      <c r="B1939" s="20" t="s">
        <v>6218</v>
      </c>
    </row>
    <row r="1940" spans="1:2" x14ac:dyDescent="0.25">
      <c r="A1940" s="138" t="s">
        <v>6218</v>
      </c>
      <c r="B1940" s="138" t="s">
        <v>6218</v>
      </c>
    </row>
    <row r="1941" spans="1:2" x14ac:dyDescent="0.25">
      <c r="A1941" s="138" t="s">
        <v>6218</v>
      </c>
      <c r="B1941" s="138" t="s">
        <v>6218</v>
      </c>
    </row>
    <row r="1942" spans="1:2" x14ac:dyDescent="0.25">
      <c r="A1942" s="138" t="s">
        <v>6218</v>
      </c>
      <c r="B1942" s="138" t="s">
        <v>6218</v>
      </c>
    </row>
    <row r="1943" spans="1:2" x14ac:dyDescent="0.25">
      <c r="A1943" s="138" t="s">
        <v>6218</v>
      </c>
      <c r="B1943" s="138" t="s">
        <v>6218</v>
      </c>
    </row>
    <row r="1944" spans="1:2" x14ac:dyDescent="0.25">
      <c r="A1944" s="138" t="s">
        <v>6218</v>
      </c>
      <c r="B1944" s="138" t="s">
        <v>6218</v>
      </c>
    </row>
    <row r="1945" spans="1:2" x14ac:dyDescent="0.25">
      <c r="A1945" s="138" t="s">
        <v>6218</v>
      </c>
      <c r="B1945" s="138" t="s">
        <v>6218</v>
      </c>
    </row>
    <row r="1946" spans="1:2" x14ac:dyDescent="0.25">
      <c r="A1946" s="138" t="s">
        <v>6218</v>
      </c>
      <c r="B1946" s="138" t="s">
        <v>6218</v>
      </c>
    </row>
    <row r="1947" spans="1:2" x14ac:dyDescent="0.25">
      <c r="A1947" s="20" t="s">
        <v>6218</v>
      </c>
      <c r="B1947" s="20" t="s">
        <v>6218</v>
      </c>
    </row>
    <row r="1948" spans="1:2" x14ac:dyDescent="0.25">
      <c r="A1948" s="138" t="s">
        <v>6218</v>
      </c>
      <c r="B1948" s="138" t="s">
        <v>6218</v>
      </c>
    </row>
    <row r="1949" spans="1:2" x14ac:dyDescent="0.25">
      <c r="A1949" s="20" t="s">
        <v>6218</v>
      </c>
      <c r="B1949" s="20" t="s">
        <v>6218</v>
      </c>
    </row>
    <row r="1950" spans="1:2" x14ac:dyDescent="0.25">
      <c r="A1950" s="20" t="s">
        <v>6221</v>
      </c>
      <c r="B1950" s="20" t="s">
        <v>337</v>
      </c>
    </row>
    <row r="1951" spans="1:2" x14ac:dyDescent="0.25">
      <c r="A1951" s="138" t="s">
        <v>6221</v>
      </c>
      <c r="B1951" s="138" t="s">
        <v>337</v>
      </c>
    </row>
    <row r="1952" spans="1:2" x14ac:dyDescent="0.25">
      <c r="A1952" s="20" t="s">
        <v>6221</v>
      </c>
      <c r="B1952" s="20" t="s">
        <v>337</v>
      </c>
    </row>
    <row r="1953" spans="1:2" x14ac:dyDescent="0.25">
      <c r="A1953" s="138" t="s">
        <v>6221</v>
      </c>
      <c r="B1953" s="138" t="s">
        <v>337</v>
      </c>
    </row>
    <row r="1954" spans="1:2" x14ac:dyDescent="0.25">
      <c r="A1954" s="20" t="s">
        <v>6221</v>
      </c>
      <c r="B1954" s="20" t="s">
        <v>337</v>
      </c>
    </row>
    <row r="1955" spans="1:2" x14ac:dyDescent="0.25">
      <c r="A1955" s="138" t="s">
        <v>6221</v>
      </c>
      <c r="B1955" s="138" t="s">
        <v>337</v>
      </c>
    </row>
    <row r="1956" spans="1:2" x14ac:dyDescent="0.25">
      <c r="A1956" s="20" t="s">
        <v>6221</v>
      </c>
      <c r="B1956" s="20" t="s">
        <v>337</v>
      </c>
    </row>
    <row r="1957" spans="1:2" x14ac:dyDescent="0.25">
      <c r="A1957" s="138" t="s">
        <v>6221</v>
      </c>
      <c r="B1957" s="138" t="s">
        <v>337</v>
      </c>
    </row>
    <row r="1958" spans="1:2" x14ac:dyDescent="0.25">
      <c r="A1958" s="20" t="s">
        <v>6221</v>
      </c>
      <c r="B1958" s="20" t="s">
        <v>337</v>
      </c>
    </row>
    <row r="1959" spans="1:2" x14ac:dyDescent="0.25">
      <c r="A1959" s="138" t="s">
        <v>6221</v>
      </c>
      <c r="B1959" s="138" t="s">
        <v>337</v>
      </c>
    </row>
    <row r="1960" spans="1:2" x14ac:dyDescent="0.25">
      <c r="A1960" s="20" t="s">
        <v>6221</v>
      </c>
      <c r="B1960" s="20" t="s">
        <v>337</v>
      </c>
    </row>
    <row r="1961" spans="1:2" x14ac:dyDescent="0.25">
      <c r="A1961" s="138" t="s">
        <v>6221</v>
      </c>
      <c r="B1961" s="138" t="s">
        <v>337</v>
      </c>
    </row>
    <row r="1962" spans="1:2" x14ac:dyDescent="0.25">
      <c r="A1962" s="20" t="s">
        <v>6221</v>
      </c>
      <c r="B1962" s="20" t="s">
        <v>337</v>
      </c>
    </row>
    <row r="1963" spans="1:2" x14ac:dyDescent="0.25">
      <c r="A1963" s="138" t="s">
        <v>6221</v>
      </c>
      <c r="B1963" s="138" t="s">
        <v>337</v>
      </c>
    </row>
    <row r="1964" spans="1:2" x14ac:dyDescent="0.25">
      <c r="A1964" s="20" t="s">
        <v>6221</v>
      </c>
      <c r="B1964" s="20" t="s">
        <v>337</v>
      </c>
    </row>
    <row r="1965" spans="1:2" x14ac:dyDescent="0.25">
      <c r="A1965" s="138" t="s">
        <v>6221</v>
      </c>
      <c r="B1965" s="138" t="s">
        <v>337</v>
      </c>
    </row>
    <row r="1966" spans="1:2" x14ac:dyDescent="0.25">
      <c r="A1966" s="20" t="s">
        <v>6221</v>
      </c>
      <c r="B1966" s="20" t="s">
        <v>337</v>
      </c>
    </row>
    <row r="1967" spans="1:2" x14ac:dyDescent="0.25">
      <c r="A1967" s="138">
        <v>16</v>
      </c>
      <c r="B1967" s="138" t="s">
        <v>417</v>
      </c>
    </row>
    <row r="1968" spans="1:2" x14ac:dyDescent="0.25">
      <c r="A1968" s="20">
        <v>16</v>
      </c>
      <c r="B1968" s="20" t="s">
        <v>417</v>
      </c>
    </row>
    <row r="1969" spans="1:2" x14ac:dyDescent="0.25">
      <c r="A1969" s="138">
        <v>16</v>
      </c>
      <c r="B1969" s="138" t="s">
        <v>1197</v>
      </c>
    </row>
    <row r="1970" spans="1:2" x14ac:dyDescent="0.25">
      <c r="A1970" s="20">
        <v>115</v>
      </c>
      <c r="B1970" s="20" t="s">
        <v>2003</v>
      </c>
    </row>
    <row r="1971" spans="1:2" x14ac:dyDescent="0.25">
      <c r="A1971" s="138">
        <v>115</v>
      </c>
      <c r="B1971" s="138" t="s">
        <v>2003</v>
      </c>
    </row>
    <row r="1972" spans="1:2" x14ac:dyDescent="0.25">
      <c r="A1972" s="20">
        <v>115</v>
      </c>
      <c r="B1972" s="20" t="s">
        <v>2003</v>
      </c>
    </row>
    <row r="1973" spans="1:2" x14ac:dyDescent="0.25">
      <c r="A1973" s="138">
        <v>115</v>
      </c>
      <c r="B1973" s="138" t="s">
        <v>2003</v>
      </c>
    </row>
    <row r="1974" spans="1:2" x14ac:dyDescent="0.25">
      <c r="A1974" s="20">
        <v>115</v>
      </c>
      <c r="B1974" s="20" t="s">
        <v>2003</v>
      </c>
    </row>
    <row r="1975" spans="1:2" x14ac:dyDescent="0.25">
      <c r="A1975" s="138">
        <v>115</v>
      </c>
      <c r="B1975" s="138" t="s">
        <v>2003</v>
      </c>
    </row>
    <row r="1976" spans="1:2" x14ac:dyDescent="0.25">
      <c r="A1976" s="138">
        <v>115</v>
      </c>
      <c r="B1976" s="138" t="s">
        <v>2003</v>
      </c>
    </row>
    <row r="1977" spans="1:2" x14ac:dyDescent="0.25">
      <c r="A1977" s="20">
        <v>115</v>
      </c>
      <c r="B1977" s="20" t="s">
        <v>2003</v>
      </c>
    </row>
    <row r="1978" spans="1:2" x14ac:dyDescent="0.25">
      <c r="A1978" s="20">
        <v>115</v>
      </c>
      <c r="B1978" s="20" t="s">
        <v>2003</v>
      </c>
    </row>
    <row r="1979" spans="1:2" x14ac:dyDescent="0.25">
      <c r="A1979" s="138">
        <v>115</v>
      </c>
      <c r="B1979" s="138" t="s">
        <v>2003</v>
      </c>
    </row>
    <row r="1980" spans="1:2" x14ac:dyDescent="0.25">
      <c r="A1980" s="20">
        <v>115</v>
      </c>
      <c r="B1980" s="20" t="s">
        <v>2003</v>
      </c>
    </row>
    <row r="1981" spans="1:2" x14ac:dyDescent="0.25">
      <c r="A1981" s="138">
        <v>115</v>
      </c>
      <c r="B1981" s="138" t="s">
        <v>2003</v>
      </c>
    </row>
    <row r="1982" spans="1:2" x14ac:dyDescent="0.25">
      <c r="A1982" s="20">
        <v>115</v>
      </c>
      <c r="B1982" s="20" t="s">
        <v>2003</v>
      </c>
    </row>
    <row r="1983" spans="1:2" x14ac:dyDescent="0.25">
      <c r="A1983" s="138">
        <v>115</v>
      </c>
      <c r="B1983" s="138" t="s">
        <v>2003</v>
      </c>
    </row>
    <row r="1984" spans="1:2" x14ac:dyDescent="0.25">
      <c r="A1984" s="20">
        <v>115</v>
      </c>
      <c r="B1984" s="20" t="s">
        <v>2003</v>
      </c>
    </row>
    <row r="1985" spans="1:2" x14ac:dyDescent="0.25">
      <c r="A1985" s="138">
        <v>115</v>
      </c>
      <c r="B1985" s="138" t="s">
        <v>2003</v>
      </c>
    </row>
    <row r="1986" spans="1:2" x14ac:dyDescent="0.25">
      <c r="A1986" s="20">
        <v>115</v>
      </c>
      <c r="B1986" s="20" t="s">
        <v>2003</v>
      </c>
    </row>
    <row r="1987" spans="1:2" x14ac:dyDescent="0.25">
      <c r="A1987" s="138">
        <v>115</v>
      </c>
      <c r="B1987" s="138" t="s">
        <v>2003</v>
      </c>
    </row>
    <row r="1988" spans="1:2" x14ac:dyDescent="0.25">
      <c r="A1988" s="20">
        <v>115</v>
      </c>
      <c r="B1988" s="20" t="s">
        <v>2003</v>
      </c>
    </row>
    <row r="1989" spans="1:2" x14ac:dyDescent="0.25">
      <c r="A1989" s="138">
        <v>115</v>
      </c>
      <c r="B1989" s="138" t="s">
        <v>2003</v>
      </c>
    </row>
    <row r="1990" spans="1:2" x14ac:dyDescent="0.25">
      <c r="A1990" s="20">
        <v>115</v>
      </c>
      <c r="B1990" s="20" t="s">
        <v>2003</v>
      </c>
    </row>
    <row r="1991" spans="1:2" x14ac:dyDescent="0.25">
      <c r="A1991" s="138">
        <v>115</v>
      </c>
      <c r="B1991" s="138" t="s">
        <v>2003</v>
      </c>
    </row>
    <row r="1992" spans="1:2" x14ac:dyDescent="0.25">
      <c r="A1992" s="20">
        <v>115</v>
      </c>
      <c r="B1992" s="20" t="s">
        <v>2003</v>
      </c>
    </row>
    <row r="1993" spans="1:2" x14ac:dyDescent="0.25">
      <c r="A1993" s="138">
        <v>115</v>
      </c>
      <c r="B1993" s="138" t="s">
        <v>2003</v>
      </c>
    </row>
    <row r="1994" spans="1:2" x14ac:dyDescent="0.25">
      <c r="A1994" s="20">
        <v>115</v>
      </c>
      <c r="B1994" s="20" t="s">
        <v>2003</v>
      </c>
    </row>
    <row r="1995" spans="1:2" x14ac:dyDescent="0.25">
      <c r="A1995" s="138">
        <v>115</v>
      </c>
      <c r="B1995" s="138" t="s">
        <v>2003</v>
      </c>
    </row>
    <row r="1996" spans="1:2" x14ac:dyDescent="0.25">
      <c r="A1996" s="138">
        <v>199</v>
      </c>
      <c r="B1996" s="138" t="s">
        <v>1275</v>
      </c>
    </row>
    <row r="1997" spans="1:2" x14ac:dyDescent="0.25">
      <c r="A1997" s="20">
        <v>234</v>
      </c>
      <c r="B1997" s="20" t="s">
        <v>206</v>
      </c>
    </row>
    <row r="1998" spans="1:2" x14ac:dyDescent="0.25">
      <c r="A1998" s="138">
        <v>109</v>
      </c>
      <c r="B1998" s="138" t="s">
        <v>1346</v>
      </c>
    </row>
    <row r="1999" spans="1:2" x14ac:dyDescent="0.25">
      <c r="A1999" s="20">
        <v>109</v>
      </c>
      <c r="B1999" s="20" t="s">
        <v>1346</v>
      </c>
    </row>
    <row r="2000" spans="1:2" x14ac:dyDescent="0.25">
      <c r="A2000" s="138">
        <v>96</v>
      </c>
      <c r="B2000" s="138" t="s">
        <v>1275</v>
      </c>
    </row>
    <row r="2001" spans="1:2" x14ac:dyDescent="0.25">
      <c r="A2001" s="20">
        <v>96</v>
      </c>
      <c r="B2001" s="20" t="s">
        <v>1275</v>
      </c>
    </row>
    <row r="2002" spans="1:2" x14ac:dyDescent="0.25">
      <c r="A2002" s="138">
        <v>96</v>
      </c>
      <c r="B2002" s="138" t="s">
        <v>1275</v>
      </c>
    </row>
    <row r="2003" spans="1:2" x14ac:dyDescent="0.25">
      <c r="A2003" s="20">
        <v>96</v>
      </c>
      <c r="B2003" s="20" t="s">
        <v>1275</v>
      </c>
    </row>
    <row r="2004" spans="1:2" x14ac:dyDescent="0.25">
      <c r="A2004" s="138">
        <v>96</v>
      </c>
      <c r="B2004" s="138" t="s">
        <v>1275</v>
      </c>
    </row>
    <row r="2005" spans="1:2" x14ac:dyDescent="0.25">
      <c r="A2005" s="20">
        <v>96</v>
      </c>
      <c r="B2005" s="20" t="s">
        <v>1275</v>
      </c>
    </row>
    <row r="2006" spans="1:2" x14ac:dyDescent="0.25">
      <c r="A2006" s="138">
        <v>96</v>
      </c>
      <c r="B2006" s="138" t="s">
        <v>1275</v>
      </c>
    </row>
    <row r="2007" spans="1:2" x14ac:dyDescent="0.25">
      <c r="A2007" s="20">
        <v>96</v>
      </c>
      <c r="B2007" s="20" t="s">
        <v>1275</v>
      </c>
    </row>
    <row r="2008" spans="1:2" x14ac:dyDescent="0.25">
      <c r="A2008" s="138">
        <v>96</v>
      </c>
      <c r="B2008" s="138" t="s">
        <v>1275</v>
      </c>
    </row>
    <row r="2009" spans="1:2" x14ac:dyDescent="0.25">
      <c r="A2009" s="20">
        <v>96</v>
      </c>
      <c r="B2009" s="20" t="s">
        <v>1275</v>
      </c>
    </row>
    <row r="2010" spans="1:2" x14ac:dyDescent="0.25">
      <c r="A2010" s="138">
        <v>96</v>
      </c>
      <c r="B2010" s="138" t="s">
        <v>1275</v>
      </c>
    </row>
    <row r="2011" spans="1:2" x14ac:dyDescent="0.25">
      <c r="A2011" s="20">
        <v>96</v>
      </c>
      <c r="B2011" s="20" t="s">
        <v>1275</v>
      </c>
    </row>
    <row r="2012" spans="1:2" x14ac:dyDescent="0.25">
      <c r="A2012" s="138">
        <v>96</v>
      </c>
      <c r="B2012" s="138" t="s">
        <v>1275</v>
      </c>
    </row>
    <row r="2013" spans="1:2" x14ac:dyDescent="0.25">
      <c r="A2013" s="20">
        <v>96</v>
      </c>
      <c r="B2013" s="20" t="s">
        <v>1275</v>
      </c>
    </row>
    <row r="2014" spans="1:2" x14ac:dyDescent="0.25">
      <c r="A2014" s="138">
        <v>96</v>
      </c>
      <c r="B2014" s="138" t="s">
        <v>1275</v>
      </c>
    </row>
    <row r="2015" spans="1:2" x14ac:dyDescent="0.25">
      <c r="A2015" s="20">
        <v>96</v>
      </c>
      <c r="B2015" s="20" t="s">
        <v>1275</v>
      </c>
    </row>
    <row r="2016" spans="1:2" x14ac:dyDescent="0.25">
      <c r="A2016" s="138">
        <v>96</v>
      </c>
      <c r="B2016" s="138" t="s">
        <v>1275</v>
      </c>
    </row>
    <row r="2017" spans="1:2" x14ac:dyDescent="0.25">
      <c r="A2017" s="20">
        <v>96</v>
      </c>
      <c r="B2017" s="20" t="s">
        <v>1275</v>
      </c>
    </row>
    <row r="2018" spans="1:2" x14ac:dyDescent="0.25">
      <c r="A2018" s="138">
        <v>96</v>
      </c>
      <c r="B2018" s="138" t="s">
        <v>1275</v>
      </c>
    </row>
    <row r="2019" spans="1:2" x14ac:dyDescent="0.25">
      <c r="A2019" s="20">
        <v>96</v>
      </c>
      <c r="B2019" s="20" t="s">
        <v>1275</v>
      </c>
    </row>
    <row r="2020" spans="1:2" x14ac:dyDescent="0.25">
      <c r="A2020" s="138">
        <v>96</v>
      </c>
      <c r="B2020" s="138" t="s">
        <v>1275</v>
      </c>
    </row>
    <row r="2021" spans="1:2" x14ac:dyDescent="0.25">
      <c r="A2021" s="20">
        <v>96</v>
      </c>
      <c r="B2021" s="20" t="s">
        <v>1275</v>
      </c>
    </row>
    <row r="2022" spans="1:2" x14ac:dyDescent="0.25">
      <c r="A2022" s="138">
        <v>96</v>
      </c>
      <c r="B2022" s="138" t="s">
        <v>1275</v>
      </c>
    </row>
    <row r="2023" spans="1:2" x14ac:dyDescent="0.25">
      <c r="A2023" s="20">
        <v>96</v>
      </c>
      <c r="B2023" s="20" t="s">
        <v>1275</v>
      </c>
    </row>
    <row r="2024" spans="1:2" x14ac:dyDescent="0.25">
      <c r="A2024" s="138">
        <v>96</v>
      </c>
      <c r="B2024" s="138" t="s">
        <v>1275</v>
      </c>
    </row>
    <row r="2025" spans="1:2" x14ac:dyDescent="0.25">
      <c r="A2025" s="20">
        <v>96</v>
      </c>
      <c r="B2025" s="20" t="s">
        <v>1275</v>
      </c>
    </row>
    <row r="2026" spans="1:2" x14ac:dyDescent="0.25">
      <c r="A2026" s="138">
        <v>96</v>
      </c>
      <c r="B2026" s="138" t="s">
        <v>1275</v>
      </c>
    </row>
    <row r="2027" spans="1:2" x14ac:dyDescent="0.25">
      <c r="A2027" s="20">
        <v>96</v>
      </c>
      <c r="B2027" s="20" t="s">
        <v>1275</v>
      </c>
    </row>
    <row r="2028" spans="1:2" x14ac:dyDescent="0.25">
      <c r="A2028" s="138">
        <v>96</v>
      </c>
      <c r="B2028" s="138" t="s">
        <v>1275</v>
      </c>
    </row>
    <row r="2029" spans="1:2" x14ac:dyDescent="0.25">
      <c r="A2029" s="20">
        <v>96</v>
      </c>
      <c r="B2029" s="20" t="s">
        <v>1275</v>
      </c>
    </row>
    <row r="2030" spans="1:2" x14ac:dyDescent="0.25">
      <c r="A2030" s="138">
        <v>96</v>
      </c>
      <c r="B2030" s="138" t="s">
        <v>1275</v>
      </c>
    </row>
    <row r="2031" spans="1:2" x14ac:dyDescent="0.25">
      <c r="A2031" s="20">
        <v>96</v>
      </c>
      <c r="B2031" s="20" t="s">
        <v>1275</v>
      </c>
    </row>
    <row r="2032" spans="1:2" x14ac:dyDescent="0.25">
      <c r="A2032" s="138">
        <v>96</v>
      </c>
      <c r="B2032" s="138" t="s">
        <v>1275</v>
      </c>
    </row>
    <row r="2033" spans="1:2" x14ac:dyDescent="0.25">
      <c r="A2033" s="20">
        <v>96</v>
      </c>
      <c r="B2033" s="20" t="s">
        <v>1275</v>
      </c>
    </row>
    <row r="2034" spans="1:2" x14ac:dyDescent="0.25">
      <c r="A2034" s="138">
        <v>96</v>
      </c>
      <c r="B2034" s="138" t="s">
        <v>1275</v>
      </c>
    </row>
    <row r="2035" spans="1:2" x14ac:dyDescent="0.25">
      <c r="A2035" s="20">
        <v>96</v>
      </c>
      <c r="B2035" s="20" t="s">
        <v>1275</v>
      </c>
    </row>
    <row r="2036" spans="1:2" x14ac:dyDescent="0.25">
      <c r="A2036" s="138">
        <v>96</v>
      </c>
      <c r="B2036" s="138" t="s">
        <v>1275</v>
      </c>
    </row>
    <row r="2037" spans="1:2" x14ac:dyDescent="0.25">
      <c r="A2037" s="20">
        <v>96</v>
      </c>
      <c r="B2037" s="20" t="s">
        <v>1275</v>
      </c>
    </row>
    <row r="2038" spans="1:2" x14ac:dyDescent="0.25">
      <c r="A2038" s="138">
        <v>96</v>
      </c>
      <c r="B2038" s="138" t="s">
        <v>1275</v>
      </c>
    </row>
    <row r="2039" spans="1:2" x14ac:dyDescent="0.25">
      <c r="A2039" s="20">
        <v>96</v>
      </c>
      <c r="B2039" s="20" t="s">
        <v>1275</v>
      </c>
    </row>
    <row r="2040" spans="1:2" x14ac:dyDescent="0.25">
      <c r="A2040" s="138">
        <v>96</v>
      </c>
      <c r="B2040" s="138" t="s">
        <v>1275</v>
      </c>
    </row>
    <row r="2041" spans="1:2" x14ac:dyDescent="0.25">
      <c r="A2041" s="20">
        <v>96</v>
      </c>
      <c r="B2041" s="20" t="s">
        <v>1275</v>
      </c>
    </row>
    <row r="2042" spans="1:2" x14ac:dyDescent="0.25">
      <c r="A2042" s="138">
        <v>96</v>
      </c>
      <c r="B2042" s="138" t="s">
        <v>1275</v>
      </c>
    </row>
    <row r="2043" spans="1:2" x14ac:dyDescent="0.25">
      <c r="A2043" s="20">
        <v>96</v>
      </c>
      <c r="B2043" s="20" t="s">
        <v>1275</v>
      </c>
    </row>
    <row r="2044" spans="1:2" x14ac:dyDescent="0.25">
      <c r="A2044" s="138">
        <v>96</v>
      </c>
      <c r="B2044" s="138" t="s">
        <v>1275</v>
      </c>
    </row>
    <row r="2045" spans="1:2" x14ac:dyDescent="0.25">
      <c r="A2045" s="20">
        <v>96</v>
      </c>
      <c r="B2045" s="20" t="s">
        <v>1275</v>
      </c>
    </row>
    <row r="2046" spans="1:2" x14ac:dyDescent="0.25">
      <c r="A2046" s="138">
        <v>96</v>
      </c>
      <c r="B2046" s="138" t="s">
        <v>1275</v>
      </c>
    </row>
    <row r="2047" spans="1:2" x14ac:dyDescent="0.25">
      <c r="A2047" s="20">
        <v>96</v>
      </c>
      <c r="B2047" s="20" t="s">
        <v>1275</v>
      </c>
    </row>
    <row r="2048" spans="1:2" x14ac:dyDescent="0.25">
      <c r="A2048" s="138">
        <v>96</v>
      </c>
      <c r="B2048" s="138" t="s">
        <v>1275</v>
      </c>
    </row>
    <row r="2049" spans="1:2" x14ac:dyDescent="0.25">
      <c r="A2049" s="20">
        <v>96</v>
      </c>
      <c r="B2049" s="20" t="s">
        <v>1275</v>
      </c>
    </row>
    <row r="2050" spans="1:2" x14ac:dyDescent="0.25">
      <c r="A2050" s="138">
        <v>96</v>
      </c>
      <c r="B2050" s="138" t="s">
        <v>1275</v>
      </c>
    </row>
    <row r="2051" spans="1:2" x14ac:dyDescent="0.25">
      <c r="A2051" s="20">
        <v>96</v>
      </c>
      <c r="B2051" s="20" t="s">
        <v>1275</v>
      </c>
    </row>
    <row r="2052" spans="1:2" x14ac:dyDescent="0.25">
      <c r="A2052" s="138">
        <v>96</v>
      </c>
      <c r="B2052" s="138" t="s">
        <v>1275</v>
      </c>
    </row>
    <row r="2053" spans="1:2" x14ac:dyDescent="0.25">
      <c r="A2053" s="20">
        <v>18</v>
      </c>
      <c r="B2053" s="20" t="s">
        <v>1289</v>
      </c>
    </row>
    <row r="2054" spans="1:2" x14ac:dyDescent="0.25">
      <c r="A2054" s="138">
        <v>18</v>
      </c>
      <c r="B2054" s="138" t="s">
        <v>1289</v>
      </c>
    </row>
    <row r="2055" spans="1:2" x14ac:dyDescent="0.25">
      <c r="A2055" s="138">
        <v>18</v>
      </c>
      <c r="B2055" s="138" t="s">
        <v>1289</v>
      </c>
    </row>
    <row r="2056" spans="1:2" x14ac:dyDescent="0.25">
      <c r="A2056" s="20">
        <v>18</v>
      </c>
      <c r="B2056" s="20" t="s">
        <v>1289</v>
      </c>
    </row>
    <row r="2057" spans="1:2" x14ac:dyDescent="0.25">
      <c r="A2057" s="138" t="s">
        <v>6183</v>
      </c>
      <c r="B2057" s="138" t="s">
        <v>1161</v>
      </c>
    </row>
    <row r="2058" spans="1:2" x14ac:dyDescent="0.25">
      <c r="A2058" s="20" t="s">
        <v>6183</v>
      </c>
      <c r="B2058" s="20" t="s">
        <v>1161</v>
      </c>
    </row>
    <row r="2059" spans="1:2" x14ac:dyDescent="0.25">
      <c r="A2059" s="138" t="s">
        <v>6183</v>
      </c>
      <c r="B2059" s="138" t="s">
        <v>1161</v>
      </c>
    </row>
    <row r="2060" spans="1:2" x14ac:dyDescent="0.25">
      <c r="A2060" s="20" t="s">
        <v>6183</v>
      </c>
      <c r="B2060" s="20" t="s">
        <v>1161</v>
      </c>
    </row>
    <row r="2061" spans="1:2" x14ac:dyDescent="0.25">
      <c r="A2061" s="138" t="s">
        <v>6183</v>
      </c>
      <c r="B2061" s="138" t="s">
        <v>1161</v>
      </c>
    </row>
    <row r="2062" spans="1:2" x14ac:dyDescent="0.25">
      <c r="A2062" s="20">
        <v>16</v>
      </c>
      <c r="B2062" s="20" t="s">
        <v>2005</v>
      </c>
    </row>
    <row r="2063" spans="1:2" x14ac:dyDescent="0.25">
      <c r="A2063" s="138">
        <v>16</v>
      </c>
      <c r="B2063" s="138" t="s">
        <v>2005</v>
      </c>
    </row>
    <row r="2064" spans="1:2" x14ac:dyDescent="0.25">
      <c r="A2064" s="20">
        <v>16</v>
      </c>
      <c r="B2064" s="20" t="s">
        <v>701</v>
      </c>
    </row>
    <row r="2065" spans="1:2" x14ac:dyDescent="0.25">
      <c r="A2065" s="138">
        <v>16</v>
      </c>
      <c r="B2065" s="138" t="s">
        <v>2005</v>
      </c>
    </row>
    <row r="2066" spans="1:2" x14ac:dyDescent="0.25">
      <c r="A2066" s="20">
        <v>16</v>
      </c>
      <c r="B2066" s="20" t="s">
        <v>701</v>
      </c>
    </row>
    <row r="2067" spans="1:2" x14ac:dyDescent="0.25">
      <c r="A2067" s="138">
        <v>16</v>
      </c>
      <c r="B2067" s="138" t="s">
        <v>701</v>
      </c>
    </row>
    <row r="2068" spans="1:2" x14ac:dyDescent="0.25">
      <c r="A2068" s="20">
        <v>11</v>
      </c>
      <c r="B2068" s="20" t="s">
        <v>638</v>
      </c>
    </row>
    <row r="2069" spans="1:2" x14ac:dyDescent="0.25">
      <c r="A2069" s="138">
        <v>11</v>
      </c>
      <c r="B2069" s="138" t="s">
        <v>638</v>
      </c>
    </row>
    <row r="2070" spans="1:2" x14ac:dyDescent="0.25">
      <c r="A2070" s="20">
        <v>11</v>
      </c>
      <c r="B2070" s="20" t="s">
        <v>638</v>
      </c>
    </row>
    <row r="2071" spans="1:2" x14ac:dyDescent="0.25">
      <c r="A2071" s="138">
        <v>11</v>
      </c>
      <c r="B2071" s="138" t="s">
        <v>638</v>
      </c>
    </row>
    <row r="2072" spans="1:2" x14ac:dyDescent="0.25">
      <c r="A2072" s="20">
        <v>11</v>
      </c>
      <c r="B2072" s="20" t="s">
        <v>638</v>
      </c>
    </row>
    <row r="2073" spans="1:2" x14ac:dyDescent="0.25">
      <c r="A2073" s="138">
        <v>11</v>
      </c>
      <c r="B2073" s="138" t="s">
        <v>638</v>
      </c>
    </row>
    <row r="2074" spans="1:2" x14ac:dyDescent="0.25">
      <c r="A2074" s="20">
        <v>11</v>
      </c>
      <c r="B2074" s="20" t="s">
        <v>638</v>
      </c>
    </row>
    <row r="2075" spans="1:2" x14ac:dyDescent="0.25">
      <c r="A2075" s="138">
        <v>11</v>
      </c>
      <c r="B2075" s="138" t="s">
        <v>638</v>
      </c>
    </row>
    <row r="2076" spans="1:2" x14ac:dyDescent="0.25">
      <c r="A2076" s="20">
        <v>11</v>
      </c>
      <c r="B2076" s="20" t="s">
        <v>638</v>
      </c>
    </row>
    <row r="2077" spans="1:2" x14ac:dyDescent="0.25">
      <c r="A2077" s="138" t="s">
        <v>3658</v>
      </c>
      <c r="B2077" s="138" t="s">
        <v>270</v>
      </c>
    </row>
    <row r="2078" spans="1:2" x14ac:dyDescent="0.25">
      <c r="A2078" s="20" t="s">
        <v>3658</v>
      </c>
      <c r="B2078" s="20" t="s">
        <v>270</v>
      </c>
    </row>
    <row r="2079" spans="1:2" x14ac:dyDescent="0.25">
      <c r="A2079" s="138" t="s">
        <v>3658</v>
      </c>
      <c r="B2079" s="138" t="s">
        <v>270</v>
      </c>
    </row>
    <row r="2080" spans="1:2" x14ac:dyDescent="0.25">
      <c r="A2080" s="20" t="s">
        <v>3658</v>
      </c>
      <c r="B2080" s="20" t="s">
        <v>270</v>
      </c>
    </row>
    <row r="2081" spans="1:2" x14ac:dyDescent="0.25">
      <c r="A2081" s="138" t="s">
        <v>3658</v>
      </c>
      <c r="B2081" s="138" t="s">
        <v>270</v>
      </c>
    </row>
    <row r="2082" spans="1:2" x14ac:dyDescent="0.25">
      <c r="A2082" s="20">
        <v>11</v>
      </c>
      <c r="B2082" s="20" t="s">
        <v>638</v>
      </c>
    </row>
    <row r="2083" spans="1:2" x14ac:dyDescent="0.25">
      <c r="A2083" s="138">
        <v>11</v>
      </c>
      <c r="B2083" s="138" t="s">
        <v>638</v>
      </c>
    </row>
    <row r="2084" spans="1:2" x14ac:dyDescent="0.25">
      <c r="A2084" s="20">
        <v>11</v>
      </c>
      <c r="B2084" s="20" t="s">
        <v>638</v>
      </c>
    </row>
    <row r="2085" spans="1:2" x14ac:dyDescent="0.25">
      <c r="A2085" s="138" t="s">
        <v>6194</v>
      </c>
      <c r="B2085" s="138" t="s">
        <v>450</v>
      </c>
    </row>
    <row r="2086" spans="1:2" x14ac:dyDescent="0.25">
      <c r="A2086" s="20" t="s">
        <v>6194</v>
      </c>
      <c r="B2086" s="20" t="s">
        <v>450</v>
      </c>
    </row>
    <row r="2087" spans="1:2" x14ac:dyDescent="0.25">
      <c r="A2087" s="20" t="s">
        <v>6194</v>
      </c>
      <c r="B2087" s="20" t="s">
        <v>450</v>
      </c>
    </row>
    <row r="2088" spans="1:2" x14ac:dyDescent="0.25">
      <c r="A2088" s="138" t="s">
        <v>6194</v>
      </c>
      <c r="B2088" s="138" t="s">
        <v>450</v>
      </c>
    </row>
    <row r="2089" spans="1:2" x14ac:dyDescent="0.25">
      <c r="A2089" s="20" t="s">
        <v>6194</v>
      </c>
      <c r="B2089" s="20" t="s">
        <v>450</v>
      </c>
    </row>
    <row r="2090" spans="1:2" x14ac:dyDescent="0.25">
      <c r="A2090" s="138" t="s">
        <v>6194</v>
      </c>
      <c r="B2090" s="138" t="s">
        <v>450</v>
      </c>
    </row>
    <row r="2091" spans="1:2" x14ac:dyDescent="0.25">
      <c r="A2091" s="20" t="s">
        <v>6194</v>
      </c>
      <c r="B2091" s="20" t="s">
        <v>450</v>
      </c>
    </row>
    <row r="2092" spans="1:2" x14ac:dyDescent="0.25">
      <c r="A2092" s="138" t="s">
        <v>6194</v>
      </c>
      <c r="B2092" s="138" t="s">
        <v>450</v>
      </c>
    </row>
    <row r="2093" spans="1:2" x14ac:dyDescent="0.25">
      <c r="A2093" s="20">
        <v>151</v>
      </c>
      <c r="B2093" s="20" t="s">
        <v>1161</v>
      </c>
    </row>
    <row r="2094" spans="1:2" x14ac:dyDescent="0.25">
      <c r="A2094" s="138">
        <v>151</v>
      </c>
      <c r="B2094" s="138" t="s">
        <v>1161</v>
      </c>
    </row>
    <row r="2095" spans="1:2" x14ac:dyDescent="0.25">
      <c r="A2095" s="20">
        <v>151</v>
      </c>
      <c r="B2095" s="20" t="s">
        <v>1161</v>
      </c>
    </row>
    <row r="2096" spans="1:2" x14ac:dyDescent="0.25">
      <c r="A2096" s="138">
        <v>151</v>
      </c>
      <c r="B2096" s="138" t="s">
        <v>1161</v>
      </c>
    </row>
    <row r="2097" spans="1:2" x14ac:dyDescent="0.25">
      <c r="A2097" s="20">
        <v>151</v>
      </c>
      <c r="B2097" s="20" t="s">
        <v>1161</v>
      </c>
    </row>
    <row r="2098" spans="1:2" x14ac:dyDescent="0.25">
      <c r="A2098" s="138">
        <v>151</v>
      </c>
      <c r="B2098" s="138" t="s">
        <v>1161</v>
      </c>
    </row>
    <row r="2099" spans="1:2" x14ac:dyDescent="0.25">
      <c r="A2099" s="20">
        <v>151</v>
      </c>
      <c r="B2099" s="20" t="s">
        <v>1161</v>
      </c>
    </row>
    <row r="2100" spans="1:2" x14ac:dyDescent="0.25">
      <c r="A2100" s="138">
        <v>151</v>
      </c>
      <c r="B2100" s="138" t="s">
        <v>1161</v>
      </c>
    </row>
    <row r="2101" spans="1:2" x14ac:dyDescent="0.25">
      <c r="A2101" s="20">
        <v>151</v>
      </c>
      <c r="B2101" s="20" t="s">
        <v>1161</v>
      </c>
    </row>
    <row r="2102" spans="1:2" x14ac:dyDescent="0.25">
      <c r="A2102" s="138">
        <v>151</v>
      </c>
      <c r="B2102" s="138" t="s">
        <v>1161</v>
      </c>
    </row>
    <row r="2103" spans="1:2" x14ac:dyDescent="0.25">
      <c r="A2103" s="20">
        <v>151</v>
      </c>
      <c r="B2103" s="20" t="s">
        <v>1161</v>
      </c>
    </row>
    <row r="2104" spans="1:2" x14ac:dyDescent="0.25">
      <c r="A2104" s="138">
        <v>50</v>
      </c>
      <c r="B2104" s="138" t="s">
        <v>1478</v>
      </c>
    </row>
    <row r="2105" spans="1:2" x14ac:dyDescent="0.25">
      <c r="A2105" s="20">
        <v>50</v>
      </c>
      <c r="B2105" s="20" t="s">
        <v>1478</v>
      </c>
    </row>
    <row r="2106" spans="1:2" x14ac:dyDescent="0.25">
      <c r="A2106" s="138">
        <v>50</v>
      </c>
      <c r="B2106" s="138" t="s">
        <v>1478</v>
      </c>
    </row>
    <row r="2107" spans="1:2" x14ac:dyDescent="0.25">
      <c r="A2107" s="138">
        <v>50</v>
      </c>
      <c r="B2107" s="138" t="s">
        <v>1478</v>
      </c>
    </row>
    <row r="2108" spans="1:2" x14ac:dyDescent="0.25">
      <c r="A2108" s="20">
        <v>50</v>
      </c>
      <c r="B2108" s="20" t="s">
        <v>1478</v>
      </c>
    </row>
    <row r="2109" spans="1:2" x14ac:dyDescent="0.25">
      <c r="A2109" s="138">
        <v>50</v>
      </c>
      <c r="B2109" s="138" t="s">
        <v>1478</v>
      </c>
    </row>
    <row r="2110" spans="1:2" x14ac:dyDescent="0.25">
      <c r="A2110" s="20">
        <v>50</v>
      </c>
      <c r="B2110" s="20" t="s">
        <v>1478</v>
      </c>
    </row>
    <row r="2111" spans="1:2" x14ac:dyDescent="0.25">
      <c r="A2111" s="138">
        <v>50</v>
      </c>
      <c r="B2111" s="138" t="s">
        <v>1478</v>
      </c>
    </row>
    <row r="2112" spans="1:2" x14ac:dyDescent="0.25">
      <c r="A2112" s="20">
        <v>50</v>
      </c>
      <c r="B2112" s="20" t="s">
        <v>1478</v>
      </c>
    </row>
    <row r="2113" spans="1:2" x14ac:dyDescent="0.25">
      <c r="A2113" s="20" t="s">
        <v>6256</v>
      </c>
      <c r="B2113" s="20" t="s">
        <v>1520</v>
      </c>
    </row>
    <row r="2114" spans="1:2" x14ac:dyDescent="0.25">
      <c r="A2114" s="138" t="s">
        <v>6256</v>
      </c>
      <c r="B2114" s="138" t="s">
        <v>1520</v>
      </c>
    </row>
    <row r="2115" spans="1:2" x14ac:dyDescent="0.25">
      <c r="A2115" s="20" t="s">
        <v>6256</v>
      </c>
      <c r="B2115" s="20" t="s">
        <v>1520</v>
      </c>
    </row>
    <row r="2116" spans="1:2" x14ac:dyDescent="0.25">
      <c r="A2116" s="138" t="s">
        <v>6218</v>
      </c>
      <c r="B2116" s="138" t="s">
        <v>6218</v>
      </c>
    </row>
    <row r="2117" spans="1:2" x14ac:dyDescent="0.25">
      <c r="A2117" s="138" t="s">
        <v>6218</v>
      </c>
      <c r="B2117" s="138" t="s">
        <v>6218</v>
      </c>
    </row>
    <row r="2118" spans="1:2" x14ac:dyDescent="0.25">
      <c r="A2118" s="20" t="s">
        <v>6218</v>
      </c>
      <c r="B2118" s="20" t="s">
        <v>6218</v>
      </c>
    </row>
    <row r="2119" spans="1:2" x14ac:dyDescent="0.25">
      <c r="A2119" s="138" t="s">
        <v>6218</v>
      </c>
      <c r="B2119" s="138" t="s">
        <v>6218</v>
      </c>
    </row>
    <row r="2120" spans="1:2" x14ac:dyDescent="0.25">
      <c r="A2120" s="138" t="s">
        <v>6218</v>
      </c>
      <c r="B2120" s="138" t="s">
        <v>6218</v>
      </c>
    </row>
    <row r="2121" spans="1:2" x14ac:dyDescent="0.25">
      <c r="A2121" s="20" t="s">
        <v>6218</v>
      </c>
      <c r="B2121" s="20" t="s">
        <v>6218</v>
      </c>
    </row>
    <row r="2122" spans="1:2" x14ac:dyDescent="0.25">
      <c r="A2122" s="20" t="s">
        <v>6218</v>
      </c>
      <c r="B2122" s="20" t="s">
        <v>6218</v>
      </c>
    </row>
    <row r="2123" spans="1:2" x14ac:dyDescent="0.25">
      <c r="A2123" s="20" t="s">
        <v>6218</v>
      </c>
      <c r="B2123" s="20" t="s">
        <v>6218</v>
      </c>
    </row>
    <row r="2124" spans="1:2" x14ac:dyDescent="0.25">
      <c r="A2124" s="138" t="s">
        <v>6218</v>
      </c>
      <c r="B2124" s="138" t="s">
        <v>6218</v>
      </c>
    </row>
    <row r="2125" spans="1:2" x14ac:dyDescent="0.25">
      <c r="A2125" s="138" t="s">
        <v>6218</v>
      </c>
      <c r="B2125" s="138" t="s">
        <v>6218</v>
      </c>
    </row>
    <row r="2126" spans="1:2" x14ac:dyDescent="0.25">
      <c r="A2126" s="138" t="s">
        <v>6218</v>
      </c>
      <c r="B2126" s="138" t="s">
        <v>6218</v>
      </c>
    </row>
    <row r="2127" spans="1:2" x14ac:dyDescent="0.25">
      <c r="A2127" s="138">
        <v>16</v>
      </c>
      <c r="B2127" s="138" t="s">
        <v>417</v>
      </c>
    </row>
    <row r="2128" spans="1:2" x14ac:dyDescent="0.25">
      <c r="A2128" s="138">
        <v>16</v>
      </c>
      <c r="B2128" s="138" t="s">
        <v>417</v>
      </c>
    </row>
    <row r="2129" spans="1:2" x14ac:dyDescent="0.25">
      <c r="A2129" s="20">
        <v>16</v>
      </c>
      <c r="B2129" s="20" t="s">
        <v>417</v>
      </c>
    </row>
    <row r="2130" spans="1:2" x14ac:dyDescent="0.25">
      <c r="A2130" s="20">
        <v>16</v>
      </c>
      <c r="B2130" s="20" t="s">
        <v>417</v>
      </c>
    </row>
    <row r="2131" spans="1:2" x14ac:dyDescent="0.25">
      <c r="A2131" s="138">
        <v>16</v>
      </c>
      <c r="B2131" s="138" t="s">
        <v>417</v>
      </c>
    </row>
    <row r="2132" spans="1:2" x14ac:dyDescent="0.25">
      <c r="A2132" s="20">
        <v>115</v>
      </c>
      <c r="B2132" s="20" t="s">
        <v>2003</v>
      </c>
    </row>
    <row r="2133" spans="1:2" x14ac:dyDescent="0.25">
      <c r="A2133" s="138">
        <v>115</v>
      </c>
      <c r="B2133" s="138" t="s">
        <v>2003</v>
      </c>
    </row>
    <row r="2134" spans="1:2" x14ac:dyDescent="0.25">
      <c r="A2134" s="20">
        <v>115</v>
      </c>
      <c r="B2134" s="20" t="s">
        <v>2003</v>
      </c>
    </row>
    <row r="2135" spans="1:2" x14ac:dyDescent="0.25">
      <c r="A2135" s="138">
        <v>115</v>
      </c>
      <c r="B2135" s="138" t="s">
        <v>2003</v>
      </c>
    </row>
    <row r="2136" spans="1:2" x14ac:dyDescent="0.25">
      <c r="A2136" s="20">
        <v>115</v>
      </c>
      <c r="B2136" s="20" t="s">
        <v>2003</v>
      </c>
    </row>
    <row r="2137" spans="1:2" x14ac:dyDescent="0.25">
      <c r="A2137" s="138" t="s">
        <v>6243</v>
      </c>
      <c r="B2137" s="138" t="s">
        <v>6244</v>
      </c>
    </row>
    <row r="2138" spans="1:2" x14ac:dyDescent="0.25">
      <c r="A2138" s="20" t="s">
        <v>6243</v>
      </c>
      <c r="B2138" s="20" t="s">
        <v>6244</v>
      </c>
    </row>
    <row r="2139" spans="1:2" x14ac:dyDescent="0.25">
      <c r="A2139" s="138" t="s">
        <v>6243</v>
      </c>
      <c r="B2139" s="138" t="s">
        <v>6244</v>
      </c>
    </row>
    <row r="2140" spans="1:2" x14ac:dyDescent="0.25">
      <c r="A2140" s="20" t="s">
        <v>6243</v>
      </c>
      <c r="B2140" s="20" t="s">
        <v>6244</v>
      </c>
    </row>
    <row r="2141" spans="1:2" x14ac:dyDescent="0.25">
      <c r="A2141" s="138">
        <v>199</v>
      </c>
      <c r="B2141" s="138" t="s">
        <v>1275</v>
      </c>
    </row>
    <row r="2142" spans="1:2" x14ac:dyDescent="0.25">
      <c r="A2142" s="20">
        <v>199</v>
      </c>
      <c r="B2142" s="20" t="s">
        <v>1275</v>
      </c>
    </row>
    <row r="2143" spans="1:2" x14ac:dyDescent="0.25">
      <c r="A2143" s="20">
        <v>199</v>
      </c>
      <c r="B2143" s="20" t="s">
        <v>1275</v>
      </c>
    </row>
    <row r="2144" spans="1:2" x14ac:dyDescent="0.25">
      <c r="A2144" s="138">
        <v>96</v>
      </c>
      <c r="B2144" s="138" t="s">
        <v>1275</v>
      </c>
    </row>
    <row r="2145" spans="1:2" x14ac:dyDescent="0.25">
      <c r="A2145" s="20">
        <v>96</v>
      </c>
      <c r="B2145" s="20" t="s">
        <v>1275</v>
      </c>
    </row>
    <row r="2146" spans="1:2" x14ac:dyDescent="0.25">
      <c r="A2146" s="138">
        <v>96</v>
      </c>
      <c r="B2146" s="138" t="s">
        <v>1275</v>
      </c>
    </row>
    <row r="2147" spans="1:2" x14ac:dyDescent="0.25">
      <c r="A2147" s="20">
        <v>96</v>
      </c>
      <c r="B2147" s="20" t="s">
        <v>1275</v>
      </c>
    </row>
    <row r="2148" spans="1:2" x14ac:dyDescent="0.25">
      <c r="A2148" s="138">
        <v>96</v>
      </c>
      <c r="B2148" s="138" t="s">
        <v>1275</v>
      </c>
    </row>
    <row r="2149" spans="1:2" x14ac:dyDescent="0.25">
      <c r="A2149" s="20">
        <v>96</v>
      </c>
      <c r="B2149" s="20" t="s">
        <v>1275</v>
      </c>
    </row>
    <row r="2150" spans="1:2" x14ac:dyDescent="0.25">
      <c r="A2150" s="138">
        <v>96</v>
      </c>
      <c r="B2150" s="138" t="s">
        <v>1275</v>
      </c>
    </row>
    <row r="2151" spans="1:2" x14ac:dyDescent="0.25">
      <c r="A2151" s="20" t="s">
        <v>2517</v>
      </c>
      <c r="B2151" s="20" t="s">
        <v>1289</v>
      </c>
    </row>
    <row r="2152" spans="1:2" x14ac:dyDescent="0.25">
      <c r="A2152" s="138">
        <v>18</v>
      </c>
      <c r="B2152" s="138" t="s">
        <v>1289</v>
      </c>
    </row>
    <row r="2153" spans="1:2" x14ac:dyDescent="0.25">
      <c r="A2153" s="20">
        <v>18</v>
      </c>
      <c r="B2153" s="20" t="s">
        <v>1289</v>
      </c>
    </row>
    <row r="2154" spans="1:2" x14ac:dyDescent="0.25">
      <c r="A2154" s="138">
        <v>18</v>
      </c>
      <c r="B2154" s="138" t="s">
        <v>1289</v>
      </c>
    </row>
    <row r="2155" spans="1:2" x14ac:dyDescent="0.25">
      <c r="A2155" s="20">
        <v>18</v>
      </c>
      <c r="B2155" s="20" t="s">
        <v>1289</v>
      </c>
    </row>
    <row r="2156" spans="1:2" x14ac:dyDescent="0.25">
      <c r="A2156" s="138">
        <v>18</v>
      </c>
      <c r="B2156" s="138" t="s">
        <v>1289</v>
      </c>
    </row>
    <row r="2157" spans="1:2" x14ac:dyDescent="0.25">
      <c r="A2157" s="20" t="s">
        <v>2517</v>
      </c>
      <c r="B2157" s="20" t="s">
        <v>1289</v>
      </c>
    </row>
    <row r="2158" spans="1:2" x14ac:dyDescent="0.25">
      <c r="A2158" s="138" t="s">
        <v>2517</v>
      </c>
      <c r="B2158" s="138" t="s">
        <v>1289</v>
      </c>
    </row>
    <row r="2159" spans="1:2" x14ac:dyDescent="0.25">
      <c r="A2159" s="20" t="s">
        <v>2517</v>
      </c>
      <c r="B2159" s="20" t="s">
        <v>1289</v>
      </c>
    </row>
    <row r="2160" spans="1:2" x14ac:dyDescent="0.25">
      <c r="A2160" s="138" t="s">
        <v>2517</v>
      </c>
      <c r="B2160" s="138" t="s">
        <v>1289</v>
      </c>
    </row>
    <row r="2161" spans="1:2" x14ac:dyDescent="0.25">
      <c r="A2161" s="20">
        <v>18</v>
      </c>
      <c r="B2161" s="20" t="s">
        <v>1289</v>
      </c>
    </row>
    <row r="2162" spans="1:2" x14ac:dyDescent="0.25">
      <c r="A2162" s="138" t="s">
        <v>2517</v>
      </c>
      <c r="B2162" s="138" t="s">
        <v>1289</v>
      </c>
    </row>
    <row r="2163" spans="1:2" x14ac:dyDescent="0.25">
      <c r="A2163" s="20">
        <v>18</v>
      </c>
      <c r="B2163" s="20" t="s">
        <v>1289</v>
      </c>
    </row>
    <row r="2164" spans="1:2" x14ac:dyDescent="0.25">
      <c r="A2164" s="138" t="s">
        <v>2517</v>
      </c>
      <c r="B2164" s="138" t="s">
        <v>1289</v>
      </c>
    </row>
    <row r="2165" spans="1:2" x14ac:dyDescent="0.25">
      <c r="A2165" s="20" t="s">
        <v>2517</v>
      </c>
      <c r="B2165" s="20" t="s">
        <v>1289</v>
      </c>
    </row>
    <row r="2166" spans="1:2" x14ac:dyDescent="0.25">
      <c r="A2166" s="138" t="s">
        <v>2517</v>
      </c>
      <c r="B2166" s="138" t="s">
        <v>1289</v>
      </c>
    </row>
    <row r="2167" spans="1:2" x14ac:dyDescent="0.25">
      <c r="A2167" s="20" t="s">
        <v>2517</v>
      </c>
      <c r="B2167" s="20" t="s">
        <v>1289</v>
      </c>
    </row>
    <row r="2168" spans="1:2" x14ac:dyDescent="0.25">
      <c r="A2168" s="138" t="s">
        <v>2517</v>
      </c>
      <c r="B2168" s="138" t="s">
        <v>1289</v>
      </c>
    </row>
    <row r="2169" spans="1:2" x14ac:dyDescent="0.25">
      <c r="A2169" s="20" t="s">
        <v>2517</v>
      </c>
      <c r="B2169" s="20" t="s">
        <v>1289</v>
      </c>
    </row>
    <row r="2170" spans="1:2" x14ac:dyDescent="0.25">
      <c r="A2170" s="138" t="s">
        <v>3717</v>
      </c>
      <c r="B2170" s="138" t="s">
        <v>1244</v>
      </c>
    </row>
    <row r="2171" spans="1:2" x14ac:dyDescent="0.25">
      <c r="A2171" s="20">
        <v>16</v>
      </c>
      <c r="B2171" s="20" t="s">
        <v>2005</v>
      </c>
    </row>
    <row r="2172" spans="1:2" x14ac:dyDescent="0.25">
      <c r="A2172" s="138">
        <v>16</v>
      </c>
      <c r="B2172" s="138" t="s">
        <v>2005</v>
      </c>
    </row>
    <row r="2173" spans="1:2" x14ac:dyDescent="0.25">
      <c r="A2173" s="20">
        <v>16</v>
      </c>
      <c r="B2173" s="20" t="s">
        <v>2005</v>
      </c>
    </row>
    <row r="2174" spans="1:2" x14ac:dyDescent="0.25">
      <c r="A2174" s="20">
        <v>16</v>
      </c>
      <c r="B2174" s="20" t="s">
        <v>2005</v>
      </c>
    </row>
    <row r="2175" spans="1:2" x14ac:dyDescent="0.25">
      <c r="A2175" s="138">
        <v>16</v>
      </c>
      <c r="B2175" s="138" t="s">
        <v>2005</v>
      </c>
    </row>
    <row r="2176" spans="1:2" x14ac:dyDescent="0.25">
      <c r="A2176" s="20">
        <v>16</v>
      </c>
      <c r="B2176" s="20" t="s">
        <v>2005</v>
      </c>
    </row>
    <row r="2177" spans="1:2" x14ac:dyDescent="0.25">
      <c r="A2177" s="138">
        <v>16</v>
      </c>
      <c r="B2177" s="138" t="s">
        <v>2005</v>
      </c>
    </row>
    <row r="2178" spans="1:2" x14ac:dyDescent="0.25">
      <c r="A2178" s="20">
        <v>16</v>
      </c>
      <c r="B2178" s="20" t="s">
        <v>2005</v>
      </c>
    </row>
    <row r="2179" spans="1:2" x14ac:dyDescent="0.25">
      <c r="A2179" s="138">
        <v>16</v>
      </c>
      <c r="B2179" s="138" t="s">
        <v>2005</v>
      </c>
    </row>
    <row r="2180" spans="1:2" x14ac:dyDescent="0.25">
      <c r="A2180" s="20">
        <v>16</v>
      </c>
      <c r="B2180" s="20" t="s">
        <v>2005</v>
      </c>
    </row>
    <row r="2181" spans="1:2" x14ac:dyDescent="0.25">
      <c r="A2181" s="138">
        <v>16</v>
      </c>
      <c r="B2181" s="138" t="s">
        <v>1289</v>
      </c>
    </row>
    <row r="2182" spans="1:2" x14ac:dyDescent="0.25">
      <c r="A2182" s="20">
        <v>16</v>
      </c>
      <c r="B2182" s="20" t="s">
        <v>1289</v>
      </c>
    </row>
    <row r="2183" spans="1:2" x14ac:dyDescent="0.25">
      <c r="A2183" s="138">
        <v>16</v>
      </c>
      <c r="B2183" s="138" t="s">
        <v>262</v>
      </c>
    </row>
    <row r="2184" spans="1:2" x14ac:dyDescent="0.25">
      <c r="A2184" s="20">
        <v>16</v>
      </c>
      <c r="B2184" s="20" t="s">
        <v>2005</v>
      </c>
    </row>
    <row r="2185" spans="1:2" x14ac:dyDescent="0.25">
      <c r="A2185" s="138">
        <v>16</v>
      </c>
      <c r="B2185" s="138" t="s">
        <v>2005</v>
      </c>
    </row>
    <row r="2186" spans="1:2" x14ac:dyDescent="0.25">
      <c r="A2186" s="20">
        <v>11</v>
      </c>
      <c r="B2186" s="20" t="s">
        <v>638</v>
      </c>
    </row>
    <row r="2187" spans="1:2" x14ac:dyDescent="0.25">
      <c r="A2187" s="138">
        <v>11</v>
      </c>
      <c r="B2187" s="138" t="s">
        <v>638</v>
      </c>
    </row>
    <row r="2188" spans="1:2" x14ac:dyDescent="0.25">
      <c r="A2188" s="20">
        <v>11</v>
      </c>
      <c r="B2188" s="20" t="s">
        <v>638</v>
      </c>
    </row>
    <row r="2189" spans="1:2" x14ac:dyDescent="0.25">
      <c r="A2189" s="138">
        <v>11</v>
      </c>
      <c r="B2189" s="138" t="s">
        <v>638</v>
      </c>
    </row>
    <row r="2190" spans="1:2" x14ac:dyDescent="0.25">
      <c r="A2190" s="20">
        <v>11</v>
      </c>
      <c r="B2190" s="20" t="s">
        <v>638</v>
      </c>
    </row>
    <row r="2191" spans="1:2" x14ac:dyDescent="0.25">
      <c r="A2191" s="138">
        <v>11</v>
      </c>
      <c r="B2191" s="138" t="s">
        <v>638</v>
      </c>
    </row>
    <row r="2192" spans="1:2" x14ac:dyDescent="0.25">
      <c r="A2192" s="20">
        <v>11</v>
      </c>
      <c r="B2192" s="20" t="s">
        <v>638</v>
      </c>
    </row>
    <row r="2193" spans="1:2" x14ac:dyDescent="0.25">
      <c r="A2193" s="138">
        <v>11</v>
      </c>
      <c r="B2193" s="138" t="s">
        <v>638</v>
      </c>
    </row>
    <row r="2194" spans="1:2" x14ac:dyDescent="0.25">
      <c r="A2194" s="20" t="s">
        <v>3658</v>
      </c>
      <c r="B2194" s="20" t="s">
        <v>270</v>
      </c>
    </row>
    <row r="2195" spans="1:2" x14ac:dyDescent="0.25">
      <c r="A2195" s="138" t="s">
        <v>3658</v>
      </c>
      <c r="B2195" s="138" t="s">
        <v>270</v>
      </c>
    </row>
    <row r="2196" spans="1:2" x14ac:dyDescent="0.25">
      <c r="A2196" s="20" t="s">
        <v>3658</v>
      </c>
      <c r="B2196" s="20" t="s">
        <v>270</v>
      </c>
    </row>
    <row r="2197" spans="1:2" x14ac:dyDescent="0.25">
      <c r="A2197" s="20" t="s">
        <v>3710</v>
      </c>
      <c r="B2197" s="20" t="s">
        <v>280</v>
      </c>
    </row>
    <row r="2198" spans="1:2" x14ac:dyDescent="0.25">
      <c r="A2198" s="138">
        <v>151</v>
      </c>
      <c r="B2198" s="138" t="s">
        <v>1161</v>
      </c>
    </row>
    <row r="2199" spans="1:2" x14ac:dyDescent="0.25">
      <c r="A2199" s="20">
        <v>151</v>
      </c>
      <c r="B2199" s="20" t="s">
        <v>1161</v>
      </c>
    </row>
    <row r="2200" spans="1:2" x14ac:dyDescent="0.25">
      <c r="A2200" s="138">
        <v>151</v>
      </c>
      <c r="B2200" s="138" t="s">
        <v>1161</v>
      </c>
    </row>
    <row r="2201" spans="1:2" x14ac:dyDescent="0.25">
      <c r="A2201" s="20">
        <v>151</v>
      </c>
      <c r="B2201" s="20" t="s">
        <v>1161</v>
      </c>
    </row>
    <row r="2202" spans="1:2" x14ac:dyDescent="0.25">
      <c r="A2202" s="138">
        <v>151</v>
      </c>
      <c r="B2202" s="138" t="s">
        <v>1161</v>
      </c>
    </row>
    <row r="2203" spans="1:2" x14ac:dyDescent="0.25">
      <c r="A2203" s="20">
        <v>151</v>
      </c>
      <c r="B2203" s="20" t="s">
        <v>1161</v>
      </c>
    </row>
    <row r="2204" spans="1:2" x14ac:dyDescent="0.25">
      <c r="A2204" s="138">
        <v>151</v>
      </c>
      <c r="B2204" s="138" t="s">
        <v>1161</v>
      </c>
    </row>
    <row r="2205" spans="1:2" x14ac:dyDescent="0.25">
      <c r="A2205" s="20">
        <v>151</v>
      </c>
      <c r="B2205" s="20" t="s">
        <v>1161</v>
      </c>
    </row>
    <row r="2206" spans="1:2" x14ac:dyDescent="0.25">
      <c r="A2206" s="138">
        <v>151</v>
      </c>
      <c r="B2206" s="138" t="s">
        <v>1161</v>
      </c>
    </row>
    <row r="2207" spans="1:2" x14ac:dyDescent="0.25">
      <c r="A2207" s="20">
        <v>151</v>
      </c>
      <c r="B2207" s="20" t="s">
        <v>1161</v>
      </c>
    </row>
    <row r="2208" spans="1:2" x14ac:dyDescent="0.25">
      <c r="A2208" s="138">
        <v>151</v>
      </c>
      <c r="B2208" s="138" t="s">
        <v>1161</v>
      </c>
    </row>
    <row r="2209" spans="1:2" x14ac:dyDescent="0.25">
      <c r="A2209" s="20">
        <v>151</v>
      </c>
      <c r="B2209" s="20" t="s">
        <v>1161</v>
      </c>
    </row>
    <row r="2210" spans="1:2" x14ac:dyDescent="0.25">
      <c r="A2210" s="138">
        <v>151</v>
      </c>
      <c r="B2210" s="138" t="s">
        <v>1161</v>
      </c>
    </row>
    <row r="2211" spans="1:2" x14ac:dyDescent="0.25">
      <c r="A2211" s="20">
        <v>151</v>
      </c>
      <c r="B2211" s="20" t="s">
        <v>1161</v>
      </c>
    </row>
    <row r="2212" spans="1:2" x14ac:dyDescent="0.25">
      <c r="A2212" s="138">
        <v>151</v>
      </c>
      <c r="B2212" s="138" t="s">
        <v>1161</v>
      </c>
    </row>
    <row r="2213" spans="1:2" x14ac:dyDescent="0.25">
      <c r="A2213" s="20">
        <v>151</v>
      </c>
      <c r="B2213" s="20" t="s">
        <v>1161</v>
      </c>
    </row>
    <row r="2214" spans="1:2" x14ac:dyDescent="0.25">
      <c r="A2214" s="138">
        <v>151</v>
      </c>
      <c r="B2214" s="138" t="s">
        <v>1161</v>
      </c>
    </row>
    <row r="2215" spans="1:2" x14ac:dyDescent="0.25">
      <c r="A2215" s="20">
        <v>151</v>
      </c>
      <c r="B2215" s="20" t="s">
        <v>1161</v>
      </c>
    </row>
    <row r="2216" spans="1:2" x14ac:dyDescent="0.25">
      <c r="A2216" s="138">
        <v>151</v>
      </c>
      <c r="B2216" s="138" t="s">
        <v>1161</v>
      </c>
    </row>
    <row r="2217" spans="1:2" x14ac:dyDescent="0.25">
      <c r="A2217" s="20">
        <v>151</v>
      </c>
      <c r="B2217" s="20" t="s">
        <v>1161</v>
      </c>
    </row>
    <row r="2218" spans="1:2" x14ac:dyDescent="0.25">
      <c r="A2218" s="138">
        <v>151</v>
      </c>
      <c r="B2218" s="138" t="s">
        <v>1161</v>
      </c>
    </row>
    <row r="2219" spans="1:2" x14ac:dyDescent="0.25">
      <c r="A2219" s="20">
        <v>151</v>
      </c>
      <c r="B2219" s="20" t="s">
        <v>1161</v>
      </c>
    </row>
    <row r="2220" spans="1:2" x14ac:dyDescent="0.25">
      <c r="A2220" s="138">
        <v>151</v>
      </c>
      <c r="B2220" s="138" t="s">
        <v>1161</v>
      </c>
    </row>
    <row r="2221" spans="1:2" x14ac:dyDescent="0.25">
      <c r="A2221" s="20">
        <v>151</v>
      </c>
      <c r="B2221" s="20" t="s">
        <v>1161</v>
      </c>
    </row>
    <row r="2222" spans="1:2" x14ac:dyDescent="0.25">
      <c r="A2222" s="138">
        <v>151</v>
      </c>
      <c r="B2222" s="138" t="s">
        <v>1161</v>
      </c>
    </row>
    <row r="2223" spans="1:2" x14ac:dyDescent="0.25">
      <c r="A2223" s="20">
        <v>151</v>
      </c>
      <c r="B2223" s="20" t="s">
        <v>1161</v>
      </c>
    </row>
    <row r="2224" spans="1:2" x14ac:dyDescent="0.25">
      <c r="A2224" s="138">
        <v>151</v>
      </c>
      <c r="B2224" s="138" t="s">
        <v>1161</v>
      </c>
    </row>
    <row r="2225" spans="1:2" x14ac:dyDescent="0.25">
      <c r="A2225" s="20">
        <v>151</v>
      </c>
      <c r="B2225" s="20" t="s">
        <v>1161</v>
      </c>
    </row>
    <row r="2226" spans="1:2" x14ac:dyDescent="0.25">
      <c r="A2226" s="138">
        <v>151</v>
      </c>
      <c r="B2226" s="138" t="s">
        <v>1161</v>
      </c>
    </row>
    <row r="2227" spans="1:2" x14ac:dyDescent="0.25">
      <c r="A2227" s="20">
        <v>151</v>
      </c>
      <c r="B2227" s="20" t="s">
        <v>1161</v>
      </c>
    </row>
    <row r="2228" spans="1:2" x14ac:dyDescent="0.25">
      <c r="A2228" s="138">
        <v>151</v>
      </c>
      <c r="B2228" s="138" t="s">
        <v>1161</v>
      </c>
    </row>
    <row r="2229" spans="1:2" x14ac:dyDescent="0.25">
      <c r="A2229" s="20">
        <v>151</v>
      </c>
      <c r="B2229" s="20" t="s">
        <v>1161</v>
      </c>
    </row>
    <row r="2230" spans="1:2" x14ac:dyDescent="0.25">
      <c r="A2230" s="138">
        <v>151</v>
      </c>
      <c r="B2230" s="138" t="s">
        <v>1161</v>
      </c>
    </row>
    <row r="2231" spans="1:2" x14ac:dyDescent="0.25">
      <c r="A2231" s="20">
        <v>96</v>
      </c>
      <c r="B2231" s="20" t="s">
        <v>1403</v>
      </c>
    </row>
    <row r="2232" spans="1:2" x14ac:dyDescent="0.25">
      <c r="A2232" s="138">
        <v>96</v>
      </c>
      <c r="B2232" s="138" t="s">
        <v>1403</v>
      </c>
    </row>
    <row r="2233" spans="1:2" x14ac:dyDescent="0.25">
      <c r="A2233" s="20">
        <v>96</v>
      </c>
      <c r="B2233" s="20" t="s">
        <v>1403</v>
      </c>
    </row>
    <row r="2234" spans="1:2" x14ac:dyDescent="0.25">
      <c r="A2234" s="138">
        <v>96</v>
      </c>
      <c r="B2234" s="138" t="s">
        <v>1403</v>
      </c>
    </row>
    <row r="2235" spans="1:2" x14ac:dyDescent="0.25">
      <c r="A2235" s="20">
        <v>50</v>
      </c>
      <c r="B2235" s="20" t="s">
        <v>1478</v>
      </c>
    </row>
    <row r="2236" spans="1:2" x14ac:dyDescent="0.25">
      <c r="A2236" s="138">
        <v>50</v>
      </c>
      <c r="B2236" s="138" t="s">
        <v>1478</v>
      </c>
    </row>
    <row r="2237" spans="1:2" x14ac:dyDescent="0.25">
      <c r="A2237" s="20">
        <v>50</v>
      </c>
      <c r="B2237" s="20" t="s">
        <v>1478</v>
      </c>
    </row>
    <row r="2238" spans="1:2" x14ac:dyDescent="0.25">
      <c r="A2238" s="138">
        <v>50</v>
      </c>
      <c r="B2238" s="138" t="s">
        <v>1478</v>
      </c>
    </row>
    <row r="2239" spans="1:2" x14ac:dyDescent="0.25">
      <c r="A2239" s="20">
        <v>50</v>
      </c>
      <c r="B2239" s="20" t="s">
        <v>1478</v>
      </c>
    </row>
    <row r="2240" spans="1:2" x14ac:dyDescent="0.25">
      <c r="A2240" s="138">
        <v>50</v>
      </c>
      <c r="B2240" s="138" t="s">
        <v>1478</v>
      </c>
    </row>
    <row r="2241" spans="1:2" x14ac:dyDescent="0.25">
      <c r="A2241" s="20">
        <v>50</v>
      </c>
      <c r="B2241" s="20" t="s">
        <v>1478</v>
      </c>
    </row>
    <row r="2242" spans="1:2" x14ac:dyDescent="0.25">
      <c r="A2242" s="138">
        <v>50</v>
      </c>
      <c r="B2242" s="138" t="s">
        <v>1478</v>
      </c>
    </row>
    <row r="2243" spans="1:2" x14ac:dyDescent="0.25">
      <c r="A2243" s="20">
        <v>50</v>
      </c>
      <c r="B2243" s="20" t="s">
        <v>1478</v>
      </c>
    </row>
    <row r="2244" spans="1:2" x14ac:dyDescent="0.25">
      <c r="A2244" s="138">
        <v>50</v>
      </c>
      <c r="B2244" s="138" t="s">
        <v>1478</v>
      </c>
    </row>
    <row r="2245" spans="1:2" x14ac:dyDescent="0.25">
      <c r="A2245" s="20">
        <v>50</v>
      </c>
      <c r="B2245" s="20" t="s">
        <v>1478</v>
      </c>
    </row>
    <row r="2246" spans="1:2" x14ac:dyDescent="0.25">
      <c r="A2246" s="138">
        <v>50</v>
      </c>
      <c r="B2246" s="138" t="s">
        <v>1478</v>
      </c>
    </row>
    <row r="2247" spans="1:2" x14ac:dyDescent="0.25">
      <c r="A2247" s="20">
        <v>50</v>
      </c>
      <c r="B2247" s="20" t="s">
        <v>1478</v>
      </c>
    </row>
    <row r="2248" spans="1:2" x14ac:dyDescent="0.25">
      <c r="A2248" s="138">
        <v>50</v>
      </c>
      <c r="B2248" s="138" t="s">
        <v>1478</v>
      </c>
    </row>
    <row r="2249" spans="1:2" x14ac:dyDescent="0.25">
      <c r="A2249" s="20">
        <v>50</v>
      </c>
      <c r="B2249" s="20" t="s">
        <v>1478</v>
      </c>
    </row>
    <row r="2250" spans="1:2" x14ac:dyDescent="0.25">
      <c r="A2250" s="138">
        <v>50</v>
      </c>
      <c r="B2250" s="138" t="s">
        <v>1478</v>
      </c>
    </row>
    <row r="2251" spans="1:2" x14ac:dyDescent="0.25">
      <c r="A2251" s="20">
        <v>50</v>
      </c>
      <c r="B2251" s="20" t="s">
        <v>1478</v>
      </c>
    </row>
    <row r="2252" spans="1:2" x14ac:dyDescent="0.25">
      <c r="A2252" s="138">
        <v>50</v>
      </c>
      <c r="B2252" s="138" t="s">
        <v>1478</v>
      </c>
    </row>
    <row r="2253" spans="1:2" x14ac:dyDescent="0.25">
      <c r="A2253" s="20">
        <v>50</v>
      </c>
      <c r="B2253" s="20" t="s">
        <v>1478</v>
      </c>
    </row>
    <row r="2254" spans="1:2" x14ac:dyDescent="0.25">
      <c r="A2254" s="138">
        <v>50</v>
      </c>
      <c r="B2254" s="138" t="s">
        <v>1478</v>
      </c>
    </row>
    <row r="2255" spans="1:2" x14ac:dyDescent="0.25">
      <c r="A2255" s="138" t="s">
        <v>2517</v>
      </c>
      <c r="B2255" s="138" t="s">
        <v>1289</v>
      </c>
    </row>
    <row r="2256" spans="1:2" x14ac:dyDescent="0.25">
      <c r="A2256" s="20" t="s">
        <v>2517</v>
      </c>
      <c r="B2256" s="20" t="s">
        <v>1289</v>
      </c>
    </row>
    <row r="2257" spans="1:2" x14ac:dyDescent="0.25">
      <c r="A2257" s="138">
        <v>97</v>
      </c>
      <c r="B2257" s="138" t="s">
        <v>206</v>
      </c>
    </row>
    <row r="2258" spans="1:2" x14ac:dyDescent="0.25">
      <c r="A2258" s="20">
        <v>97</v>
      </c>
      <c r="B2258" s="20" t="s">
        <v>206</v>
      </c>
    </row>
    <row r="2259" spans="1:2" x14ac:dyDescent="0.25">
      <c r="A2259" s="138">
        <v>97</v>
      </c>
      <c r="B2259" s="138" t="s">
        <v>206</v>
      </c>
    </row>
    <row r="2260" spans="1:2" x14ac:dyDescent="0.25">
      <c r="A2260" s="20">
        <v>97</v>
      </c>
      <c r="B2260" s="20" t="s">
        <v>206</v>
      </c>
    </row>
    <row r="2261" spans="1:2" x14ac:dyDescent="0.25">
      <c r="A2261" s="138">
        <v>97</v>
      </c>
      <c r="B2261" s="138" t="s">
        <v>206</v>
      </c>
    </row>
    <row r="2262" spans="1:2" x14ac:dyDescent="0.25">
      <c r="A2262" s="20">
        <v>97</v>
      </c>
      <c r="B2262" s="20" t="s">
        <v>206</v>
      </c>
    </row>
    <row r="2263" spans="1:2" x14ac:dyDescent="0.25">
      <c r="A2263" s="20" t="s">
        <v>6218</v>
      </c>
      <c r="B2263" s="20" t="s">
        <v>6218</v>
      </c>
    </row>
    <row r="2264" spans="1:2" x14ac:dyDescent="0.25">
      <c r="A2264" s="138" t="s">
        <v>6218</v>
      </c>
      <c r="B2264" s="138" t="s">
        <v>6218</v>
      </c>
    </row>
    <row r="2265" spans="1:2" x14ac:dyDescent="0.25">
      <c r="A2265" s="138" t="s">
        <v>6221</v>
      </c>
      <c r="B2265" s="138" t="s">
        <v>337</v>
      </c>
    </row>
    <row r="2266" spans="1:2" x14ac:dyDescent="0.25">
      <c r="A2266" s="20" t="s">
        <v>6221</v>
      </c>
      <c r="B2266" s="20" t="s">
        <v>337</v>
      </c>
    </row>
    <row r="2267" spans="1:2" x14ac:dyDescent="0.25">
      <c r="A2267" s="138">
        <v>96</v>
      </c>
      <c r="B2267" s="138" t="s">
        <v>1275</v>
      </c>
    </row>
    <row r="2268" spans="1:2" x14ac:dyDescent="0.25">
      <c r="A2268" s="20">
        <v>96</v>
      </c>
      <c r="B2268" s="20" t="s">
        <v>1275</v>
      </c>
    </row>
    <row r="2269" spans="1:2" x14ac:dyDescent="0.25">
      <c r="A2269" s="138">
        <v>96</v>
      </c>
      <c r="B2269" s="138" t="s">
        <v>1275</v>
      </c>
    </row>
    <row r="2270" spans="1:2" x14ac:dyDescent="0.25">
      <c r="A2270" s="20">
        <v>96</v>
      </c>
      <c r="B2270" s="20" t="s">
        <v>1275</v>
      </c>
    </row>
    <row r="2271" spans="1:2" x14ac:dyDescent="0.25">
      <c r="A2271" s="138">
        <v>96</v>
      </c>
      <c r="B2271" s="138" t="s">
        <v>1275</v>
      </c>
    </row>
    <row r="2272" spans="1:2" x14ac:dyDescent="0.25">
      <c r="A2272" s="20">
        <v>96</v>
      </c>
      <c r="B2272" s="20" t="s">
        <v>1275</v>
      </c>
    </row>
    <row r="2273" spans="1:2" x14ac:dyDescent="0.25">
      <c r="A2273" s="138">
        <v>96</v>
      </c>
      <c r="B2273" s="138" t="s">
        <v>1275</v>
      </c>
    </row>
    <row r="2274" spans="1:2" x14ac:dyDescent="0.25">
      <c r="A2274" s="20">
        <v>96</v>
      </c>
      <c r="B2274" s="20" t="s">
        <v>1275</v>
      </c>
    </row>
    <row r="2275" spans="1:2" x14ac:dyDescent="0.25">
      <c r="A2275" s="138">
        <v>96</v>
      </c>
      <c r="B2275" s="138" t="s">
        <v>1275</v>
      </c>
    </row>
    <row r="2276" spans="1:2" x14ac:dyDescent="0.25">
      <c r="A2276" s="20">
        <v>96</v>
      </c>
      <c r="B2276" s="20" t="s">
        <v>1275</v>
      </c>
    </row>
    <row r="2277" spans="1:2" x14ac:dyDescent="0.25">
      <c r="A2277" s="138">
        <v>96</v>
      </c>
      <c r="B2277" s="138" t="s">
        <v>1275</v>
      </c>
    </row>
    <row r="2278" spans="1:2" x14ac:dyDescent="0.25">
      <c r="A2278" s="20">
        <v>96</v>
      </c>
      <c r="B2278" s="20" t="s">
        <v>1275</v>
      </c>
    </row>
    <row r="2279" spans="1:2" x14ac:dyDescent="0.25">
      <c r="A2279" s="138">
        <v>96</v>
      </c>
      <c r="B2279" s="138" t="s">
        <v>1275</v>
      </c>
    </row>
    <row r="2280" spans="1:2" x14ac:dyDescent="0.25">
      <c r="A2280" s="20">
        <v>96</v>
      </c>
      <c r="B2280" s="20" t="s">
        <v>1275</v>
      </c>
    </row>
    <row r="2281" spans="1:2" x14ac:dyDescent="0.25">
      <c r="A2281" s="138">
        <v>96</v>
      </c>
      <c r="B2281" s="138" t="s">
        <v>1275</v>
      </c>
    </row>
    <row r="2282" spans="1:2" x14ac:dyDescent="0.25">
      <c r="A2282" s="20">
        <v>96</v>
      </c>
      <c r="B2282" s="20" t="s">
        <v>1275</v>
      </c>
    </row>
    <row r="2283" spans="1:2" x14ac:dyDescent="0.25">
      <c r="A2283" s="138">
        <v>96</v>
      </c>
      <c r="B2283" s="138" t="s">
        <v>1275</v>
      </c>
    </row>
    <row r="2284" spans="1:2" x14ac:dyDescent="0.25">
      <c r="A2284" s="20">
        <v>96</v>
      </c>
      <c r="B2284" s="20" t="s">
        <v>1275</v>
      </c>
    </row>
    <row r="2285" spans="1:2" x14ac:dyDescent="0.25">
      <c r="A2285" s="138">
        <v>96</v>
      </c>
      <c r="B2285" s="138" t="s">
        <v>1275</v>
      </c>
    </row>
    <row r="2286" spans="1:2" x14ac:dyDescent="0.25">
      <c r="A2286" s="20">
        <v>96</v>
      </c>
      <c r="B2286" s="20" t="s">
        <v>1275</v>
      </c>
    </row>
    <row r="2287" spans="1:2" x14ac:dyDescent="0.25">
      <c r="A2287" s="138">
        <v>96</v>
      </c>
      <c r="B2287" s="138" t="s">
        <v>1275</v>
      </c>
    </row>
    <row r="2288" spans="1:2" x14ac:dyDescent="0.25">
      <c r="A2288" s="20">
        <v>96</v>
      </c>
      <c r="B2288" s="20" t="s">
        <v>1275</v>
      </c>
    </row>
    <row r="2289" spans="1:2" x14ac:dyDescent="0.25">
      <c r="A2289" s="138">
        <v>96</v>
      </c>
      <c r="B2289" s="138" t="s">
        <v>1275</v>
      </c>
    </row>
    <row r="2290" spans="1:2" x14ac:dyDescent="0.25">
      <c r="A2290" s="20">
        <v>96</v>
      </c>
      <c r="B2290" s="20" t="s">
        <v>1275</v>
      </c>
    </row>
    <row r="2291" spans="1:2" x14ac:dyDescent="0.25">
      <c r="A2291" s="138">
        <v>96</v>
      </c>
      <c r="B2291" s="138" t="s">
        <v>1275</v>
      </c>
    </row>
    <row r="2292" spans="1:2" x14ac:dyDescent="0.25">
      <c r="A2292" s="20">
        <v>96</v>
      </c>
      <c r="B2292" s="20" t="s">
        <v>1275</v>
      </c>
    </row>
    <row r="2293" spans="1:2" x14ac:dyDescent="0.25">
      <c r="A2293" s="138">
        <v>96</v>
      </c>
      <c r="B2293" s="138" t="s">
        <v>1275</v>
      </c>
    </row>
    <row r="2294" spans="1:2" x14ac:dyDescent="0.25">
      <c r="A2294" s="20">
        <v>96</v>
      </c>
      <c r="B2294" s="20" t="s">
        <v>1275</v>
      </c>
    </row>
    <row r="2295" spans="1:2" x14ac:dyDescent="0.25">
      <c r="A2295" s="138">
        <v>96</v>
      </c>
      <c r="B2295" s="138" t="s">
        <v>1275</v>
      </c>
    </row>
    <row r="2296" spans="1:2" x14ac:dyDescent="0.25">
      <c r="A2296" s="20">
        <v>96</v>
      </c>
      <c r="B2296" s="20" t="s">
        <v>1275</v>
      </c>
    </row>
    <row r="2297" spans="1:2" x14ac:dyDescent="0.25">
      <c r="A2297" s="20">
        <v>18</v>
      </c>
      <c r="B2297" s="20" t="s">
        <v>1289</v>
      </c>
    </row>
    <row r="2298" spans="1:2" x14ac:dyDescent="0.25">
      <c r="A2298" s="138">
        <v>16</v>
      </c>
      <c r="B2298" s="138" t="s">
        <v>2005</v>
      </c>
    </row>
    <row r="2299" spans="1:2" x14ac:dyDescent="0.25">
      <c r="A2299" s="20">
        <v>16</v>
      </c>
      <c r="B2299" s="20" t="s">
        <v>2005</v>
      </c>
    </row>
    <row r="2300" spans="1:2" x14ac:dyDescent="0.25">
      <c r="A2300" s="138" t="s">
        <v>3658</v>
      </c>
      <c r="B2300" s="138" t="s">
        <v>270</v>
      </c>
    </row>
    <row r="2301" spans="1:2" x14ac:dyDescent="0.25">
      <c r="A2301" s="20" t="s">
        <v>3658</v>
      </c>
      <c r="B2301" s="20" t="s">
        <v>270</v>
      </c>
    </row>
    <row r="2302" spans="1:2" x14ac:dyDescent="0.25">
      <c r="A2302" s="138" t="s">
        <v>3658</v>
      </c>
      <c r="B2302" s="138" t="s">
        <v>270</v>
      </c>
    </row>
    <row r="2303" spans="1:2" x14ac:dyDescent="0.25">
      <c r="A2303" s="20" t="s">
        <v>3658</v>
      </c>
      <c r="B2303" s="20" t="s">
        <v>270</v>
      </c>
    </row>
    <row r="2304" spans="1:2" x14ac:dyDescent="0.25">
      <c r="A2304" s="20" t="s">
        <v>6194</v>
      </c>
      <c r="B2304" s="20" t="s">
        <v>450</v>
      </c>
    </row>
    <row r="2305" spans="1:2" x14ac:dyDescent="0.25">
      <c r="A2305" s="138">
        <v>16</v>
      </c>
      <c r="B2305" s="138" t="s">
        <v>170</v>
      </c>
    </row>
    <row r="2306" spans="1:2" x14ac:dyDescent="0.25">
      <c r="A2306" s="20">
        <v>16</v>
      </c>
      <c r="B2306" s="20" t="s">
        <v>170</v>
      </c>
    </row>
    <row r="2307" spans="1:2" x14ac:dyDescent="0.25">
      <c r="A2307" s="20">
        <v>151</v>
      </c>
      <c r="B2307" s="20" t="s">
        <v>1161</v>
      </c>
    </row>
    <row r="2308" spans="1:2" x14ac:dyDescent="0.25">
      <c r="A2308" s="138">
        <v>151</v>
      </c>
      <c r="B2308" s="138" t="s">
        <v>1161</v>
      </c>
    </row>
    <row r="2309" spans="1:2" x14ac:dyDescent="0.25">
      <c r="A2309" s="20">
        <v>151</v>
      </c>
      <c r="B2309" s="20" t="s">
        <v>1161</v>
      </c>
    </row>
    <row r="2310" spans="1:2" x14ac:dyDescent="0.25">
      <c r="A2310" s="138">
        <v>151</v>
      </c>
      <c r="B2310" s="138" t="s">
        <v>1161</v>
      </c>
    </row>
    <row r="2311" spans="1:2" x14ac:dyDescent="0.25">
      <c r="A2311" s="20">
        <v>151</v>
      </c>
      <c r="B2311" s="20" t="s">
        <v>1161</v>
      </c>
    </row>
    <row r="2312" spans="1:2" x14ac:dyDescent="0.25">
      <c r="A2312" s="20">
        <v>151</v>
      </c>
      <c r="B2312" s="20" t="s">
        <v>1161</v>
      </c>
    </row>
    <row r="2313" spans="1:2" x14ac:dyDescent="0.25">
      <c r="A2313" s="138">
        <v>151</v>
      </c>
      <c r="B2313" s="138" t="s">
        <v>1161</v>
      </c>
    </row>
    <row r="2314" spans="1:2" x14ac:dyDescent="0.25">
      <c r="A2314" s="20" t="s">
        <v>6183</v>
      </c>
      <c r="B2314" s="20" t="s">
        <v>1161</v>
      </c>
    </row>
    <row r="2315" spans="1:2" x14ac:dyDescent="0.25">
      <c r="A2315" s="20">
        <v>96</v>
      </c>
      <c r="B2315" s="20" t="s">
        <v>1403</v>
      </c>
    </row>
    <row r="2316" spans="1:2" x14ac:dyDescent="0.25">
      <c r="A2316" s="20">
        <v>96</v>
      </c>
      <c r="B2316" s="20" t="s">
        <v>1403</v>
      </c>
    </row>
    <row r="2317" spans="1:2" x14ac:dyDescent="0.25">
      <c r="A2317" s="138">
        <v>96</v>
      </c>
      <c r="B2317" s="138" t="s">
        <v>1403</v>
      </c>
    </row>
    <row r="2318" spans="1:2" x14ac:dyDescent="0.25">
      <c r="A2318" s="20">
        <v>96</v>
      </c>
      <c r="B2318" s="20" t="s">
        <v>1403</v>
      </c>
    </row>
    <row r="2319" spans="1:2" x14ac:dyDescent="0.25">
      <c r="A2319" s="138">
        <v>96</v>
      </c>
      <c r="B2319" s="138" t="s">
        <v>1403</v>
      </c>
    </row>
    <row r="2320" spans="1:2" x14ac:dyDescent="0.25">
      <c r="A2320" s="20">
        <v>96</v>
      </c>
      <c r="B2320" s="20" t="s">
        <v>1403</v>
      </c>
    </row>
    <row r="2321" spans="1:2" x14ac:dyDescent="0.25">
      <c r="A2321" s="138">
        <v>96</v>
      </c>
      <c r="B2321" s="138" t="s">
        <v>1403</v>
      </c>
    </row>
    <row r="2322" spans="1:2" x14ac:dyDescent="0.25">
      <c r="A2322" s="20" t="s">
        <v>2517</v>
      </c>
      <c r="B2322" s="20" t="s">
        <v>1289</v>
      </c>
    </row>
    <row r="2323" spans="1:2" x14ac:dyDescent="0.25">
      <c r="A2323" s="20" t="s">
        <v>6218</v>
      </c>
      <c r="B2323" s="20" t="s">
        <v>6218</v>
      </c>
    </row>
    <row r="2324" spans="1:2" x14ac:dyDescent="0.25">
      <c r="A2324" s="20">
        <v>23</v>
      </c>
      <c r="B2324" s="20">
        <v>275</v>
      </c>
    </row>
    <row r="2325" spans="1:2" x14ac:dyDescent="0.25">
      <c r="A2325" s="138">
        <v>23</v>
      </c>
      <c r="B2325" s="138">
        <v>275</v>
      </c>
    </row>
    <row r="2326" spans="1:2" x14ac:dyDescent="0.25">
      <c r="A2326" s="20">
        <v>23</v>
      </c>
      <c r="B2326" s="20">
        <v>275</v>
      </c>
    </row>
    <row r="2327" spans="1:2" x14ac:dyDescent="0.25">
      <c r="A2327" s="20">
        <v>115</v>
      </c>
      <c r="B2327" s="20" t="s">
        <v>2003</v>
      </c>
    </row>
    <row r="2328" spans="1:2" x14ac:dyDescent="0.25">
      <c r="A2328" s="138">
        <v>115</v>
      </c>
      <c r="B2328" s="138" t="s">
        <v>2003</v>
      </c>
    </row>
    <row r="2329" spans="1:2" x14ac:dyDescent="0.25">
      <c r="A2329" s="20">
        <v>115</v>
      </c>
      <c r="B2329" s="20" t="s">
        <v>2003</v>
      </c>
    </row>
    <row r="2330" spans="1:2" x14ac:dyDescent="0.25">
      <c r="A2330" s="138">
        <v>115</v>
      </c>
      <c r="B2330" s="138" t="s">
        <v>2003</v>
      </c>
    </row>
    <row r="2331" spans="1:2" x14ac:dyDescent="0.25">
      <c r="A2331" s="20">
        <v>115</v>
      </c>
      <c r="B2331" s="20" t="s">
        <v>2003</v>
      </c>
    </row>
    <row r="2332" spans="1:2" x14ac:dyDescent="0.25">
      <c r="A2332" s="138">
        <v>109</v>
      </c>
      <c r="B2332" s="138" t="s">
        <v>1346</v>
      </c>
    </row>
    <row r="2333" spans="1:2" x14ac:dyDescent="0.25">
      <c r="A2333" s="20">
        <v>109</v>
      </c>
      <c r="B2333" s="20" t="s">
        <v>1346</v>
      </c>
    </row>
    <row r="2334" spans="1:2" x14ac:dyDescent="0.25">
      <c r="A2334" s="138">
        <v>109</v>
      </c>
      <c r="B2334" s="138" t="s">
        <v>1346</v>
      </c>
    </row>
    <row r="2335" spans="1:2" x14ac:dyDescent="0.25">
      <c r="A2335" s="20">
        <v>109</v>
      </c>
      <c r="B2335" s="20" t="s">
        <v>1346</v>
      </c>
    </row>
    <row r="2336" spans="1:2" x14ac:dyDescent="0.25">
      <c r="A2336" s="138">
        <v>109</v>
      </c>
      <c r="B2336" s="138" t="s">
        <v>1346</v>
      </c>
    </row>
    <row r="2337" spans="1:2" x14ac:dyDescent="0.25">
      <c r="A2337" s="20">
        <v>109</v>
      </c>
      <c r="B2337" s="20" t="s">
        <v>1346</v>
      </c>
    </row>
    <row r="2338" spans="1:2" x14ac:dyDescent="0.25">
      <c r="A2338" s="138">
        <v>109</v>
      </c>
      <c r="B2338" s="138" t="s">
        <v>1346</v>
      </c>
    </row>
    <row r="2339" spans="1:2" x14ac:dyDescent="0.25">
      <c r="A2339" s="20">
        <v>109</v>
      </c>
      <c r="B2339" s="20" t="s">
        <v>1346</v>
      </c>
    </row>
    <row r="2340" spans="1:2" x14ac:dyDescent="0.25">
      <c r="A2340" s="138">
        <v>109</v>
      </c>
      <c r="B2340" s="138" t="s">
        <v>1346</v>
      </c>
    </row>
    <row r="2341" spans="1:2" x14ac:dyDescent="0.25">
      <c r="A2341" s="20">
        <v>109</v>
      </c>
      <c r="B2341" s="20" t="s">
        <v>1346</v>
      </c>
    </row>
    <row r="2342" spans="1:2" x14ac:dyDescent="0.25">
      <c r="A2342" s="138">
        <v>109</v>
      </c>
      <c r="B2342" s="138" t="s">
        <v>1346</v>
      </c>
    </row>
    <row r="2343" spans="1:2" x14ac:dyDescent="0.25">
      <c r="A2343" s="20">
        <v>109</v>
      </c>
      <c r="B2343" s="20" t="s">
        <v>1346</v>
      </c>
    </row>
    <row r="2344" spans="1:2" x14ac:dyDescent="0.25">
      <c r="A2344" s="138">
        <v>109</v>
      </c>
      <c r="B2344" s="138" t="s">
        <v>1346</v>
      </c>
    </row>
    <row r="2345" spans="1:2" x14ac:dyDescent="0.25">
      <c r="A2345" s="20">
        <v>109</v>
      </c>
      <c r="B2345" s="20" t="s">
        <v>1346</v>
      </c>
    </row>
    <row r="2346" spans="1:2" x14ac:dyDescent="0.25">
      <c r="A2346" s="138">
        <v>109</v>
      </c>
      <c r="B2346" s="138" t="s">
        <v>1346</v>
      </c>
    </row>
    <row r="2347" spans="1:2" x14ac:dyDescent="0.25">
      <c r="A2347" s="138">
        <v>32</v>
      </c>
      <c r="B2347" s="138" t="s">
        <v>693</v>
      </c>
    </row>
    <row r="2348" spans="1:2" x14ac:dyDescent="0.25">
      <c r="A2348" s="20">
        <v>32</v>
      </c>
      <c r="B2348" s="20" t="s">
        <v>693</v>
      </c>
    </row>
    <row r="2349" spans="1:2" x14ac:dyDescent="0.25">
      <c r="A2349" s="138">
        <v>32</v>
      </c>
      <c r="B2349" s="138" t="s">
        <v>693</v>
      </c>
    </row>
    <row r="2350" spans="1:2" x14ac:dyDescent="0.25">
      <c r="A2350" s="20">
        <v>32</v>
      </c>
      <c r="B2350" s="20" t="s">
        <v>693</v>
      </c>
    </row>
    <row r="2351" spans="1:2" x14ac:dyDescent="0.25">
      <c r="A2351" s="138">
        <v>18</v>
      </c>
      <c r="B2351" s="138" t="s">
        <v>1289</v>
      </c>
    </row>
    <row r="2352" spans="1:2" x14ac:dyDescent="0.25">
      <c r="A2352" s="20">
        <v>18</v>
      </c>
      <c r="B2352" s="20" t="s">
        <v>1289</v>
      </c>
    </row>
    <row r="2353" spans="1:2" x14ac:dyDescent="0.25">
      <c r="A2353" s="20" t="s">
        <v>2517</v>
      </c>
      <c r="B2353" s="20" t="s">
        <v>1289</v>
      </c>
    </row>
    <row r="2354" spans="1:2" x14ac:dyDescent="0.25">
      <c r="A2354" s="138" t="s">
        <v>2517</v>
      </c>
      <c r="B2354" s="138" t="s">
        <v>1289</v>
      </c>
    </row>
    <row r="2355" spans="1:2" x14ac:dyDescent="0.25">
      <c r="A2355" s="20" t="s">
        <v>2517</v>
      </c>
      <c r="B2355" s="20" t="s">
        <v>1289</v>
      </c>
    </row>
    <row r="2356" spans="1:2" x14ac:dyDescent="0.25">
      <c r="A2356" s="138" t="s">
        <v>6183</v>
      </c>
      <c r="B2356" s="138" t="s">
        <v>1161</v>
      </c>
    </row>
    <row r="2357" spans="1:2" x14ac:dyDescent="0.25">
      <c r="A2357" s="20" t="s">
        <v>6183</v>
      </c>
      <c r="B2357" s="20" t="s">
        <v>1161</v>
      </c>
    </row>
    <row r="2358" spans="1:2" x14ac:dyDescent="0.25">
      <c r="A2358" s="138" t="s">
        <v>3717</v>
      </c>
      <c r="B2358" s="138" t="s">
        <v>1244</v>
      </c>
    </row>
    <row r="2359" spans="1:2" x14ac:dyDescent="0.25">
      <c r="A2359" s="138">
        <v>11</v>
      </c>
      <c r="B2359" s="138" t="s">
        <v>638</v>
      </c>
    </row>
    <row r="2360" spans="1:2" x14ac:dyDescent="0.25">
      <c r="A2360" s="20">
        <v>11</v>
      </c>
      <c r="B2360" s="20" t="s">
        <v>638</v>
      </c>
    </row>
    <row r="2361" spans="1:2" x14ac:dyDescent="0.25">
      <c r="A2361" s="138" t="s">
        <v>3658</v>
      </c>
      <c r="B2361" s="138" t="s">
        <v>270</v>
      </c>
    </row>
    <row r="2362" spans="1:2" x14ac:dyDescent="0.25">
      <c r="A2362" s="20" t="s">
        <v>3658</v>
      </c>
      <c r="B2362" s="20" t="s">
        <v>270</v>
      </c>
    </row>
    <row r="2363" spans="1:2" x14ac:dyDescent="0.25">
      <c r="A2363" s="138" t="s">
        <v>3710</v>
      </c>
      <c r="B2363" s="138" t="s">
        <v>280</v>
      </c>
    </row>
    <row r="2364" spans="1:2" x14ac:dyDescent="0.25">
      <c r="A2364" s="20" t="s">
        <v>3710</v>
      </c>
      <c r="B2364" s="20" t="s">
        <v>280</v>
      </c>
    </row>
    <row r="2365" spans="1:2" x14ac:dyDescent="0.25">
      <c r="A2365" s="138" t="s">
        <v>3710</v>
      </c>
      <c r="B2365" s="138" t="s">
        <v>280</v>
      </c>
    </row>
    <row r="2366" spans="1:2" x14ac:dyDescent="0.25">
      <c r="A2366" s="20">
        <v>206</v>
      </c>
      <c r="B2366" s="20" t="s">
        <v>1075</v>
      </c>
    </row>
    <row r="2367" spans="1:2" x14ac:dyDescent="0.25">
      <c r="A2367" s="138">
        <v>206</v>
      </c>
      <c r="B2367" s="138" t="s">
        <v>1075</v>
      </c>
    </row>
    <row r="2368" spans="1:2" x14ac:dyDescent="0.25">
      <c r="A2368" s="20">
        <v>206</v>
      </c>
      <c r="B2368" s="20" t="s">
        <v>1075</v>
      </c>
    </row>
    <row r="2369" spans="1:2" x14ac:dyDescent="0.25">
      <c r="A2369" s="138" t="s">
        <v>6194</v>
      </c>
      <c r="B2369" s="138" t="s">
        <v>450</v>
      </c>
    </row>
    <row r="2370" spans="1:2" x14ac:dyDescent="0.25">
      <c r="A2370" s="20" t="s">
        <v>6194</v>
      </c>
      <c r="B2370" s="20" t="s">
        <v>450</v>
      </c>
    </row>
    <row r="2371" spans="1:2" x14ac:dyDescent="0.25">
      <c r="A2371" s="138" t="s">
        <v>6194</v>
      </c>
      <c r="B2371" s="138" t="s">
        <v>450</v>
      </c>
    </row>
    <row r="2372" spans="1:2" x14ac:dyDescent="0.25">
      <c r="A2372" s="20" t="s">
        <v>6194</v>
      </c>
      <c r="B2372" s="20" t="s">
        <v>450</v>
      </c>
    </row>
    <row r="2373" spans="1:2" x14ac:dyDescent="0.25">
      <c r="A2373" s="138" t="s">
        <v>6194</v>
      </c>
      <c r="B2373" s="138" t="s">
        <v>450</v>
      </c>
    </row>
    <row r="2374" spans="1:2" x14ac:dyDescent="0.25">
      <c r="A2374" s="20" t="s">
        <v>6194</v>
      </c>
      <c r="B2374" s="20" t="s">
        <v>450</v>
      </c>
    </row>
    <row r="2375" spans="1:2" x14ac:dyDescent="0.25">
      <c r="A2375" s="138" t="s">
        <v>6194</v>
      </c>
      <c r="B2375" s="138" t="s">
        <v>450</v>
      </c>
    </row>
    <row r="2376" spans="1:2" x14ac:dyDescent="0.25">
      <c r="A2376" s="20">
        <v>151</v>
      </c>
      <c r="B2376" s="20" t="s">
        <v>1161</v>
      </c>
    </row>
    <row r="2377" spans="1:2" x14ac:dyDescent="0.25">
      <c r="A2377" s="138">
        <v>151</v>
      </c>
      <c r="B2377" s="138" t="s">
        <v>1161</v>
      </c>
    </row>
    <row r="2378" spans="1:2" x14ac:dyDescent="0.25">
      <c r="A2378" s="138">
        <v>151</v>
      </c>
      <c r="B2378" s="138" t="s">
        <v>1161</v>
      </c>
    </row>
    <row r="2379" spans="1:2" x14ac:dyDescent="0.25">
      <c r="A2379" s="20">
        <v>151</v>
      </c>
      <c r="B2379" s="20" t="s">
        <v>1161</v>
      </c>
    </row>
    <row r="2380" spans="1:2" x14ac:dyDescent="0.25">
      <c r="A2380" s="138">
        <v>96</v>
      </c>
      <c r="B2380" s="138" t="s">
        <v>1403</v>
      </c>
    </row>
    <row r="2381" spans="1:2" x14ac:dyDescent="0.25">
      <c r="A2381" s="20">
        <v>96</v>
      </c>
      <c r="B2381" s="20" t="s">
        <v>1403</v>
      </c>
    </row>
    <row r="2382" spans="1:2" x14ac:dyDescent="0.25">
      <c r="A2382" s="138">
        <v>96</v>
      </c>
      <c r="B2382" s="138" t="s">
        <v>1403</v>
      </c>
    </row>
    <row r="2383" spans="1:2" x14ac:dyDescent="0.25">
      <c r="A2383" s="20">
        <v>96</v>
      </c>
      <c r="B2383" s="20" t="s">
        <v>1403</v>
      </c>
    </row>
    <row r="2384" spans="1:2" x14ac:dyDescent="0.25">
      <c r="A2384" s="138">
        <v>96</v>
      </c>
      <c r="B2384" s="138" t="s">
        <v>1403</v>
      </c>
    </row>
    <row r="2385" spans="1:2" x14ac:dyDescent="0.25">
      <c r="A2385" s="20">
        <v>96</v>
      </c>
      <c r="B2385" s="20" t="s">
        <v>1403</v>
      </c>
    </row>
    <row r="2386" spans="1:2" x14ac:dyDescent="0.25">
      <c r="A2386" s="138">
        <v>96</v>
      </c>
      <c r="B2386" s="138" t="s">
        <v>1403</v>
      </c>
    </row>
    <row r="2387" spans="1:2" x14ac:dyDescent="0.25">
      <c r="A2387" s="20">
        <v>96</v>
      </c>
      <c r="B2387" s="20" t="s">
        <v>1403</v>
      </c>
    </row>
    <row r="2388" spans="1:2" x14ac:dyDescent="0.25">
      <c r="A2388" s="138">
        <v>96</v>
      </c>
      <c r="B2388" s="138" t="s">
        <v>1403</v>
      </c>
    </row>
    <row r="2389" spans="1:2" x14ac:dyDescent="0.25">
      <c r="A2389" s="20">
        <v>96</v>
      </c>
      <c r="B2389" s="20" t="s">
        <v>1403</v>
      </c>
    </row>
    <row r="2390" spans="1:2" x14ac:dyDescent="0.25">
      <c r="A2390" s="138">
        <v>96</v>
      </c>
      <c r="B2390" s="138" t="s">
        <v>1403</v>
      </c>
    </row>
    <row r="2391" spans="1:2" x14ac:dyDescent="0.25">
      <c r="A2391" s="20">
        <v>96</v>
      </c>
      <c r="B2391" s="20" t="s">
        <v>1403</v>
      </c>
    </row>
    <row r="2392" spans="1:2" x14ac:dyDescent="0.25">
      <c r="A2392" s="138">
        <v>96</v>
      </c>
      <c r="B2392" s="138" t="s">
        <v>1403</v>
      </c>
    </row>
    <row r="2393" spans="1:2" x14ac:dyDescent="0.25">
      <c r="A2393" s="20">
        <v>96</v>
      </c>
      <c r="B2393" s="20" t="s">
        <v>1403</v>
      </c>
    </row>
    <row r="2394" spans="1:2" x14ac:dyDescent="0.25">
      <c r="A2394" s="138">
        <v>50</v>
      </c>
      <c r="B2394" s="138" t="s">
        <v>1478</v>
      </c>
    </row>
    <row r="2395" spans="1:2" x14ac:dyDescent="0.25">
      <c r="A2395" s="20">
        <v>50</v>
      </c>
      <c r="B2395" s="20" t="s">
        <v>1478</v>
      </c>
    </row>
    <row r="2396" spans="1:2" x14ac:dyDescent="0.25">
      <c r="A2396" s="138">
        <v>50</v>
      </c>
      <c r="B2396" s="138" t="s">
        <v>1478</v>
      </c>
    </row>
    <row r="2397" spans="1:2" x14ac:dyDescent="0.25">
      <c r="A2397" s="20">
        <v>50</v>
      </c>
      <c r="B2397" s="20" t="s">
        <v>1478</v>
      </c>
    </row>
    <row r="2398" spans="1:2" x14ac:dyDescent="0.25">
      <c r="A2398" s="138">
        <v>50</v>
      </c>
      <c r="B2398" s="138" t="s">
        <v>1478</v>
      </c>
    </row>
    <row r="2399" spans="1:2" x14ac:dyDescent="0.25">
      <c r="A2399" s="20">
        <v>50</v>
      </c>
      <c r="B2399" s="20" t="s">
        <v>1478</v>
      </c>
    </row>
    <row r="2400" spans="1:2" x14ac:dyDescent="0.25">
      <c r="A2400" s="138">
        <v>50</v>
      </c>
      <c r="B2400" s="138" t="s">
        <v>1478</v>
      </c>
    </row>
    <row r="2401" spans="1:2" x14ac:dyDescent="0.25">
      <c r="A2401" s="20">
        <v>50</v>
      </c>
      <c r="B2401" s="20" t="s">
        <v>1478</v>
      </c>
    </row>
    <row r="2402" spans="1:2" x14ac:dyDescent="0.25">
      <c r="A2402" s="20" t="s">
        <v>6221</v>
      </c>
      <c r="B2402" s="20" t="s">
        <v>337</v>
      </c>
    </row>
    <row r="2403" spans="1:2" x14ac:dyDescent="0.25">
      <c r="A2403" s="138" t="s">
        <v>6221</v>
      </c>
      <c r="B2403" s="138" t="s">
        <v>337</v>
      </c>
    </row>
    <row r="2404" spans="1:2" x14ac:dyDescent="0.25">
      <c r="A2404" s="20" t="s">
        <v>6221</v>
      </c>
      <c r="B2404" s="20" t="s">
        <v>337</v>
      </c>
    </row>
    <row r="2405" spans="1:2" x14ac:dyDescent="0.25">
      <c r="A2405" s="138">
        <v>252</v>
      </c>
      <c r="B2405" s="138" t="s">
        <v>615</v>
      </c>
    </row>
    <row r="2406" spans="1:2" x14ac:dyDescent="0.25">
      <c r="A2406" s="20">
        <v>252</v>
      </c>
      <c r="B2406" s="20" t="s">
        <v>615</v>
      </c>
    </row>
    <row r="2407" spans="1:2" x14ac:dyDescent="0.25">
      <c r="A2407" s="138" t="s">
        <v>6319</v>
      </c>
      <c r="B2407" s="138" t="s">
        <v>1764</v>
      </c>
    </row>
    <row r="2408" spans="1:2" x14ac:dyDescent="0.25">
      <c r="A2408" s="20" t="s">
        <v>6235</v>
      </c>
      <c r="B2408" s="20" t="s">
        <v>1548</v>
      </c>
    </row>
    <row r="2409" spans="1:2" x14ac:dyDescent="0.25">
      <c r="A2409" s="138" t="s">
        <v>6235</v>
      </c>
      <c r="B2409" s="138" t="s">
        <v>1548</v>
      </c>
    </row>
    <row r="2410" spans="1:2" x14ac:dyDescent="0.25">
      <c r="A2410" s="20" t="s">
        <v>6235</v>
      </c>
      <c r="B2410" s="20" t="s">
        <v>1548</v>
      </c>
    </row>
    <row r="2411" spans="1:2" x14ac:dyDescent="0.25">
      <c r="A2411" s="138" t="s">
        <v>6235</v>
      </c>
      <c r="B2411" s="138" t="s">
        <v>1548</v>
      </c>
    </row>
    <row r="2412" spans="1:2" x14ac:dyDescent="0.25">
      <c r="A2412" s="20" t="s">
        <v>6235</v>
      </c>
      <c r="B2412" s="20" t="s">
        <v>1548</v>
      </c>
    </row>
    <row r="2413" spans="1:2" x14ac:dyDescent="0.25">
      <c r="A2413" s="138" t="s">
        <v>6235</v>
      </c>
      <c r="B2413" s="138" t="s">
        <v>1548</v>
      </c>
    </row>
    <row r="2414" spans="1:2" x14ac:dyDescent="0.25">
      <c r="A2414" s="20" t="s">
        <v>6235</v>
      </c>
      <c r="B2414" s="20" t="s">
        <v>1548</v>
      </c>
    </row>
    <row r="2415" spans="1:2" x14ac:dyDescent="0.25">
      <c r="A2415" s="138" t="s">
        <v>6235</v>
      </c>
      <c r="B2415" s="138" t="s">
        <v>1548</v>
      </c>
    </row>
    <row r="2416" spans="1:2" x14ac:dyDescent="0.25">
      <c r="A2416" s="20" t="s">
        <v>6235</v>
      </c>
      <c r="B2416" s="20" t="s">
        <v>1548</v>
      </c>
    </row>
    <row r="2417" spans="1:2" x14ac:dyDescent="0.25">
      <c r="A2417" s="138" t="s">
        <v>6235</v>
      </c>
      <c r="B2417" s="138" t="s">
        <v>1548</v>
      </c>
    </row>
    <row r="2418" spans="1:2" x14ac:dyDescent="0.25">
      <c r="A2418" s="20" t="s">
        <v>6235</v>
      </c>
      <c r="B2418" s="20" t="s">
        <v>1548</v>
      </c>
    </row>
    <row r="2419" spans="1:2" x14ac:dyDescent="0.25">
      <c r="A2419" s="138" t="s">
        <v>6235</v>
      </c>
      <c r="B2419" s="138" t="s">
        <v>1548</v>
      </c>
    </row>
    <row r="2420" spans="1:2" x14ac:dyDescent="0.25">
      <c r="A2420" s="138" t="s">
        <v>6235</v>
      </c>
      <c r="B2420" s="138" t="s">
        <v>1548</v>
      </c>
    </row>
    <row r="2421" spans="1:2" x14ac:dyDescent="0.25">
      <c r="A2421" s="20" t="s">
        <v>6235</v>
      </c>
      <c r="B2421" s="20" t="s">
        <v>1548</v>
      </c>
    </row>
    <row r="2422" spans="1:2" x14ac:dyDescent="0.25">
      <c r="A2422" s="138" t="s">
        <v>6235</v>
      </c>
      <c r="B2422" s="138" t="s">
        <v>1548</v>
      </c>
    </row>
    <row r="2423" spans="1:2" x14ac:dyDescent="0.25">
      <c r="A2423" s="20" t="s">
        <v>6235</v>
      </c>
      <c r="B2423" s="20" t="s">
        <v>1548</v>
      </c>
    </row>
    <row r="2424" spans="1:2" x14ac:dyDescent="0.25">
      <c r="A2424" s="138" t="s">
        <v>6235</v>
      </c>
      <c r="B2424" s="138" t="s">
        <v>1548</v>
      </c>
    </row>
    <row r="2425" spans="1:2" x14ac:dyDescent="0.25">
      <c r="A2425" s="20" t="s">
        <v>6235</v>
      </c>
      <c r="B2425" s="20" t="s">
        <v>1548</v>
      </c>
    </row>
    <row r="2426" spans="1:2" x14ac:dyDescent="0.25">
      <c r="A2426" s="138" t="s">
        <v>6235</v>
      </c>
      <c r="B2426" s="138" t="s">
        <v>1548</v>
      </c>
    </row>
    <row r="2427" spans="1:2" x14ac:dyDescent="0.25">
      <c r="A2427" s="20" t="s">
        <v>6235</v>
      </c>
      <c r="B2427" s="20" t="s">
        <v>1548</v>
      </c>
    </row>
    <row r="2428" spans="1:2" x14ac:dyDescent="0.25">
      <c r="A2428" s="138" t="s">
        <v>6235</v>
      </c>
      <c r="B2428" s="138" t="s">
        <v>1548</v>
      </c>
    </row>
    <row r="2429" spans="1:2" x14ac:dyDescent="0.25">
      <c r="A2429" s="20" t="s">
        <v>6235</v>
      </c>
      <c r="B2429" s="20" t="s">
        <v>1548</v>
      </c>
    </row>
    <row r="2430" spans="1:2" x14ac:dyDescent="0.25">
      <c r="A2430" s="138" t="s">
        <v>6235</v>
      </c>
      <c r="B2430" s="138" t="s">
        <v>1548</v>
      </c>
    </row>
    <row r="2431" spans="1:2" x14ac:dyDescent="0.25">
      <c r="A2431" s="20" t="s">
        <v>6235</v>
      </c>
      <c r="B2431" s="20" t="s">
        <v>1548</v>
      </c>
    </row>
    <row r="2432" spans="1:2" x14ac:dyDescent="0.25">
      <c r="A2432" s="138" t="s">
        <v>6235</v>
      </c>
      <c r="B2432" s="138" t="s">
        <v>1548</v>
      </c>
    </row>
    <row r="2433" spans="1:2" x14ac:dyDescent="0.25">
      <c r="A2433" s="20" t="s">
        <v>6235</v>
      </c>
      <c r="B2433" s="20" t="s">
        <v>1548</v>
      </c>
    </row>
    <row r="2434" spans="1:2" x14ac:dyDescent="0.25">
      <c r="A2434" s="138" t="s">
        <v>6235</v>
      </c>
      <c r="B2434" s="138" t="s">
        <v>1548</v>
      </c>
    </row>
    <row r="2435" spans="1:2" x14ac:dyDescent="0.25">
      <c r="A2435" s="20" t="s">
        <v>6235</v>
      </c>
      <c r="B2435" s="20" t="s">
        <v>1548</v>
      </c>
    </row>
    <row r="2436" spans="1:2" x14ac:dyDescent="0.25">
      <c r="A2436" s="138" t="s">
        <v>6235</v>
      </c>
      <c r="B2436" s="138" t="s">
        <v>1548</v>
      </c>
    </row>
    <row r="2437" spans="1:2" x14ac:dyDescent="0.25">
      <c r="A2437" s="20" t="s">
        <v>6235</v>
      </c>
      <c r="B2437" s="20" t="s">
        <v>1548</v>
      </c>
    </row>
    <row r="2438" spans="1:2" x14ac:dyDescent="0.25">
      <c r="A2438" s="138" t="s">
        <v>6235</v>
      </c>
      <c r="B2438" s="138" t="s">
        <v>1548</v>
      </c>
    </row>
    <row r="2439" spans="1:2" x14ac:dyDescent="0.25">
      <c r="A2439" s="20" t="s">
        <v>6235</v>
      </c>
      <c r="B2439" s="20" t="s">
        <v>1548</v>
      </c>
    </row>
    <row r="2440" spans="1:2" x14ac:dyDescent="0.25">
      <c r="A2440" s="138" t="s">
        <v>6235</v>
      </c>
      <c r="B2440" s="138" t="s">
        <v>1548</v>
      </c>
    </row>
    <row r="2441" spans="1:2" x14ac:dyDescent="0.25">
      <c r="A2441" s="20" t="s">
        <v>6235</v>
      </c>
      <c r="B2441" s="20" t="s">
        <v>1548</v>
      </c>
    </row>
    <row r="2442" spans="1:2" x14ac:dyDescent="0.25">
      <c r="A2442" s="138" t="s">
        <v>6235</v>
      </c>
      <c r="B2442" s="138" t="s">
        <v>1548</v>
      </c>
    </row>
    <row r="2443" spans="1:2" x14ac:dyDescent="0.25">
      <c r="A2443" s="20" t="s">
        <v>6235</v>
      </c>
      <c r="B2443" s="20" t="s">
        <v>1548</v>
      </c>
    </row>
    <row r="2444" spans="1:2" x14ac:dyDescent="0.25">
      <c r="A2444" s="138" t="s">
        <v>6235</v>
      </c>
      <c r="B2444" s="138" t="s">
        <v>1548</v>
      </c>
    </row>
    <row r="2445" spans="1:2" x14ac:dyDescent="0.25">
      <c r="A2445" s="20" t="s">
        <v>6235</v>
      </c>
      <c r="B2445" s="20" t="s">
        <v>1548</v>
      </c>
    </row>
    <row r="2446" spans="1:2" x14ac:dyDescent="0.25">
      <c r="A2446" s="138" t="s">
        <v>6235</v>
      </c>
      <c r="B2446" s="138" t="s">
        <v>1548</v>
      </c>
    </row>
    <row r="2447" spans="1:2" x14ac:dyDescent="0.25">
      <c r="A2447" s="138" t="s">
        <v>6235</v>
      </c>
      <c r="B2447" s="138" t="s">
        <v>1548</v>
      </c>
    </row>
    <row r="2448" spans="1:2" x14ac:dyDescent="0.25">
      <c r="A2448" s="20" t="s">
        <v>6235</v>
      </c>
      <c r="B2448" s="20" t="s">
        <v>1548</v>
      </c>
    </row>
    <row r="2449" spans="1:2" x14ac:dyDescent="0.25">
      <c r="A2449" s="138" t="s">
        <v>6235</v>
      </c>
      <c r="B2449" s="138" t="s">
        <v>1548</v>
      </c>
    </row>
    <row r="2450" spans="1:2" x14ac:dyDescent="0.25">
      <c r="A2450" s="20" t="s">
        <v>6235</v>
      </c>
      <c r="B2450" s="20" t="s">
        <v>1548</v>
      </c>
    </row>
    <row r="2451" spans="1:2" x14ac:dyDescent="0.25">
      <c r="A2451" s="138" t="s">
        <v>6235</v>
      </c>
      <c r="B2451" s="138" t="s">
        <v>1548</v>
      </c>
    </row>
    <row r="2452" spans="1:2" x14ac:dyDescent="0.25">
      <c r="A2452" s="20" t="s">
        <v>6235</v>
      </c>
      <c r="B2452" s="20" t="s">
        <v>1548</v>
      </c>
    </row>
    <row r="2453" spans="1:2" x14ac:dyDescent="0.25">
      <c r="A2453" s="138" t="s">
        <v>6235</v>
      </c>
      <c r="B2453" s="138" t="s">
        <v>1548</v>
      </c>
    </row>
    <row r="2454" spans="1:2" x14ac:dyDescent="0.25">
      <c r="A2454" s="20" t="s">
        <v>6235</v>
      </c>
      <c r="B2454" s="20" t="s">
        <v>1548</v>
      </c>
    </row>
    <row r="2455" spans="1:2" x14ac:dyDescent="0.25">
      <c r="A2455" s="138" t="s">
        <v>6235</v>
      </c>
      <c r="B2455" s="138" t="s">
        <v>1548</v>
      </c>
    </row>
    <row r="2456" spans="1:2" x14ac:dyDescent="0.25">
      <c r="A2456" s="20" t="s">
        <v>6235</v>
      </c>
      <c r="B2456" s="20" t="s">
        <v>1548</v>
      </c>
    </row>
    <row r="2457" spans="1:2" x14ac:dyDescent="0.25">
      <c r="A2457" s="138" t="s">
        <v>6235</v>
      </c>
      <c r="B2457" s="138" t="s">
        <v>1548</v>
      </c>
    </row>
    <row r="2458" spans="1:2" x14ac:dyDescent="0.25">
      <c r="A2458" s="20" t="s">
        <v>6235</v>
      </c>
      <c r="B2458" s="20" t="s">
        <v>1548</v>
      </c>
    </row>
    <row r="2459" spans="1:2" x14ac:dyDescent="0.25">
      <c r="A2459" s="138" t="s">
        <v>6235</v>
      </c>
      <c r="B2459" s="138" t="s">
        <v>1548</v>
      </c>
    </row>
    <row r="2460" spans="1:2" x14ac:dyDescent="0.25">
      <c r="A2460" s="20" t="s">
        <v>6235</v>
      </c>
      <c r="B2460" s="20" t="s">
        <v>1548</v>
      </c>
    </row>
    <row r="2461" spans="1:2" x14ac:dyDescent="0.25">
      <c r="A2461" s="138" t="s">
        <v>6235</v>
      </c>
      <c r="B2461" s="138" t="s">
        <v>1548</v>
      </c>
    </row>
    <row r="2462" spans="1:2" x14ac:dyDescent="0.25">
      <c r="A2462" s="20" t="s">
        <v>6235</v>
      </c>
      <c r="B2462" s="20" t="s">
        <v>1548</v>
      </c>
    </row>
    <row r="2463" spans="1:2" x14ac:dyDescent="0.25">
      <c r="A2463" s="138" t="s">
        <v>6235</v>
      </c>
      <c r="B2463" s="138" t="s">
        <v>1548</v>
      </c>
    </row>
    <row r="2464" spans="1:2" x14ac:dyDescent="0.25">
      <c r="A2464" s="20" t="s">
        <v>6235</v>
      </c>
      <c r="B2464" s="20" t="s">
        <v>1548</v>
      </c>
    </row>
    <row r="2465" spans="1:2" x14ac:dyDescent="0.25">
      <c r="A2465" s="138" t="s">
        <v>6235</v>
      </c>
      <c r="B2465" s="138" t="s">
        <v>1548</v>
      </c>
    </row>
    <row r="2466" spans="1:2" x14ac:dyDescent="0.25">
      <c r="A2466" s="138" t="s">
        <v>6235</v>
      </c>
      <c r="B2466" s="138" t="s">
        <v>1548</v>
      </c>
    </row>
    <row r="2467" spans="1:2" x14ac:dyDescent="0.25">
      <c r="A2467" s="20" t="s">
        <v>6235</v>
      </c>
      <c r="B2467" s="20" t="s">
        <v>1548</v>
      </c>
    </row>
    <row r="2468" spans="1:2" x14ac:dyDescent="0.25">
      <c r="A2468" s="138" t="s">
        <v>6235</v>
      </c>
      <c r="B2468" s="138" t="s">
        <v>1548</v>
      </c>
    </row>
    <row r="2469" spans="1:2" x14ac:dyDescent="0.25">
      <c r="A2469" s="20" t="s">
        <v>6235</v>
      </c>
      <c r="B2469" s="20" t="s">
        <v>1548</v>
      </c>
    </row>
    <row r="2470" spans="1:2" x14ac:dyDescent="0.25">
      <c r="A2470" s="138" t="s">
        <v>6235</v>
      </c>
      <c r="B2470" s="138" t="s">
        <v>1548</v>
      </c>
    </row>
    <row r="2471" spans="1:2" x14ac:dyDescent="0.25">
      <c r="A2471" s="20" t="s">
        <v>6235</v>
      </c>
      <c r="B2471" s="20" t="s">
        <v>1548</v>
      </c>
    </row>
    <row r="2472" spans="1:2" x14ac:dyDescent="0.25">
      <c r="A2472" s="138" t="s">
        <v>6235</v>
      </c>
      <c r="B2472" s="138" t="s">
        <v>1548</v>
      </c>
    </row>
    <row r="2473" spans="1:2" x14ac:dyDescent="0.25">
      <c r="A2473" s="20" t="s">
        <v>6235</v>
      </c>
      <c r="B2473" s="20" t="s">
        <v>1548</v>
      </c>
    </row>
    <row r="2474" spans="1:2" x14ac:dyDescent="0.25">
      <c r="A2474" s="138" t="s">
        <v>6235</v>
      </c>
      <c r="B2474" s="138" t="s">
        <v>1548</v>
      </c>
    </row>
    <row r="2475" spans="1:2" x14ac:dyDescent="0.25">
      <c r="A2475" s="20" t="s">
        <v>6235</v>
      </c>
      <c r="B2475" s="20" t="s">
        <v>1548</v>
      </c>
    </row>
    <row r="2476" spans="1:2" x14ac:dyDescent="0.25">
      <c r="A2476" s="138" t="s">
        <v>6235</v>
      </c>
      <c r="B2476" s="138" t="s">
        <v>1548</v>
      </c>
    </row>
    <row r="2477" spans="1:2" x14ac:dyDescent="0.25">
      <c r="A2477" s="20" t="s">
        <v>6235</v>
      </c>
      <c r="B2477" s="20" t="s">
        <v>1548</v>
      </c>
    </row>
    <row r="2478" spans="1:2" x14ac:dyDescent="0.25">
      <c r="A2478" s="138">
        <v>115</v>
      </c>
      <c r="B2478" s="138" t="s">
        <v>2003</v>
      </c>
    </row>
    <row r="2479" spans="1:2" x14ac:dyDescent="0.25">
      <c r="A2479" s="20">
        <v>115</v>
      </c>
      <c r="B2479" s="20" t="s">
        <v>2003</v>
      </c>
    </row>
    <row r="2480" spans="1:2" x14ac:dyDescent="0.25">
      <c r="A2480" s="138">
        <v>115</v>
      </c>
      <c r="B2480" s="138" t="s">
        <v>2003</v>
      </c>
    </row>
    <row r="2481" spans="1:2" x14ac:dyDescent="0.25">
      <c r="A2481" s="20">
        <v>115</v>
      </c>
      <c r="B2481" s="20" t="s">
        <v>2003</v>
      </c>
    </row>
    <row r="2482" spans="1:2" x14ac:dyDescent="0.25">
      <c r="A2482" s="138">
        <v>115</v>
      </c>
      <c r="B2482" s="138" t="s">
        <v>2003</v>
      </c>
    </row>
    <row r="2483" spans="1:2" x14ac:dyDescent="0.25">
      <c r="A2483" s="20">
        <v>115</v>
      </c>
      <c r="B2483" s="20" t="s">
        <v>2003</v>
      </c>
    </row>
    <row r="2484" spans="1:2" x14ac:dyDescent="0.25">
      <c r="A2484" s="138">
        <v>115</v>
      </c>
      <c r="B2484" s="138" t="s">
        <v>2003</v>
      </c>
    </row>
    <row r="2485" spans="1:2" x14ac:dyDescent="0.25">
      <c r="A2485" s="20">
        <v>115</v>
      </c>
      <c r="B2485" s="20" t="s">
        <v>2003</v>
      </c>
    </row>
    <row r="2486" spans="1:2" x14ac:dyDescent="0.25">
      <c r="A2486" s="138">
        <v>115</v>
      </c>
      <c r="B2486" s="138" t="s">
        <v>2003</v>
      </c>
    </row>
    <row r="2487" spans="1:2" x14ac:dyDescent="0.25">
      <c r="A2487" s="20">
        <v>115</v>
      </c>
      <c r="B2487" s="20" t="s">
        <v>2003</v>
      </c>
    </row>
    <row r="2488" spans="1:2" x14ac:dyDescent="0.25">
      <c r="A2488" s="138">
        <v>115</v>
      </c>
      <c r="B2488" s="138" t="s">
        <v>2003</v>
      </c>
    </row>
    <row r="2489" spans="1:2" x14ac:dyDescent="0.25">
      <c r="A2489" s="20">
        <v>115</v>
      </c>
      <c r="B2489" s="20" t="s">
        <v>2003</v>
      </c>
    </row>
    <row r="2490" spans="1:2" x14ac:dyDescent="0.25">
      <c r="A2490" s="138">
        <v>115</v>
      </c>
      <c r="B2490" s="138" t="s">
        <v>2003</v>
      </c>
    </row>
    <row r="2491" spans="1:2" x14ac:dyDescent="0.25">
      <c r="A2491" s="20">
        <v>115</v>
      </c>
      <c r="B2491" s="20" t="s">
        <v>2003</v>
      </c>
    </row>
    <row r="2492" spans="1:2" x14ac:dyDescent="0.25">
      <c r="A2492" s="138">
        <v>115</v>
      </c>
      <c r="B2492" s="138" t="s">
        <v>2003</v>
      </c>
    </row>
    <row r="2493" spans="1:2" x14ac:dyDescent="0.25">
      <c r="A2493" s="20">
        <v>115</v>
      </c>
      <c r="B2493" s="20" t="s">
        <v>2003</v>
      </c>
    </row>
    <row r="2494" spans="1:2" x14ac:dyDescent="0.25">
      <c r="A2494" s="138">
        <v>115</v>
      </c>
      <c r="B2494" s="138" t="s">
        <v>2003</v>
      </c>
    </row>
    <row r="2495" spans="1:2" x14ac:dyDescent="0.25">
      <c r="A2495" s="20">
        <v>115</v>
      </c>
      <c r="B2495" s="20" t="s">
        <v>2003</v>
      </c>
    </row>
    <row r="2496" spans="1:2" x14ac:dyDescent="0.25">
      <c r="A2496" s="138">
        <v>115</v>
      </c>
      <c r="B2496" s="138" t="s">
        <v>2003</v>
      </c>
    </row>
    <row r="2497" spans="1:2" x14ac:dyDescent="0.25">
      <c r="A2497" s="20">
        <v>115</v>
      </c>
      <c r="B2497" s="20" t="s">
        <v>2003</v>
      </c>
    </row>
    <row r="2498" spans="1:2" x14ac:dyDescent="0.25">
      <c r="A2498" s="138">
        <v>115</v>
      </c>
      <c r="B2498" s="138" t="s">
        <v>2003</v>
      </c>
    </row>
    <row r="2499" spans="1:2" x14ac:dyDescent="0.25">
      <c r="A2499" s="20">
        <v>115</v>
      </c>
      <c r="B2499" s="20" t="s">
        <v>2003</v>
      </c>
    </row>
    <row r="2500" spans="1:2" x14ac:dyDescent="0.25">
      <c r="A2500" s="138">
        <v>115</v>
      </c>
      <c r="B2500" s="138" t="s">
        <v>2003</v>
      </c>
    </row>
    <row r="2501" spans="1:2" x14ac:dyDescent="0.25">
      <c r="A2501" s="20">
        <v>115</v>
      </c>
      <c r="B2501" s="20" t="s">
        <v>2003</v>
      </c>
    </row>
    <row r="2502" spans="1:2" x14ac:dyDescent="0.25">
      <c r="A2502" s="138">
        <v>115</v>
      </c>
      <c r="B2502" s="138" t="s">
        <v>2003</v>
      </c>
    </row>
    <row r="2503" spans="1:2" x14ac:dyDescent="0.25">
      <c r="A2503" s="20">
        <v>115</v>
      </c>
      <c r="B2503" s="20" t="s">
        <v>2003</v>
      </c>
    </row>
    <row r="2504" spans="1:2" x14ac:dyDescent="0.25">
      <c r="A2504" s="138">
        <v>115</v>
      </c>
      <c r="B2504" s="138" t="s">
        <v>2003</v>
      </c>
    </row>
    <row r="2505" spans="1:2" x14ac:dyDescent="0.25">
      <c r="A2505" s="20">
        <v>199</v>
      </c>
      <c r="B2505" s="20" t="s">
        <v>1275</v>
      </c>
    </row>
    <row r="2506" spans="1:2" x14ac:dyDescent="0.25">
      <c r="A2506" s="138">
        <v>199</v>
      </c>
      <c r="B2506" s="138" t="s">
        <v>1275</v>
      </c>
    </row>
    <row r="2507" spans="1:2" x14ac:dyDescent="0.25">
      <c r="A2507" s="20">
        <v>199</v>
      </c>
      <c r="B2507" s="20" t="s">
        <v>1275</v>
      </c>
    </row>
    <row r="2508" spans="1:2" x14ac:dyDescent="0.25">
      <c r="A2508" s="20">
        <v>96</v>
      </c>
      <c r="B2508" s="20" t="s">
        <v>1275</v>
      </c>
    </row>
    <row r="2509" spans="1:2" x14ac:dyDescent="0.25">
      <c r="A2509" s="138">
        <v>96</v>
      </c>
      <c r="B2509" s="138" t="s">
        <v>1275</v>
      </c>
    </row>
    <row r="2510" spans="1:2" x14ac:dyDescent="0.25">
      <c r="A2510" s="20">
        <v>96</v>
      </c>
      <c r="B2510" s="20" t="s">
        <v>1275</v>
      </c>
    </row>
    <row r="2511" spans="1:2" x14ac:dyDescent="0.25">
      <c r="A2511" s="138">
        <v>96</v>
      </c>
      <c r="B2511" s="138" t="s">
        <v>1275</v>
      </c>
    </row>
    <row r="2512" spans="1:2" x14ac:dyDescent="0.25">
      <c r="A2512" s="20">
        <v>96</v>
      </c>
      <c r="B2512" s="20" t="s">
        <v>1275</v>
      </c>
    </row>
    <row r="2513" spans="1:2" x14ac:dyDescent="0.25">
      <c r="A2513" s="138">
        <v>96</v>
      </c>
      <c r="B2513" s="138" t="s">
        <v>1275</v>
      </c>
    </row>
    <row r="2514" spans="1:2" x14ac:dyDescent="0.25">
      <c r="A2514" s="20">
        <v>96</v>
      </c>
      <c r="B2514" s="20" t="s">
        <v>1275</v>
      </c>
    </row>
    <row r="2515" spans="1:2" x14ac:dyDescent="0.25">
      <c r="A2515" s="138">
        <v>96</v>
      </c>
      <c r="B2515" s="138" t="s">
        <v>1275</v>
      </c>
    </row>
    <row r="2516" spans="1:2" x14ac:dyDescent="0.25">
      <c r="A2516" s="20">
        <v>96</v>
      </c>
      <c r="B2516" s="20" t="s">
        <v>1275</v>
      </c>
    </row>
    <row r="2517" spans="1:2" x14ac:dyDescent="0.25">
      <c r="A2517" s="138">
        <v>96</v>
      </c>
      <c r="B2517" s="138" t="s">
        <v>1275</v>
      </c>
    </row>
    <row r="2518" spans="1:2" x14ac:dyDescent="0.25">
      <c r="A2518" s="20">
        <v>96</v>
      </c>
      <c r="B2518" s="20" t="s">
        <v>1275</v>
      </c>
    </row>
    <row r="2519" spans="1:2" x14ac:dyDescent="0.25">
      <c r="A2519" s="138">
        <v>96</v>
      </c>
      <c r="B2519" s="138" t="s">
        <v>1275</v>
      </c>
    </row>
    <row r="2520" spans="1:2" x14ac:dyDescent="0.25">
      <c r="A2520" s="20">
        <v>96</v>
      </c>
      <c r="B2520" s="20" t="s">
        <v>1275</v>
      </c>
    </row>
    <row r="2521" spans="1:2" x14ac:dyDescent="0.25">
      <c r="A2521" s="138">
        <v>96</v>
      </c>
      <c r="B2521" s="138" t="s">
        <v>1275</v>
      </c>
    </row>
    <row r="2522" spans="1:2" x14ac:dyDescent="0.25">
      <c r="A2522" s="20">
        <v>96</v>
      </c>
      <c r="B2522" s="20" t="s">
        <v>1275</v>
      </c>
    </row>
    <row r="2523" spans="1:2" x14ac:dyDescent="0.25">
      <c r="A2523" s="138">
        <v>96</v>
      </c>
      <c r="B2523" s="138" t="s">
        <v>1275</v>
      </c>
    </row>
    <row r="2524" spans="1:2" x14ac:dyDescent="0.25">
      <c r="A2524" s="20">
        <v>96</v>
      </c>
      <c r="B2524" s="20" t="s">
        <v>1275</v>
      </c>
    </row>
    <row r="2525" spans="1:2" x14ac:dyDescent="0.25">
      <c r="A2525" s="138">
        <v>96</v>
      </c>
      <c r="B2525" s="138" t="s">
        <v>1275</v>
      </c>
    </row>
    <row r="2526" spans="1:2" x14ac:dyDescent="0.25">
      <c r="A2526" s="20">
        <v>96</v>
      </c>
      <c r="B2526" s="20" t="s">
        <v>1275</v>
      </c>
    </row>
    <row r="2527" spans="1:2" x14ac:dyDescent="0.25">
      <c r="A2527" s="138">
        <v>96</v>
      </c>
      <c r="B2527" s="138" t="s">
        <v>1275</v>
      </c>
    </row>
    <row r="2528" spans="1:2" x14ac:dyDescent="0.25">
      <c r="A2528" s="20">
        <v>96</v>
      </c>
      <c r="B2528" s="20" t="s">
        <v>1275</v>
      </c>
    </row>
    <row r="2529" spans="1:2" x14ac:dyDescent="0.25">
      <c r="A2529" s="138">
        <v>96</v>
      </c>
      <c r="B2529" s="138" t="s">
        <v>1275</v>
      </c>
    </row>
    <row r="2530" spans="1:2" x14ac:dyDescent="0.25">
      <c r="A2530" s="20">
        <v>96</v>
      </c>
      <c r="B2530" s="20" t="s">
        <v>1275</v>
      </c>
    </row>
    <row r="2531" spans="1:2" x14ac:dyDescent="0.25">
      <c r="A2531" s="138">
        <v>96</v>
      </c>
      <c r="B2531" s="138" t="s">
        <v>1275</v>
      </c>
    </row>
    <row r="2532" spans="1:2" x14ac:dyDescent="0.25">
      <c r="A2532" s="20">
        <v>96</v>
      </c>
      <c r="B2532" s="20" t="s">
        <v>1275</v>
      </c>
    </row>
    <row r="2533" spans="1:2" x14ac:dyDescent="0.25">
      <c r="A2533" s="138">
        <v>96</v>
      </c>
      <c r="B2533" s="138" t="s">
        <v>1275</v>
      </c>
    </row>
    <row r="2534" spans="1:2" x14ac:dyDescent="0.25">
      <c r="A2534" s="20">
        <v>96</v>
      </c>
      <c r="B2534" s="20" t="s">
        <v>1275</v>
      </c>
    </row>
    <row r="2535" spans="1:2" x14ac:dyDescent="0.25">
      <c r="A2535" s="138">
        <v>96</v>
      </c>
      <c r="B2535" s="138" t="s">
        <v>1275</v>
      </c>
    </row>
    <row r="2536" spans="1:2" x14ac:dyDescent="0.25">
      <c r="A2536" s="20">
        <v>96</v>
      </c>
      <c r="B2536" s="20" t="s">
        <v>1275</v>
      </c>
    </row>
    <row r="2537" spans="1:2" x14ac:dyDescent="0.25">
      <c r="A2537" s="138">
        <v>96</v>
      </c>
      <c r="B2537" s="138" t="s">
        <v>1275</v>
      </c>
    </row>
    <row r="2538" spans="1:2" x14ac:dyDescent="0.25">
      <c r="A2538" s="20">
        <v>96</v>
      </c>
      <c r="B2538" s="20" t="s">
        <v>1275</v>
      </c>
    </row>
    <row r="2539" spans="1:2" x14ac:dyDescent="0.25">
      <c r="A2539" s="138">
        <v>96</v>
      </c>
      <c r="B2539" s="138" t="s">
        <v>1275</v>
      </c>
    </row>
    <row r="2540" spans="1:2" x14ac:dyDescent="0.25">
      <c r="A2540" s="20">
        <v>96</v>
      </c>
      <c r="B2540" s="20" t="s">
        <v>1275</v>
      </c>
    </row>
    <row r="2541" spans="1:2" x14ac:dyDescent="0.25">
      <c r="A2541" s="138">
        <v>96</v>
      </c>
      <c r="B2541" s="138" t="s">
        <v>1275</v>
      </c>
    </row>
    <row r="2542" spans="1:2" x14ac:dyDescent="0.25">
      <c r="A2542" s="20">
        <v>96</v>
      </c>
      <c r="B2542" s="20" t="s">
        <v>1275</v>
      </c>
    </row>
    <row r="2543" spans="1:2" x14ac:dyDescent="0.25">
      <c r="A2543" s="138">
        <v>96</v>
      </c>
      <c r="B2543" s="138" t="s">
        <v>1275</v>
      </c>
    </row>
    <row r="2544" spans="1:2" x14ac:dyDescent="0.25">
      <c r="A2544" s="20">
        <v>96</v>
      </c>
      <c r="B2544" s="20" t="s">
        <v>1275</v>
      </c>
    </row>
    <row r="2545" spans="1:2" x14ac:dyDescent="0.25">
      <c r="A2545" s="138">
        <v>96</v>
      </c>
      <c r="B2545" s="138" t="s">
        <v>1275</v>
      </c>
    </row>
    <row r="2546" spans="1:2" x14ac:dyDescent="0.25">
      <c r="A2546" s="20">
        <v>96</v>
      </c>
      <c r="B2546" s="20" t="s">
        <v>1275</v>
      </c>
    </row>
    <row r="2547" spans="1:2" x14ac:dyDescent="0.25">
      <c r="A2547" s="138">
        <v>96</v>
      </c>
      <c r="B2547" s="138" t="s">
        <v>1275</v>
      </c>
    </row>
    <row r="2548" spans="1:2" x14ac:dyDescent="0.25">
      <c r="A2548" s="20">
        <v>96</v>
      </c>
      <c r="B2548" s="20" t="s">
        <v>1275</v>
      </c>
    </row>
    <row r="2549" spans="1:2" x14ac:dyDescent="0.25">
      <c r="A2549" s="138">
        <v>96</v>
      </c>
      <c r="B2549" s="138" t="s">
        <v>1275</v>
      </c>
    </row>
    <row r="2550" spans="1:2" x14ac:dyDescent="0.25">
      <c r="A2550" s="20">
        <v>96</v>
      </c>
      <c r="B2550" s="20" t="s">
        <v>1275</v>
      </c>
    </row>
    <row r="2551" spans="1:2" x14ac:dyDescent="0.25">
      <c r="A2551" s="138">
        <v>96</v>
      </c>
      <c r="B2551" s="138" t="s">
        <v>1275</v>
      </c>
    </row>
    <row r="2552" spans="1:2" x14ac:dyDescent="0.25">
      <c r="A2552" s="20">
        <v>96</v>
      </c>
      <c r="B2552" s="20" t="s">
        <v>1275</v>
      </c>
    </row>
    <row r="2553" spans="1:2" x14ac:dyDescent="0.25">
      <c r="A2553" s="138">
        <v>96</v>
      </c>
      <c r="B2553" s="138" t="s">
        <v>1275</v>
      </c>
    </row>
    <row r="2554" spans="1:2" x14ac:dyDescent="0.25">
      <c r="A2554" s="20">
        <v>96</v>
      </c>
      <c r="B2554" s="20" t="s">
        <v>1275</v>
      </c>
    </row>
    <row r="2555" spans="1:2" x14ac:dyDescent="0.25">
      <c r="A2555" s="138">
        <v>96</v>
      </c>
      <c r="B2555" s="138" t="s">
        <v>1275</v>
      </c>
    </row>
    <row r="2556" spans="1:2" x14ac:dyDescent="0.25">
      <c r="A2556" s="20">
        <v>96</v>
      </c>
      <c r="B2556" s="20" t="s">
        <v>1275</v>
      </c>
    </row>
    <row r="2557" spans="1:2" x14ac:dyDescent="0.25">
      <c r="A2557" s="138">
        <v>96</v>
      </c>
      <c r="B2557" s="138" t="s">
        <v>1275</v>
      </c>
    </row>
    <row r="2558" spans="1:2" x14ac:dyDescent="0.25">
      <c r="A2558" s="20">
        <v>96</v>
      </c>
      <c r="B2558" s="20" t="s">
        <v>1275</v>
      </c>
    </row>
    <row r="2559" spans="1:2" x14ac:dyDescent="0.25">
      <c r="A2559" s="138">
        <v>96</v>
      </c>
      <c r="B2559" s="138" t="s">
        <v>1275</v>
      </c>
    </row>
    <row r="2560" spans="1:2" x14ac:dyDescent="0.25">
      <c r="A2560" s="20">
        <v>96</v>
      </c>
      <c r="B2560" s="20" t="s">
        <v>1275</v>
      </c>
    </row>
    <row r="2561" spans="1:2" x14ac:dyDescent="0.25">
      <c r="A2561" s="138">
        <v>96</v>
      </c>
      <c r="B2561" s="138" t="s">
        <v>1275</v>
      </c>
    </row>
    <row r="2562" spans="1:2" x14ac:dyDescent="0.25">
      <c r="A2562" s="20">
        <v>96</v>
      </c>
      <c r="B2562" s="20" t="s">
        <v>1275</v>
      </c>
    </row>
    <row r="2563" spans="1:2" x14ac:dyDescent="0.25">
      <c r="A2563" s="138">
        <v>96</v>
      </c>
      <c r="B2563" s="138" t="s">
        <v>1275</v>
      </c>
    </row>
    <row r="2564" spans="1:2" x14ac:dyDescent="0.25">
      <c r="A2564" s="20">
        <v>96</v>
      </c>
      <c r="B2564" s="20" t="s">
        <v>1275</v>
      </c>
    </row>
    <row r="2565" spans="1:2" x14ac:dyDescent="0.25">
      <c r="A2565" s="138">
        <v>96</v>
      </c>
      <c r="B2565" s="138" t="s">
        <v>1275</v>
      </c>
    </row>
    <row r="2566" spans="1:2" x14ac:dyDescent="0.25">
      <c r="A2566" s="20">
        <v>96</v>
      </c>
      <c r="B2566" s="20" t="s">
        <v>1275</v>
      </c>
    </row>
    <row r="2567" spans="1:2" x14ac:dyDescent="0.25">
      <c r="A2567" s="138">
        <v>96</v>
      </c>
      <c r="B2567" s="138" t="s">
        <v>1275</v>
      </c>
    </row>
    <row r="2568" spans="1:2" x14ac:dyDescent="0.25">
      <c r="A2568" s="20">
        <v>96</v>
      </c>
      <c r="B2568" s="20" t="s">
        <v>1275</v>
      </c>
    </row>
    <row r="2569" spans="1:2" x14ac:dyDescent="0.25">
      <c r="A2569" s="138">
        <v>96</v>
      </c>
      <c r="B2569" s="138" t="s">
        <v>1275</v>
      </c>
    </row>
    <row r="2570" spans="1:2" x14ac:dyDescent="0.25">
      <c r="A2570" s="20">
        <v>96</v>
      </c>
      <c r="B2570" s="20" t="s">
        <v>1275</v>
      </c>
    </row>
    <row r="2571" spans="1:2" x14ac:dyDescent="0.25">
      <c r="A2571" s="138">
        <v>96</v>
      </c>
      <c r="B2571" s="138" t="s">
        <v>1275</v>
      </c>
    </row>
    <row r="2572" spans="1:2" x14ac:dyDescent="0.25">
      <c r="A2572" s="20">
        <v>96</v>
      </c>
      <c r="B2572" s="20" t="s">
        <v>1275</v>
      </c>
    </row>
    <row r="2573" spans="1:2" x14ac:dyDescent="0.25">
      <c r="A2573" s="138">
        <v>18</v>
      </c>
      <c r="B2573" s="138" t="s">
        <v>1289</v>
      </c>
    </row>
    <row r="2574" spans="1:2" x14ac:dyDescent="0.25">
      <c r="A2574" s="20" t="s">
        <v>2517</v>
      </c>
      <c r="B2574" s="20" t="s">
        <v>1289</v>
      </c>
    </row>
    <row r="2575" spans="1:2" x14ac:dyDescent="0.25">
      <c r="A2575" s="138" t="s">
        <v>2517</v>
      </c>
      <c r="B2575" s="138" t="s">
        <v>1289</v>
      </c>
    </row>
    <row r="2576" spans="1:2" x14ac:dyDescent="0.25">
      <c r="A2576" s="20" t="s">
        <v>2517</v>
      </c>
      <c r="B2576" s="20" t="s">
        <v>1289</v>
      </c>
    </row>
    <row r="2577" spans="1:2" x14ac:dyDescent="0.25">
      <c r="A2577" s="138" t="s">
        <v>2517</v>
      </c>
      <c r="B2577" s="138" t="s">
        <v>1289</v>
      </c>
    </row>
    <row r="2578" spans="1:2" x14ac:dyDescent="0.25">
      <c r="A2578" s="20" t="s">
        <v>2517</v>
      </c>
      <c r="B2578" s="20" t="s">
        <v>1289</v>
      </c>
    </row>
    <row r="2579" spans="1:2" x14ac:dyDescent="0.25">
      <c r="A2579" s="138" t="s">
        <v>2517</v>
      </c>
      <c r="B2579" s="138" t="s">
        <v>1289</v>
      </c>
    </row>
    <row r="2580" spans="1:2" x14ac:dyDescent="0.25">
      <c r="A2580" s="20" t="s">
        <v>2517</v>
      </c>
      <c r="B2580" s="20" t="s">
        <v>1289</v>
      </c>
    </row>
    <row r="2581" spans="1:2" x14ac:dyDescent="0.25">
      <c r="A2581" s="138">
        <v>16</v>
      </c>
      <c r="B2581" s="138" t="s">
        <v>2005</v>
      </c>
    </row>
    <row r="2582" spans="1:2" x14ac:dyDescent="0.25">
      <c r="A2582" s="20" t="s">
        <v>3658</v>
      </c>
      <c r="B2582" s="20" t="s">
        <v>270</v>
      </c>
    </row>
    <row r="2583" spans="1:2" x14ac:dyDescent="0.25">
      <c r="A2583" s="138">
        <v>8</v>
      </c>
      <c r="B2583" s="138" t="s">
        <v>2070</v>
      </c>
    </row>
    <row r="2584" spans="1:2" x14ac:dyDescent="0.25">
      <c r="A2584" s="20">
        <v>151</v>
      </c>
      <c r="B2584" s="20" t="s">
        <v>1161</v>
      </c>
    </row>
    <row r="2585" spans="1:2" x14ac:dyDescent="0.25">
      <c r="A2585" s="138">
        <v>96</v>
      </c>
      <c r="B2585" s="138" t="s">
        <v>1403</v>
      </c>
    </row>
    <row r="2586" spans="1:2" x14ac:dyDescent="0.25">
      <c r="A2586" s="20">
        <v>96</v>
      </c>
      <c r="B2586" s="20" t="s">
        <v>1403</v>
      </c>
    </row>
    <row r="2587" spans="1:2" x14ac:dyDescent="0.25">
      <c r="A2587" s="138">
        <v>16</v>
      </c>
      <c r="B2587" s="138" t="s">
        <v>417</v>
      </c>
    </row>
    <row r="2588" spans="1:2" x14ac:dyDescent="0.25">
      <c r="A2588" s="20">
        <v>115</v>
      </c>
      <c r="B2588" s="20" t="s">
        <v>2003</v>
      </c>
    </row>
    <row r="2589" spans="1:2" x14ac:dyDescent="0.25">
      <c r="A2589" s="138">
        <v>109</v>
      </c>
      <c r="B2589" s="138" t="s">
        <v>1346</v>
      </c>
    </row>
    <row r="2590" spans="1:2" x14ac:dyDescent="0.25">
      <c r="A2590" s="20">
        <v>96</v>
      </c>
      <c r="B2590" s="20" t="s">
        <v>1275</v>
      </c>
    </row>
    <row r="2591" spans="1:2" x14ac:dyDescent="0.25">
      <c r="A2591" s="138">
        <v>96</v>
      </c>
      <c r="B2591" s="138" t="s">
        <v>1275</v>
      </c>
    </row>
    <row r="2592" spans="1:2" x14ac:dyDescent="0.25">
      <c r="A2592" s="20">
        <v>96</v>
      </c>
      <c r="B2592" s="20" t="s">
        <v>1275</v>
      </c>
    </row>
    <row r="2593" spans="1:2" x14ac:dyDescent="0.25">
      <c r="A2593" s="138">
        <v>96</v>
      </c>
      <c r="B2593" s="138" t="s">
        <v>1275</v>
      </c>
    </row>
    <row r="2594" spans="1:2" x14ac:dyDescent="0.25">
      <c r="A2594" s="20">
        <v>96</v>
      </c>
      <c r="B2594" s="20" t="s">
        <v>1275</v>
      </c>
    </row>
    <row r="2595" spans="1:2" x14ac:dyDescent="0.25">
      <c r="A2595" s="138">
        <v>96</v>
      </c>
      <c r="B2595" s="138" t="s">
        <v>1275</v>
      </c>
    </row>
    <row r="2596" spans="1:2" x14ac:dyDescent="0.25">
      <c r="A2596" s="20">
        <v>96</v>
      </c>
      <c r="B2596" s="20" t="s">
        <v>1275</v>
      </c>
    </row>
    <row r="2597" spans="1:2" x14ac:dyDescent="0.25">
      <c r="A2597" s="138">
        <v>96</v>
      </c>
      <c r="B2597" s="138" t="s">
        <v>1275</v>
      </c>
    </row>
    <row r="2598" spans="1:2" x14ac:dyDescent="0.25">
      <c r="A2598" s="20">
        <v>96</v>
      </c>
      <c r="B2598" s="20" t="s">
        <v>1275</v>
      </c>
    </row>
    <row r="2599" spans="1:2" x14ac:dyDescent="0.25">
      <c r="A2599" s="138">
        <v>96</v>
      </c>
      <c r="B2599" s="138" t="s">
        <v>1275</v>
      </c>
    </row>
    <row r="2600" spans="1:2" x14ac:dyDescent="0.25">
      <c r="A2600" s="20">
        <v>96</v>
      </c>
      <c r="B2600" s="20" t="s">
        <v>1275</v>
      </c>
    </row>
    <row r="2601" spans="1:2" x14ac:dyDescent="0.25">
      <c r="A2601" s="138">
        <v>96</v>
      </c>
      <c r="B2601" s="138" t="s">
        <v>1275</v>
      </c>
    </row>
    <row r="2602" spans="1:2" x14ac:dyDescent="0.25">
      <c r="A2602" s="20">
        <v>96</v>
      </c>
      <c r="B2602" s="20" t="s">
        <v>1275</v>
      </c>
    </row>
    <row r="2603" spans="1:2" x14ac:dyDescent="0.25">
      <c r="A2603" s="138">
        <v>96</v>
      </c>
      <c r="B2603" s="138" t="s">
        <v>1275</v>
      </c>
    </row>
    <row r="2604" spans="1:2" x14ac:dyDescent="0.25">
      <c r="A2604" s="20">
        <v>96</v>
      </c>
      <c r="B2604" s="20" t="s">
        <v>1275</v>
      </c>
    </row>
    <row r="2605" spans="1:2" x14ac:dyDescent="0.25">
      <c r="A2605" s="138">
        <v>96</v>
      </c>
      <c r="B2605" s="138" t="s">
        <v>1275</v>
      </c>
    </row>
    <row r="2606" spans="1:2" x14ac:dyDescent="0.25">
      <c r="A2606" s="20">
        <v>96</v>
      </c>
      <c r="B2606" s="20" t="s">
        <v>1275</v>
      </c>
    </row>
    <row r="2607" spans="1:2" x14ac:dyDescent="0.25">
      <c r="A2607" s="138">
        <v>96</v>
      </c>
      <c r="B2607" s="138" t="s">
        <v>1275</v>
      </c>
    </row>
    <row r="2608" spans="1:2" x14ac:dyDescent="0.25">
      <c r="A2608" s="20">
        <v>96</v>
      </c>
      <c r="B2608" s="20" t="s">
        <v>1275</v>
      </c>
    </row>
    <row r="2609" spans="1:2" x14ac:dyDescent="0.25">
      <c r="A2609" s="138">
        <v>96</v>
      </c>
      <c r="B2609" s="138" t="s">
        <v>1275</v>
      </c>
    </row>
    <row r="2610" spans="1:2" x14ac:dyDescent="0.25">
      <c r="A2610" s="20">
        <v>96</v>
      </c>
      <c r="B2610" s="20" t="s">
        <v>1275</v>
      </c>
    </row>
    <row r="2611" spans="1:2" x14ac:dyDescent="0.25">
      <c r="A2611" s="138">
        <v>96</v>
      </c>
      <c r="B2611" s="138" t="s">
        <v>1275</v>
      </c>
    </row>
    <row r="2612" spans="1:2" x14ac:dyDescent="0.25">
      <c r="A2612" s="20">
        <v>96</v>
      </c>
      <c r="B2612" s="20" t="s">
        <v>1275</v>
      </c>
    </row>
    <row r="2613" spans="1:2" x14ac:dyDescent="0.25">
      <c r="A2613" s="138">
        <v>96</v>
      </c>
      <c r="B2613" s="138" t="s">
        <v>1275</v>
      </c>
    </row>
    <row r="2614" spans="1:2" x14ac:dyDescent="0.25">
      <c r="A2614" s="20">
        <v>96</v>
      </c>
      <c r="B2614" s="20" t="s">
        <v>1275</v>
      </c>
    </row>
    <row r="2615" spans="1:2" x14ac:dyDescent="0.25">
      <c r="A2615" s="138">
        <v>96</v>
      </c>
      <c r="B2615" s="138" t="s">
        <v>1275</v>
      </c>
    </row>
    <row r="2616" spans="1:2" x14ac:dyDescent="0.25">
      <c r="A2616" s="20">
        <v>96</v>
      </c>
      <c r="B2616" s="20" t="s">
        <v>1275</v>
      </c>
    </row>
    <row r="2617" spans="1:2" x14ac:dyDescent="0.25">
      <c r="A2617" s="138">
        <v>96</v>
      </c>
      <c r="B2617" s="138" t="s">
        <v>1275</v>
      </c>
    </row>
    <row r="2618" spans="1:2" x14ac:dyDescent="0.25">
      <c r="A2618" s="20">
        <v>96</v>
      </c>
      <c r="B2618" s="20" t="s">
        <v>1275</v>
      </c>
    </row>
    <row r="2619" spans="1:2" x14ac:dyDescent="0.25">
      <c r="A2619" s="138">
        <v>18</v>
      </c>
      <c r="B2619" s="138" t="s">
        <v>1289</v>
      </c>
    </row>
    <row r="2620" spans="1:2" x14ac:dyDescent="0.25">
      <c r="A2620" s="20">
        <v>16</v>
      </c>
      <c r="B2620" s="20" t="s">
        <v>2005</v>
      </c>
    </row>
    <row r="2621" spans="1:2" x14ac:dyDescent="0.25">
      <c r="A2621" s="138">
        <v>16</v>
      </c>
      <c r="B2621" s="138" t="s">
        <v>2005</v>
      </c>
    </row>
    <row r="2622" spans="1:2" x14ac:dyDescent="0.25">
      <c r="A2622" s="20" t="s">
        <v>3658</v>
      </c>
      <c r="B2622" s="20" t="s">
        <v>270</v>
      </c>
    </row>
    <row r="2623" spans="1:2" x14ac:dyDescent="0.25">
      <c r="A2623" s="138" t="s">
        <v>3658</v>
      </c>
      <c r="B2623" s="138" t="s">
        <v>270</v>
      </c>
    </row>
    <row r="2624" spans="1:2" x14ac:dyDescent="0.25">
      <c r="A2624" s="20" t="s">
        <v>3710</v>
      </c>
      <c r="B2624" s="20" t="s">
        <v>280</v>
      </c>
    </row>
    <row r="2625" spans="1:2" x14ac:dyDescent="0.25">
      <c r="A2625" s="138" t="s">
        <v>3710</v>
      </c>
      <c r="B2625" s="138" t="s">
        <v>280</v>
      </c>
    </row>
    <row r="2626" spans="1:2" x14ac:dyDescent="0.25">
      <c r="A2626" s="20" t="s">
        <v>3710</v>
      </c>
      <c r="B2626" s="20" t="s">
        <v>280</v>
      </c>
    </row>
    <row r="2627" spans="1:2" x14ac:dyDescent="0.25">
      <c r="A2627" s="20" t="s">
        <v>3710</v>
      </c>
      <c r="B2627" s="20" t="s">
        <v>280</v>
      </c>
    </row>
    <row r="2628" spans="1:2" x14ac:dyDescent="0.25">
      <c r="A2628" s="138">
        <v>11</v>
      </c>
      <c r="B2628" s="138" t="s">
        <v>638</v>
      </c>
    </row>
    <row r="2629" spans="1:2" x14ac:dyDescent="0.25">
      <c r="A2629" s="20" t="s">
        <v>6194</v>
      </c>
      <c r="B2629" s="20" t="s">
        <v>450</v>
      </c>
    </row>
    <row r="2630" spans="1:2" x14ac:dyDescent="0.25">
      <c r="A2630" s="138" t="s">
        <v>6194</v>
      </c>
      <c r="B2630" s="138" t="s">
        <v>450</v>
      </c>
    </row>
    <row r="2631" spans="1:2" x14ac:dyDescent="0.25">
      <c r="A2631" s="20">
        <v>16</v>
      </c>
      <c r="B2631" s="20" t="s">
        <v>170</v>
      </c>
    </row>
    <row r="2632" spans="1:2" x14ac:dyDescent="0.25">
      <c r="A2632" s="138">
        <v>16</v>
      </c>
      <c r="B2632" s="138" t="s">
        <v>170</v>
      </c>
    </row>
    <row r="2633" spans="1:2" x14ac:dyDescent="0.25">
      <c r="A2633" s="20">
        <v>151</v>
      </c>
      <c r="B2633" s="20" t="s">
        <v>1161</v>
      </c>
    </row>
    <row r="2634" spans="1:2" x14ac:dyDescent="0.25">
      <c r="A2634" s="138">
        <v>151</v>
      </c>
      <c r="B2634" s="138" t="s">
        <v>1161</v>
      </c>
    </row>
    <row r="2635" spans="1:2" x14ac:dyDescent="0.25">
      <c r="A2635" s="20">
        <v>151</v>
      </c>
      <c r="B2635" s="20" t="s">
        <v>1161</v>
      </c>
    </row>
    <row r="2636" spans="1:2" x14ac:dyDescent="0.25">
      <c r="A2636" s="138">
        <v>151</v>
      </c>
      <c r="B2636" s="138" t="s">
        <v>1161</v>
      </c>
    </row>
    <row r="2637" spans="1:2" x14ac:dyDescent="0.25">
      <c r="A2637" s="20">
        <v>151</v>
      </c>
      <c r="B2637" s="20" t="s">
        <v>1161</v>
      </c>
    </row>
    <row r="2638" spans="1:2" x14ac:dyDescent="0.25">
      <c r="A2638" s="138">
        <v>151</v>
      </c>
      <c r="B2638" s="138" t="s">
        <v>1161</v>
      </c>
    </row>
    <row r="2639" spans="1:2" x14ac:dyDescent="0.25">
      <c r="A2639" s="20">
        <v>151</v>
      </c>
      <c r="B2639" s="20" t="s">
        <v>1161</v>
      </c>
    </row>
    <row r="2640" spans="1:2" x14ac:dyDescent="0.25">
      <c r="A2640" s="138">
        <v>151</v>
      </c>
      <c r="B2640" s="138" t="s">
        <v>1161</v>
      </c>
    </row>
    <row r="2641" spans="1:2" x14ac:dyDescent="0.25">
      <c r="A2641" s="20">
        <v>96</v>
      </c>
      <c r="B2641" s="20" t="s">
        <v>1403</v>
      </c>
    </row>
    <row r="2642" spans="1:2" x14ac:dyDescent="0.25">
      <c r="A2642" s="138">
        <v>96</v>
      </c>
      <c r="B2642" s="138" t="s">
        <v>1403</v>
      </c>
    </row>
    <row r="2643" spans="1:2" x14ac:dyDescent="0.25">
      <c r="A2643" s="20">
        <v>96</v>
      </c>
      <c r="B2643" s="20" t="s">
        <v>1403</v>
      </c>
    </row>
    <row r="2644" spans="1:2" x14ac:dyDescent="0.25">
      <c r="A2644" s="138">
        <v>96</v>
      </c>
      <c r="B2644" s="138" t="s">
        <v>1403</v>
      </c>
    </row>
    <row r="2645" spans="1:2" x14ac:dyDescent="0.25">
      <c r="A2645" s="20">
        <v>96</v>
      </c>
      <c r="B2645" s="20" t="s">
        <v>1403</v>
      </c>
    </row>
    <row r="2646" spans="1:2" x14ac:dyDescent="0.25">
      <c r="A2646" s="138">
        <v>50</v>
      </c>
      <c r="B2646" s="138" t="s">
        <v>1478</v>
      </c>
    </row>
    <row r="2647" spans="1:2" x14ac:dyDescent="0.25">
      <c r="A2647" s="20">
        <v>50</v>
      </c>
      <c r="B2647" s="20" t="s">
        <v>1478</v>
      </c>
    </row>
    <row r="2648" spans="1:2" x14ac:dyDescent="0.25">
      <c r="A2648" s="138">
        <v>50</v>
      </c>
      <c r="B2648" s="138" t="s">
        <v>1478</v>
      </c>
    </row>
    <row r="2649" spans="1:2" x14ac:dyDescent="0.25">
      <c r="A2649" s="20">
        <v>50</v>
      </c>
      <c r="B2649" s="20" t="s">
        <v>1478</v>
      </c>
    </row>
    <row r="2650" spans="1:2" x14ac:dyDescent="0.25">
      <c r="A2650" s="138">
        <v>50</v>
      </c>
      <c r="B2650" s="138" t="s">
        <v>1478</v>
      </c>
    </row>
    <row r="2651" spans="1:2" x14ac:dyDescent="0.25">
      <c r="A2651" s="20">
        <v>50</v>
      </c>
      <c r="B2651" s="20" t="s">
        <v>1478</v>
      </c>
    </row>
    <row r="2652" spans="1:2" x14ac:dyDescent="0.25">
      <c r="A2652" s="138" t="s">
        <v>6221</v>
      </c>
      <c r="B2652" s="138" t="s">
        <v>337</v>
      </c>
    </row>
    <row r="2653" spans="1:2" x14ac:dyDescent="0.25">
      <c r="A2653" s="20" t="s">
        <v>6235</v>
      </c>
      <c r="B2653" s="20" t="s">
        <v>1548</v>
      </c>
    </row>
    <row r="2654" spans="1:2" x14ac:dyDescent="0.25">
      <c r="A2654" s="138" t="s">
        <v>6235</v>
      </c>
      <c r="B2654" s="138" t="s">
        <v>1548</v>
      </c>
    </row>
    <row r="2655" spans="1:2" x14ac:dyDescent="0.25">
      <c r="A2655" s="20" t="s">
        <v>6235</v>
      </c>
      <c r="B2655" s="20" t="s">
        <v>1548</v>
      </c>
    </row>
    <row r="2656" spans="1:2" x14ac:dyDescent="0.25">
      <c r="A2656" s="138" t="s">
        <v>6235</v>
      </c>
      <c r="B2656" s="138" t="s">
        <v>1548</v>
      </c>
    </row>
    <row r="2657" spans="1:2" x14ac:dyDescent="0.25">
      <c r="A2657" s="20" t="s">
        <v>6235</v>
      </c>
      <c r="B2657" s="20" t="s">
        <v>1548</v>
      </c>
    </row>
    <row r="2658" spans="1:2" x14ac:dyDescent="0.25">
      <c r="A2658" s="138" t="s">
        <v>6235</v>
      </c>
      <c r="B2658" s="138" t="s">
        <v>1548</v>
      </c>
    </row>
    <row r="2659" spans="1:2" x14ac:dyDescent="0.25">
      <c r="A2659" s="20" t="s">
        <v>6235</v>
      </c>
      <c r="B2659" s="20" t="s">
        <v>1548</v>
      </c>
    </row>
    <row r="2660" spans="1:2" x14ac:dyDescent="0.25">
      <c r="A2660" s="138" t="s">
        <v>6235</v>
      </c>
      <c r="B2660" s="138" t="s">
        <v>1548</v>
      </c>
    </row>
    <row r="2661" spans="1:2" x14ac:dyDescent="0.25">
      <c r="A2661" s="20" t="s">
        <v>6235</v>
      </c>
      <c r="B2661" s="20" t="s">
        <v>1548</v>
      </c>
    </row>
    <row r="2662" spans="1:2" x14ac:dyDescent="0.25">
      <c r="A2662" s="138" t="s">
        <v>6235</v>
      </c>
      <c r="B2662" s="138" t="s">
        <v>1548</v>
      </c>
    </row>
    <row r="2663" spans="1:2" x14ac:dyDescent="0.25">
      <c r="A2663" s="20" t="s">
        <v>6235</v>
      </c>
      <c r="B2663" s="20" t="s">
        <v>1548</v>
      </c>
    </row>
    <row r="2664" spans="1:2" x14ac:dyDescent="0.25">
      <c r="A2664" s="138" t="s">
        <v>6235</v>
      </c>
      <c r="B2664" s="138" t="s">
        <v>1548</v>
      </c>
    </row>
    <row r="2665" spans="1:2" x14ac:dyDescent="0.25">
      <c r="A2665" s="138" t="s">
        <v>6235</v>
      </c>
      <c r="B2665" s="138" t="s">
        <v>1548</v>
      </c>
    </row>
    <row r="2666" spans="1:2" x14ac:dyDescent="0.25">
      <c r="A2666" s="20" t="s">
        <v>6235</v>
      </c>
      <c r="B2666" s="20" t="s">
        <v>1548</v>
      </c>
    </row>
    <row r="2667" spans="1:2" x14ac:dyDescent="0.25">
      <c r="A2667" s="138" t="s">
        <v>6235</v>
      </c>
      <c r="B2667" s="138" t="s">
        <v>1548</v>
      </c>
    </row>
    <row r="2668" spans="1:2" x14ac:dyDescent="0.25">
      <c r="A2668" s="20" t="s">
        <v>6235</v>
      </c>
      <c r="B2668" s="20" t="s">
        <v>1548</v>
      </c>
    </row>
    <row r="2669" spans="1:2" x14ac:dyDescent="0.25">
      <c r="A2669" s="20" t="s">
        <v>6235</v>
      </c>
      <c r="B2669" s="20" t="s">
        <v>1548</v>
      </c>
    </row>
    <row r="2670" spans="1:2" x14ac:dyDescent="0.25">
      <c r="A2670" s="138" t="s">
        <v>6235</v>
      </c>
      <c r="B2670" s="138" t="s">
        <v>1548</v>
      </c>
    </row>
    <row r="2671" spans="1:2" x14ac:dyDescent="0.25">
      <c r="A2671" s="20" t="s">
        <v>6235</v>
      </c>
      <c r="B2671" s="20" t="s">
        <v>1548</v>
      </c>
    </row>
    <row r="2672" spans="1:2" x14ac:dyDescent="0.25">
      <c r="A2672" s="138" t="s">
        <v>6235</v>
      </c>
      <c r="B2672" s="138" t="s">
        <v>1548</v>
      </c>
    </row>
    <row r="2673" spans="1:2" x14ac:dyDescent="0.25">
      <c r="A2673" s="20" t="s">
        <v>6235</v>
      </c>
      <c r="B2673" s="20" t="s">
        <v>1548</v>
      </c>
    </row>
    <row r="2674" spans="1:2" x14ac:dyDescent="0.25">
      <c r="A2674" s="138" t="s">
        <v>6235</v>
      </c>
      <c r="B2674" s="138" t="s">
        <v>1548</v>
      </c>
    </row>
    <row r="2675" spans="1:2" x14ac:dyDescent="0.25">
      <c r="A2675" s="20" t="s">
        <v>6235</v>
      </c>
      <c r="B2675" s="20" t="s">
        <v>1548</v>
      </c>
    </row>
    <row r="2676" spans="1:2" x14ac:dyDescent="0.25">
      <c r="A2676" s="138" t="s">
        <v>6235</v>
      </c>
      <c r="B2676" s="138" t="s">
        <v>1548</v>
      </c>
    </row>
    <row r="2677" spans="1:2" x14ac:dyDescent="0.25">
      <c r="A2677" s="20" t="s">
        <v>6235</v>
      </c>
      <c r="B2677" s="20" t="s">
        <v>1548</v>
      </c>
    </row>
    <row r="2678" spans="1:2" x14ac:dyDescent="0.25">
      <c r="A2678" s="138" t="s">
        <v>6235</v>
      </c>
      <c r="B2678" s="138" t="s">
        <v>1548</v>
      </c>
    </row>
    <row r="2679" spans="1:2" x14ac:dyDescent="0.25">
      <c r="A2679" s="20" t="s">
        <v>6235</v>
      </c>
      <c r="B2679" s="20" t="s">
        <v>1548</v>
      </c>
    </row>
    <row r="2680" spans="1:2" x14ac:dyDescent="0.25">
      <c r="A2680" s="20" t="s">
        <v>6235</v>
      </c>
      <c r="B2680" s="20" t="s">
        <v>1548</v>
      </c>
    </row>
    <row r="2681" spans="1:2" x14ac:dyDescent="0.25">
      <c r="A2681" s="138" t="s">
        <v>6235</v>
      </c>
      <c r="B2681" s="138" t="s">
        <v>1548</v>
      </c>
    </row>
    <row r="2682" spans="1:2" x14ac:dyDescent="0.25">
      <c r="A2682" s="20" t="s">
        <v>6235</v>
      </c>
      <c r="B2682" s="20" t="s">
        <v>1548</v>
      </c>
    </row>
    <row r="2683" spans="1:2" x14ac:dyDescent="0.25">
      <c r="A2683" s="138" t="s">
        <v>6235</v>
      </c>
      <c r="B2683" s="138" t="s">
        <v>1548</v>
      </c>
    </row>
    <row r="2684" spans="1:2" x14ac:dyDescent="0.25">
      <c r="A2684" s="20" t="s">
        <v>6235</v>
      </c>
      <c r="B2684" s="20" t="s">
        <v>1548</v>
      </c>
    </row>
    <row r="2685" spans="1:2" x14ac:dyDescent="0.25">
      <c r="A2685" s="20" t="s">
        <v>6235</v>
      </c>
      <c r="B2685" s="20" t="s">
        <v>1548</v>
      </c>
    </row>
    <row r="2686" spans="1:2" x14ac:dyDescent="0.25">
      <c r="A2686" s="138" t="s">
        <v>6235</v>
      </c>
      <c r="B2686" s="138" t="s">
        <v>1548</v>
      </c>
    </row>
    <row r="2687" spans="1:2" x14ac:dyDescent="0.25">
      <c r="A2687" s="20" t="s">
        <v>6235</v>
      </c>
      <c r="B2687" s="20" t="s">
        <v>1548</v>
      </c>
    </row>
    <row r="2688" spans="1:2" x14ac:dyDescent="0.25">
      <c r="A2688" s="138" t="s">
        <v>6243</v>
      </c>
      <c r="B2688" s="138" t="s">
        <v>6244</v>
      </c>
    </row>
    <row r="2689" spans="1:2" x14ac:dyDescent="0.25">
      <c r="A2689" s="20" t="s">
        <v>6243</v>
      </c>
      <c r="B2689" s="20" t="s">
        <v>6244</v>
      </c>
    </row>
    <row r="2690" spans="1:2" x14ac:dyDescent="0.25">
      <c r="A2690" s="138">
        <v>109</v>
      </c>
      <c r="B2690" s="138" t="s">
        <v>1346</v>
      </c>
    </row>
    <row r="2691" spans="1:2" x14ac:dyDescent="0.25">
      <c r="A2691" s="20">
        <v>109</v>
      </c>
      <c r="B2691" s="20" t="s">
        <v>1346</v>
      </c>
    </row>
    <row r="2692" spans="1:2" x14ac:dyDescent="0.25">
      <c r="A2692" s="138">
        <v>109</v>
      </c>
      <c r="B2692" s="138" t="s">
        <v>1346</v>
      </c>
    </row>
    <row r="2693" spans="1:2" x14ac:dyDescent="0.25">
      <c r="A2693" s="20">
        <v>109</v>
      </c>
      <c r="B2693" s="20" t="s">
        <v>1346</v>
      </c>
    </row>
    <row r="2694" spans="1:2" x14ac:dyDescent="0.25">
      <c r="A2694" s="138">
        <v>109</v>
      </c>
      <c r="B2694" s="138" t="s">
        <v>1346</v>
      </c>
    </row>
    <row r="2695" spans="1:2" x14ac:dyDescent="0.25">
      <c r="A2695" s="20">
        <v>109</v>
      </c>
      <c r="B2695" s="20" t="s">
        <v>1346</v>
      </c>
    </row>
    <row r="2696" spans="1:2" x14ac:dyDescent="0.25">
      <c r="A2696" s="138">
        <v>109</v>
      </c>
      <c r="B2696" s="138" t="s">
        <v>1346</v>
      </c>
    </row>
    <row r="2697" spans="1:2" x14ac:dyDescent="0.25">
      <c r="A2697" s="20">
        <v>109</v>
      </c>
      <c r="B2697" s="20" t="s">
        <v>1346</v>
      </c>
    </row>
    <row r="2698" spans="1:2" x14ac:dyDescent="0.25">
      <c r="A2698" s="138">
        <v>109</v>
      </c>
      <c r="B2698" s="138" t="s">
        <v>1346</v>
      </c>
    </row>
    <row r="2699" spans="1:2" x14ac:dyDescent="0.25">
      <c r="A2699" s="20">
        <v>109</v>
      </c>
      <c r="B2699" s="20" t="s">
        <v>1346</v>
      </c>
    </row>
    <row r="2700" spans="1:2" x14ac:dyDescent="0.25">
      <c r="A2700" s="138">
        <v>109</v>
      </c>
      <c r="B2700" s="138" t="s">
        <v>1346</v>
      </c>
    </row>
    <row r="2701" spans="1:2" x14ac:dyDescent="0.25">
      <c r="A2701" s="20">
        <v>109</v>
      </c>
      <c r="B2701" s="20" t="s">
        <v>1346</v>
      </c>
    </row>
    <row r="2702" spans="1:2" x14ac:dyDescent="0.25">
      <c r="A2702" s="138">
        <v>109</v>
      </c>
      <c r="B2702" s="138" t="s">
        <v>1346</v>
      </c>
    </row>
    <row r="2703" spans="1:2" x14ac:dyDescent="0.25">
      <c r="A2703" s="20">
        <v>109</v>
      </c>
      <c r="B2703" s="20" t="s">
        <v>1346</v>
      </c>
    </row>
    <row r="2704" spans="1:2" x14ac:dyDescent="0.25">
      <c r="A2704" s="138">
        <v>109</v>
      </c>
      <c r="B2704" s="138" t="s">
        <v>1346</v>
      </c>
    </row>
    <row r="2705" spans="1:2" x14ac:dyDescent="0.25">
      <c r="A2705" s="20">
        <v>109</v>
      </c>
      <c r="B2705" s="20" t="s">
        <v>1346</v>
      </c>
    </row>
    <row r="2706" spans="1:2" x14ac:dyDescent="0.25">
      <c r="A2706" s="138">
        <v>109</v>
      </c>
      <c r="B2706" s="138" t="s">
        <v>1346</v>
      </c>
    </row>
    <row r="2707" spans="1:2" x14ac:dyDescent="0.25">
      <c r="A2707" s="20">
        <v>109</v>
      </c>
      <c r="B2707" s="20" t="s">
        <v>1346</v>
      </c>
    </row>
    <row r="2708" spans="1:2" x14ac:dyDescent="0.25">
      <c r="A2708" s="138">
        <v>96</v>
      </c>
      <c r="B2708" s="138" t="s">
        <v>1275</v>
      </c>
    </row>
    <row r="2709" spans="1:2" x14ac:dyDescent="0.25">
      <c r="A2709" s="20">
        <v>96</v>
      </c>
      <c r="B2709" s="20" t="s">
        <v>1275</v>
      </c>
    </row>
    <row r="2710" spans="1:2" x14ac:dyDescent="0.25">
      <c r="A2710" s="20" t="s">
        <v>2517</v>
      </c>
      <c r="B2710" s="20" t="s">
        <v>1289</v>
      </c>
    </row>
    <row r="2711" spans="1:2" x14ac:dyDescent="0.25">
      <c r="A2711" s="138" t="s">
        <v>2517</v>
      </c>
      <c r="B2711" s="138" t="s">
        <v>1289</v>
      </c>
    </row>
    <row r="2712" spans="1:2" x14ac:dyDescent="0.25">
      <c r="A2712" s="20" t="s">
        <v>2517</v>
      </c>
      <c r="B2712" s="20" t="s">
        <v>1289</v>
      </c>
    </row>
    <row r="2713" spans="1:2" x14ac:dyDescent="0.25">
      <c r="A2713" s="138" t="s">
        <v>2517</v>
      </c>
      <c r="B2713" s="138" t="s">
        <v>1289</v>
      </c>
    </row>
    <row r="2714" spans="1:2" x14ac:dyDescent="0.25">
      <c r="A2714" s="20">
        <v>18</v>
      </c>
      <c r="B2714" s="20" t="s">
        <v>1289</v>
      </c>
    </row>
    <row r="2715" spans="1:2" x14ac:dyDescent="0.25">
      <c r="A2715" s="138">
        <v>16</v>
      </c>
      <c r="B2715" s="138" t="s">
        <v>2005</v>
      </c>
    </row>
    <row r="2716" spans="1:2" x14ac:dyDescent="0.25">
      <c r="A2716" s="20">
        <v>16</v>
      </c>
      <c r="B2716" s="20" t="s">
        <v>2005</v>
      </c>
    </row>
    <row r="2717" spans="1:2" x14ac:dyDescent="0.25">
      <c r="A2717" s="138">
        <v>11</v>
      </c>
      <c r="B2717" s="138" t="s">
        <v>638</v>
      </c>
    </row>
    <row r="2718" spans="1:2" x14ac:dyDescent="0.25">
      <c r="A2718" s="20">
        <v>11</v>
      </c>
      <c r="B2718" s="20" t="s">
        <v>638</v>
      </c>
    </row>
    <row r="2719" spans="1:2" x14ac:dyDescent="0.25">
      <c r="A2719" s="138">
        <v>11</v>
      </c>
      <c r="B2719" s="138" t="s">
        <v>638</v>
      </c>
    </row>
    <row r="2720" spans="1:2" x14ac:dyDescent="0.25">
      <c r="A2720" s="20" t="s">
        <v>3658</v>
      </c>
      <c r="B2720" s="20" t="s">
        <v>270</v>
      </c>
    </row>
    <row r="2721" spans="1:2" x14ac:dyDescent="0.25">
      <c r="A2721" s="138" t="s">
        <v>3658</v>
      </c>
      <c r="B2721" s="138" t="s">
        <v>270</v>
      </c>
    </row>
    <row r="2722" spans="1:2" x14ac:dyDescent="0.25">
      <c r="A2722" s="20" t="s">
        <v>3658</v>
      </c>
      <c r="B2722" s="20" t="s">
        <v>270</v>
      </c>
    </row>
    <row r="2723" spans="1:2" x14ac:dyDescent="0.25">
      <c r="A2723" s="138" t="s">
        <v>3658</v>
      </c>
      <c r="B2723" s="138" t="s">
        <v>270</v>
      </c>
    </row>
    <row r="2724" spans="1:2" x14ac:dyDescent="0.25">
      <c r="A2724" s="20" t="s">
        <v>3658</v>
      </c>
      <c r="B2724" s="20" t="s">
        <v>270</v>
      </c>
    </row>
    <row r="2725" spans="1:2" x14ac:dyDescent="0.25">
      <c r="A2725" s="138" t="s">
        <v>3658</v>
      </c>
      <c r="B2725" s="138" t="s">
        <v>270</v>
      </c>
    </row>
    <row r="2726" spans="1:2" x14ac:dyDescent="0.25">
      <c r="A2726" s="20" t="s">
        <v>3658</v>
      </c>
      <c r="B2726" s="20" t="s">
        <v>270</v>
      </c>
    </row>
    <row r="2727" spans="1:2" x14ac:dyDescent="0.25">
      <c r="A2727" s="138" t="s">
        <v>3658</v>
      </c>
      <c r="B2727" s="138" t="s">
        <v>270</v>
      </c>
    </row>
    <row r="2728" spans="1:2" x14ac:dyDescent="0.25">
      <c r="A2728" s="20" t="s">
        <v>3658</v>
      </c>
      <c r="B2728" s="20" t="s">
        <v>270</v>
      </c>
    </row>
    <row r="2729" spans="1:2" x14ac:dyDescent="0.25">
      <c r="A2729" s="138" t="s">
        <v>6194</v>
      </c>
      <c r="B2729" s="138" t="s">
        <v>450</v>
      </c>
    </row>
    <row r="2730" spans="1:2" x14ac:dyDescent="0.25">
      <c r="A2730" s="20" t="s">
        <v>6194</v>
      </c>
      <c r="B2730" s="20" t="s">
        <v>450</v>
      </c>
    </row>
    <row r="2731" spans="1:2" x14ac:dyDescent="0.25">
      <c r="A2731" s="138" t="s">
        <v>6194</v>
      </c>
      <c r="B2731" s="138" t="s">
        <v>450</v>
      </c>
    </row>
    <row r="2732" spans="1:2" x14ac:dyDescent="0.25">
      <c r="A2732" s="20" t="s">
        <v>6194</v>
      </c>
      <c r="B2732" s="20" t="s">
        <v>450</v>
      </c>
    </row>
    <row r="2733" spans="1:2" x14ac:dyDescent="0.25">
      <c r="A2733" s="138" t="s">
        <v>6194</v>
      </c>
      <c r="B2733" s="138" t="s">
        <v>450</v>
      </c>
    </row>
    <row r="2734" spans="1:2" x14ac:dyDescent="0.25">
      <c r="A2734" s="20" t="s">
        <v>6194</v>
      </c>
      <c r="B2734" s="20" t="s">
        <v>450</v>
      </c>
    </row>
    <row r="2735" spans="1:2" x14ac:dyDescent="0.25">
      <c r="A2735" s="138">
        <v>231</v>
      </c>
      <c r="B2735" s="138" t="s">
        <v>886</v>
      </c>
    </row>
    <row r="2736" spans="1:2" x14ac:dyDescent="0.25">
      <c r="A2736" s="20">
        <v>16</v>
      </c>
      <c r="B2736" s="20" t="s">
        <v>170</v>
      </c>
    </row>
    <row r="2737" spans="1:2" x14ac:dyDescent="0.25">
      <c r="A2737" s="138">
        <v>151</v>
      </c>
      <c r="B2737" s="138" t="s">
        <v>1161</v>
      </c>
    </row>
    <row r="2738" spans="1:2" x14ac:dyDescent="0.25">
      <c r="A2738" s="20">
        <v>151</v>
      </c>
      <c r="B2738" s="20" t="s">
        <v>1161</v>
      </c>
    </row>
    <row r="2739" spans="1:2" x14ac:dyDescent="0.25">
      <c r="A2739" s="138">
        <v>151</v>
      </c>
      <c r="B2739" s="138" t="s">
        <v>1161</v>
      </c>
    </row>
    <row r="2740" spans="1:2" x14ac:dyDescent="0.25">
      <c r="A2740" s="20">
        <v>151</v>
      </c>
      <c r="B2740" s="20" t="s">
        <v>1161</v>
      </c>
    </row>
    <row r="2741" spans="1:2" x14ac:dyDescent="0.25">
      <c r="A2741" s="138">
        <v>151</v>
      </c>
      <c r="B2741" s="138" t="s">
        <v>1161</v>
      </c>
    </row>
    <row r="2742" spans="1:2" x14ac:dyDescent="0.25">
      <c r="A2742" s="20">
        <v>151</v>
      </c>
      <c r="B2742" s="20" t="s">
        <v>1161</v>
      </c>
    </row>
    <row r="2743" spans="1:2" x14ac:dyDescent="0.25">
      <c r="A2743" s="138">
        <v>151</v>
      </c>
      <c r="B2743" s="138" t="s">
        <v>1161</v>
      </c>
    </row>
    <row r="2744" spans="1:2" x14ac:dyDescent="0.25">
      <c r="A2744" s="20">
        <v>151</v>
      </c>
      <c r="B2744" s="20" t="s">
        <v>1161</v>
      </c>
    </row>
    <row r="2745" spans="1:2" x14ac:dyDescent="0.25">
      <c r="A2745" s="138">
        <v>96</v>
      </c>
      <c r="B2745" s="138" t="s">
        <v>1403</v>
      </c>
    </row>
    <row r="2746" spans="1:2" x14ac:dyDescent="0.25">
      <c r="A2746" s="20">
        <v>96</v>
      </c>
      <c r="B2746" s="20" t="s">
        <v>1403</v>
      </c>
    </row>
    <row r="2747" spans="1:2" x14ac:dyDescent="0.25">
      <c r="A2747" s="20" t="s">
        <v>2517</v>
      </c>
      <c r="B2747" s="20" t="s">
        <v>1289</v>
      </c>
    </row>
    <row r="2748" spans="1:2" x14ac:dyDescent="0.25">
      <c r="A2748" s="138" t="s">
        <v>2517</v>
      </c>
      <c r="B2748" s="138" t="s">
        <v>1289</v>
      </c>
    </row>
    <row r="2749" spans="1:2" x14ac:dyDescent="0.25">
      <c r="A2749" s="20">
        <v>97</v>
      </c>
      <c r="B2749" s="20" t="s">
        <v>206</v>
      </c>
    </row>
    <row r="2750" spans="1:2" x14ac:dyDescent="0.25">
      <c r="A2750" s="138">
        <v>97</v>
      </c>
      <c r="B2750" s="138" t="s">
        <v>206</v>
      </c>
    </row>
    <row r="2751" spans="1:2" x14ac:dyDescent="0.25">
      <c r="A2751" s="20">
        <v>97</v>
      </c>
      <c r="B2751" s="20" t="s">
        <v>206</v>
      </c>
    </row>
    <row r="2752" spans="1:2" x14ac:dyDescent="0.25">
      <c r="A2752" s="138">
        <v>97</v>
      </c>
      <c r="B2752" s="138" t="s">
        <v>206</v>
      </c>
    </row>
    <row r="2753" spans="1:2" x14ac:dyDescent="0.25">
      <c r="A2753" s="20" t="s">
        <v>6221</v>
      </c>
      <c r="B2753" s="20" t="s">
        <v>337</v>
      </c>
    </row>
    <row r="2754" spans="1:2" x14ac:dyDescent="0.25">
      <c r="A2754" s="138" t="s">
        <v>6221</v>
      </c>
      <c r="B2754" s="138" t="s">
        <v>337</v>
      </c>
    </row>
    <row r="2755" spans="1:2" x14ac:dyDescent="0.25">
      <c r="A2755" s="20" t="s">
        <v>6221</v>
      </c>
      <c r="B2755" s="20" t="s">
        <v>337</v>
      </c>
    </row>
    <row r="2756" spans="1:2" x14ac:dyDescent="0.25">
      <c r="A2756" s="138" t="s">
        <v>6221</v>
      </c>
      <c r="B2756" s="138" t="s">
        <v>337</v>
      </c>
    </row>
    <row r="2757" spans="1:2" x14ac:dyDescent="0.25">
      <c r="A2757" s="20" t="s">
        <v>6221</v>
      </c>
      <c r="B2757" s="20" t="s">
        <v>337</v>
      </c>
    </row>
    <row r="2758" spans="1:2" x14ac:dyDescent="0.25">
      <c r="A2758" s="138" t="s">
        <v>6221</v>
      </c>
      <c r="B2758" s="138" t="s">
        <v>337</v>
      </c>
    </row>
    <row r="2759" spans="1:2" x14ac:dyDescent="0.25">
      <c r="A2759" s="20" t="s">
        <v>6221</v>
      </c>
      <c r="B2759" s="20" t="s">
        <v>337</v>
      </c>
    </row>
    <row r="2760" spans="1:2" x14ac:dyDescent="0.25">
      <c r="A2760" s="138" t="s">
        <v>6221</v>
      </c>
      <c r="B2760" s="138" t="s">
        <v>337</v>
      </c>
    </row>
    <row r="2761" spans="1:2" x14ac:dyDescent="0.25">
      <c r="A2761" s="20" t="s">
        <v>6221</v>
      </c>
      <c r="B2761" s="20" t="s">
        <v>337</v>
      </c>
    </row>
    <row r="2762" spans="1:2" x14ac:dyDescent="0.25">
      <c r="A2762" s="138" t="s">
        <v>6221</v>
      </c>
      <c r="B2762" s="138" t="s">
        <v>337</v>
      </c>
    </row>
    <row r="2763" spans="1:2" x14ac:dyDescent="0.25">
      <c r="A2763" s="20" t="s">
        <v>6221</v>
      </c>
      <c r="B2763" s="20" t="s">
        <v>337</v>
      </c>
    </row>
    <row r="2764" spans="1:2" x14ac:dyDescent="0.25">
      <c r="A2764" s="138" t="s">
        <v>6221</v>
      </c>
      <c r="B2764" s="138" t="s">
        <v>337</v>
      </c>
    </row>
    <row r="2765" spans="1:2" x14ac:dyDescent="0.25">
      <c r="A2765" s="20" t="s">
        <v>6221</v>
      </c>
      <c r="B2765" s="20" t="s">
        <v>337</v>
      </c>
    </row>
    <row r="2766" spans="1:2" x14ac:dyDescent="0.25">
      <c r="A2766" s="138" t="s">
        <v>6221</v>
      </c>
      <c r="B2766" s="138" t="s">
        <v>337</v>
      </c>
    </row>
    <row r="2767" spans="1:2" x14ac:dyDescent="0.25">
      <c r="A2767" s="20" t="s">
        <v>6221</v>
      </c>
      <c r="B2767" s="20" t="s">
        <v>337</v>
      </c>
    </row>
    <row r="2768" spans="1:2" x14ac:dyDescent="0.25">
      <c r="A2768" s="138" t="s">
        <v>6221</v>
      </c>
      <c r="B2768" s="138" t="s">
        <v>337</v>
      </c>
    </row>
    <row r="2769" spans="1:2" x14ac:dyDescent="0.25">
      <c r="A2769" s="20" t="s">
        <v>6221</v>
      </c>
      <c r="B2769" s="20" t="s">
        <v>337</v>
      </c>
    </row>
    <row r="2770" spans="1:2" x14ac:dyDescent="0.25">
      <c r="A2770" s="138" t="s">
        <v>6221</v>
      </c>
      <c r="B2770" s="138" t="s">
        <v>337</v>
      </c>
    </row>
    <row r="2771" spans="1:2" x14ac:dyDescent="0.25">
      <c r="A2771" s="20" t="s">
        <v>6221</v>
      </c>
      <c r="B2771" s="20" t="s">
        <v>337</v>
      </c>
    </row>
    <row r="2772" spans="1:2" x14ac:dyDescent="0.25">
      <c r="A2772" s="138" t="s">
        <v>6221</v>
      </c>
      <c r="B2772" s="138" t="s">
        <v>337</v>
      </c>
    </row>
    <row r="2773" spans="1:2" x14ac:dyDescent="0.25">
      <c r="A2773" s="20" t="s">
        <v>6221</v>
      </c>
      <c r="B2773" s="20" t="s">
        <v>337</v>
      </c>
    </row>
    <row r="2774" spans="1:2" x14ac:dyDescent="0.25">
      <c r="A2774" s="138">
        <v>16</v>
      </c>
      <c r="B2774" s="138" t="s">
        <v>417</v>
      </c>
    </row>
    <row r="2775" spans="1:2" x14ac:dyDescent="0.25">
      <c r="A2775" s="20">
        <v>16</v>
      </c>
      <c r="B2775" s="20" t="s">
        <v>417</v>
      </c>
    </row>
    <row r="2776" spans="1:2" x14ac:dyDescent="0.25">
      <c r="A2776" s="138">
        <v>23</v>
      </c>
      <c r="B2776" s="138">
        <v>275</v>
      </c>
    </row>
    <row r="2777" spans="1:2" x14ac:dyDescent="0.25">
      <c r="A2777" s="20" t="s">
        <v>6229</v>
      </c>
      <c r="B2777" s="20" t="s">
        <v>1726</v>
      </c>
    </row>
    <row r="2778" spans="1:2" x14ac:dyDescent="0.25">
      <c r="A2778" s="138" t="s">
        <v>6229</v>
      </c>
      <c r="B2778" s="138" t="s">
        <v>1726</v>
      </c>
    </row>
    <row r="2779" spans="1:2" x14ac:dyDescent="0.25">
      <c r="A2779" s="20" t="s">
        <v>6229</v>
      </c>
      <c r="B2779" s="20" t="s">
        <v>1726</v>
      </c>
    </row>
    <row r="2780" spans="1:2" x14ac:dyDescent="0.25">
      <c r="A2780" s="138" t="s">
        <v>6235</v>
      </c>
      <c r="B2780" s="138" t="s">
        <v>1548</v>
      </c>
    </row>
    <row r="2781" spans="1:2" x14ac:dyDescent="0.25">
      <c r="A2781" s="20" t="s">
        <v>6235</v>
      </c>
      <c r="B2781" s="20" t="s">
        <v>1548</v>
      </c>
    </row>
    <row r="2782" spans="1:2" x14ac:dyDescent="0.25">
      <c r="A2782" s="20" t="s">
        <v>6235</v>
      </c>
      <c r="B2782" s="20" t="s">
        <v>1548</v>
      </c>
    </row>
    <row r="2783" spans="1:2" x14ac:dyDescent="0.25">
      <c r="A2783" s="138" t="s">
        <v>6235</v>
      </c>
      <c r="B2783" s="138" t="s">
        <v>1548</v>
      </c>
    </row>
    <row r="2784" spans="1:2" x14ac:dyDescent="0.25">
      <c r="A2784" s="20" t="s">
        <v>6235</v>
      </c>
      <c r="B2784" s="20" t="s">
        <v>1548</v>
      </c>
    </row>
    <row r="2785" spans="1:2" x14ac:dyDescent="0.25">
      <c r="A2785" s="138" t="s">
        <v>6235</v>
      </c>
      <c r="B2785" s="138" t="s">
        <v>1548</v>
      </c>
    </row>
    <row r="2786" spans="1:2" x14ac:dyDescent="0.25">
      <c r="A2786" s="20" t="s">
        <v>6235</v>
      </c>
      <c r="B2786" s="20" t="s">
        <v>1548</v>
      </c>
    </row>
    <row r="2787" spans="1:2" x14ac:dyDescent="0.25">
      <c r="A2787" s="138" t="s">
        <v>6235</v>
      </c>
      <c r="B2787" s="138" t="s">
        <v>1548</v>
      </c>
    </row>
    <row r="2788" spans="1:2" x14ac:dyDescent="0.25">
      <c r="A2788" s="20" t="s">
        <v>6235</v>
      </c>
      <c r="B2788" s="20" t="s">
        <v>1548</v>
      </c>
    </row>
    <row r="2789" spans="1:2" x14ac:dyDescent="0.25">
      <c r="A2789" s="138" t="s">
        <v>6235</v>
      </c>
      <c r="B2789" s="138" t="s">
        <v>1548</v>
      </c>
    </row>
    <row r="2790" spans="1:2" x14ac:dyDescent="0.25">
      <c r="A2790" s="20" t="s">
        <v>6235</v>
      </c>
      <c r="B2790" s="20" t="s">
        <v>1548</v>
      </c>
    </row>
    <row r="2791" spans="1:2" x14ac:dyDescent="0.25">
      <c r="A2791" s="138" t="s">
        <v>6235</v>
      </c>
      <c r="B2791" s="138" t="s">
        <v>1548</v>
      </c>
    </row>
    <row r="2792" spans="1:2" x14ac:dyDescent="0.25">
      <c r="A2792" s="20" t="s">
        <v>6235</v>
      </c>
      <c r="B2792" s="20" t="s">
        <v>1548</v>
      </c>
    </row>
    <row r="2793" spans="1:2" x14ac:dyDescent="0.25">
      <c r="A2793" s="138" t="s">
        <v>6235</v>
      </c>
      <c r="B2793" s="138" t="s">
        <v>1548</v>
      </c>
    </row>
    <row r="2794" spans="1:2" x14ac:dyDescent="0.25">
      <c r="A2794" s="20" t="s">
        <v>6235</v>
      </c>
      <c r="B2794" s="20" t="s">
        <v>1548</v>
      </c>
    </row>
    <row r="2795" spans="1:2" x14ac:dyDescent="0.25">
      <c r="A2795" s="138" t="s">
        <v>6235</v>
      </c>
      <c r="B2795" s="138" t="s">
        <v>1548</v>
      </c>
    </row>
    <row r="2796" spans="1:2" x14ac:dyDescent="0.25">
      <c r="A2796" s="20" t="s">
        <v>6235</v>
      </c>
      <c r="B2796" s="20" t="s">
        <v>1548</v>
      </c>
    </row>
    <row r="2797" spans="1:2" x14ac:dyDescent="0.25">
      <c r="A2797" s="20" t="s">
        <v>6235</v>
      </c>
      <c r="B2797" s="20" t="s">
        <v>1548</v>
      </c>
    </row>
    <row r="2798" spans="1:2" x14ac:dyDescent="0.25">
      <c r="A2798" s="20" t="s">
        <v>6235</v>
      </c>
      <c r="B2798" s="20" t="s">
        <v>1548</v>
      </c>
    </row>
    <row r="2799" spans="1:2" x14ac:dyDescent="0.25">
      <c r="A2799" s="138" t="s">
        <v>6235</v>
      </c>
      <c r="B2799" s="138" t="s">
        <v>1548</v>
      </c>
    </row>
    <row r="2800" spans="1:2" x14ac:dyDescent="0.25">
      <c r="A2800" s="20" t="s">
        <v>6235</v>
      </c>
      <c r="B2800" s="20" t="s">
        <v>1548</v>
      </c>
    </row>
    <row r="2801" spans="1:2" x14ac:dyDescent="0.25">
      <c r="A2801" s="138" t="s">
        <v>6235</v>
      </c>
      <c r="B2801" s="138" t="s">
        <v>1548</v>
      </c>
    </row>
    <row r="2802" spans="1:2" x14ac:dyDescent="0.25">
      <c r="A2802" s="20" t="s">
        <v>6235</v>
      </c>
      <c r="B2802" s="20" t="s">
        <v>1548</v>
      </c>
    </row>
    <row r="2803" spans="1:2" x14ac:dyDescent="0.25">
      <c r="A2803" s="138" t="s">
        <v>6235</v>
      </c>
      <c r="B2803" s="138" t="s">
        <v>1548</v>
      </c>
    </row>
    <row r="2804" spans="1:2" x14ac:dyDescent="0.25">
      <c r="A2804" s="20" t="s">
        <v>6235</v>
      </c>
      <c r="B2804" s="20" t="s">
        <v>1548</v>
      </c>
    </row>
    <row r="2805" spans="1:2" x14ac:dyDescent="0.25">
      <c r="A2805" s="138" t="s">
        <v>6235</v>
      </c>
      <c r="B2805" s="138" t="s">
        <v>1548</v>
      </c>
    </row>
    <row r="2806" spans="1:2" x14ac:dyDescent="0.25">
      <c r="A2806" s="20" t="s">
        <v>6235</v>
      </c>
      <c r="B2806" s="20" t="s">
        <v>1548</v>
      </c>
    </row>
    <row r="2807" spans="1:2" x14ac:dyDescent="0.25">
      <c r="A2807" s="20" t="s">
        <v>6235</v>
      </c>
      <c r="B2807" s="20" t="s">
        <v>1548</v>
      </c>
    </row>
    <row r="2808" spans="1:2" x14ac:dyDescent="0.25">
      <c r="A2808" s="138" t="s">
        <v>6235</v>
      </c>
      <c r="B2808" s="138" t="s">
        <v>1548</v>
      </c>
    </row>
    <row r="2809" spans="1:2" x14ac:dyDescent="0.25">
      <c r="A2809" s="20" t="s">
        <v>6235</v>
      </c>
      <c r="B2809" s="20" t="s">
        <v>1548</v>
      </c>
    </row>
    <row r="2810" spans="1:2" x14ac:dyDescent="0.25">
      <c r="A2810" s="20" t="s">
        <v>6235</v>
      </c>
      <c r="B2810" s="20" t="s">
        <v>1548</v>
      </c>
    </row>
    <row r="2811" spans="1:2" x14ac:dyDescent="0.25">
      <c r="A2811" s="138" t="s">
        <v>6235</v>
      </c>
      <c r="B2811" s="138" t="s">
        <v>1548</v>
      </c>
    </row>
    <row r="2812" spans="1:2" x14ac:dyDescent="0.25">
      <c r="A2812" s="20" t="s">
        <v>6235</v>
      </c>
      <c r="B2812" s="20" t="s">
        <v>1548</v>
      </c>
    </row>
    <row r="2813" spans="1:2" x14ac:dyDescent="0.25">
      <c r="A2813" s="138" t="s">
        <v>6235</v>
      </c>
      <c r="B2813" s="138" t="s">
        <v>1548</v>
      </c>
    </row>
    <row r="2814" spans="1:2" x14ac:dyDescent="0.25">
      <c r="A2814" s="20" t="s">
        <v>6235</v>
      </c>
      <c r="B2814" s="20" t="s">
        <v>1548</v>
      </c>
    </row>
    <row r="2815" spans="1:2" x14ac:dyDescent="0.25">
      <c r="A2815" s="138" t="s">
        <v>6235</v>
      </c>
      <c r="B2815" s="138" t="s">
        <v>1548</v>
      </c>
    </row>
    <row r="2816" spans="1:2" x14ac:dyDescent="0.25">
      <c r="A2816" s="20" t="s">
        <v>6235</v>
      </c>
      <c r="B2816" s="20" t="s">
        <v>1548</v>
      </c>
    </row>
    <row r="2817" spans="1:2" x14ac:dyDescent="0.25">
      <c r="A2817" s="138" t="s">
        <v>6235</v>
      </c>
      <c r="B2817" s="138" t="s">
        <v>1548</v>
      </c>
    </row>
    <row r="2818" spans="1:2" x14ac:dyDescent="0.25">
      <c r="A2818" s="20" t="s">
        <v>6235</v>
      </c>
      <c r="B2818" s="20" t="s">
        <v>1548</v>
      </c>
    </row>
    <row r="2819" spans="1:2" x14ac:dyDescent="0.25">
      <c r="A2819" s="138" t="s">
        <v>6235</v>
      </c>
      <c r="B2819" s="138" t="s">
        <v>1548</v>
      </c>
    </row>
    <row r="2820" spans="1:2" x14ac:dyDescent="0.25">
      <c r="A2820" s="20" t="s">
        <v>6235</v>
      </c>
      <c r="B2820" s="20" t="s">
        <v>1548</v>
      </c>
    </row>
    <row r="2821" spans="1:2" x14ac:dyDescent="0.25">
      <c r="A2821" s="138" t="s">
        <v>6235</v>
      </c>
      <c r="B2821" s="138" t="s">
        <v>1548</v>
      </c>
    </row>
    <row r="2822" spans="1:2" x14ac:dyDescent="0.25">
      <c r="A2822" s="20" t="s">
        <v>6235</v>
      </c>
      <c r="B2822" s="20" t="s">
        <v>1548</v>
      </c>
    </row>
    <row r="2823" spans="1:2" x14ac:dyDescent="0.25">
      <c r="A2823" s="138" t="s">
        <v>6235</v>
      </c>
      <c r="B2823" s="138" t="s">
        <v>1548</v>
      </c>
    </row>
    <row r="2824" spans="1:2" x14ac:dyDescent="0.25">
      <c r="A2824" s="20" t="s">
        <v>6235</v>
      </c>
      <c r="B2824" s="20" t="s">
        <v>1548</v>
      </c>
    </row>
    <row r="2825" spans="1:2" x14ac:dyDescent="0.25">
      <c r="A2825" s="138" t="s">
        <v>6235</v>
      </c>
      <c r="B2825" s="138" t="s">
        <v>1548</v>
      </c>
    </row>
    <row r="2826" spans="1:2" x14ac:dyDescent="0.25">
      <c r="A2826" s="20" t="s">
        <v>6235</v>
      </c>
      <c r="B2826" s="20" t="s">
        <v>1548</v>
      </c>
    </row>
    <row r="2827" spans="1:2" x14ac:dyDescent="0.25">
      <c r="A2827" s="138" t="s">
        <v>6235</v>
      </c>
      <c r="B2827" s="138" t="s">
        <v>1548</v>
      </c>
    </row>
    <row r="2828" spans="1:2" x14ac:dyDescent="0.25">
      <c r="A2828" s="20" t="s">
        <v>6235</v>
      </c>
      <c r="B2828" s="20" t="s">
        <v>1548</v>
      </c>
    </row>
    <row r="2829" spans="1:2" x14ac:dyDescent="0.25">
      <c r="A2829" s="138" t="s">
        <v>6235</v>
      </c>
      <c r="B2829" s="138" t="s">
        <v>1548</v>
      </c>
    </row>
    <row r="2830" spans="1:2" x14ac:dyDescent="0.25">
      <c r="A2830" s="20" t="s">
        <v>6235</v>
      </c>
      <c r="B2830" s="20" t="s">
        <v>1548</v>
      </c>
    </row>
    <row r="2831" spans="1:2" x14ac:dyDescent="0.25">
      <c r="A2831" s="138" t="s">
        <v>6235</v>
      </c>
      <c r="B2831" s="138" t="s">
        <v>1548</v>
      </c>
    </row>
    <row r="2832" spans="1:2" x14ac:dyDescent="0.25">
      <c r="A2832" s="20" t="s">
        <v>6235</v>
      </c>
      <c r="B2832" s="20" t="s">
        <v>1548</v>
      </c>
    </row>
    <row r="2833" spans="1:2" x14ac:dyDescent="0.25">
      <c r="A2833" s="138" t="s">
        <v>6235</v>
      </c>
      <c r="B2833" s="138" t="s">
        <v>1548</v>
      </c>
    </row>
    <row r="2834" spans="1:2" x14ac:dyDescent="0.25">
      <c r="A2834" s="20" t="s">
        <v>6235</v>
      </c>
      <c r="B2834" s="20" t="s">
        <v>1548</v>
      </c>
    </row>
    <row r="2835" spans="1:2" x14ac:dyDescent="0.25">
      <c r="A2835" s="138" t="s">
        <v>6235</v>
      </c>
      <c r="B2835" s="138" t="s">
        <v>1548</v>
      </c>
    </row>
    <row r="2836" spans="1:2" x14ac:dyDescent="0.25">
      <c r="A2836" s="20" t="s">
        <v>6235</v>
      </c>
      <c r="B2836" s="20" t="s">
        <v>1548</v>
      </c>
    </row>
    <row r="2837" spans="1:2" x14ac:dyDescent="0.25">
      <c r="A2837" s="138" t="s">
        <v>6235</v>
      </c>
      <c r="B2837" s="138" t="s">
        <v>1548</v>
      </c>
    </row>
    <row r="2838" spans="1:2" x14ac:dyDescent="0.25">
      <c r="A2838" s="20" t="s">
        <v>6235</v>
      </c>
      <c r="B2838" s="20" t="s">
        <v>1548</v>
      </c>
    </row>
    <row r="2839" spans="1:2" x14ac:dyDescent="0.25">
      <c r="A2839" s="138" t="s">
        <v>6235</v>
      </c>
      <c r="B2839" s="138" t="s">
        <v>1548</v>
      </c>
    </row>
    <row r="2840" spans="1:2" x14ac:dyDescent="0.25">
      <c r="A2840" s="20" t="s">
        <v>6235</v>
      </c>
      <c r="B2840" s="20" t="s">
        <v>1548</v>
      </c>
    </row>
    <row r="2841" spans="1:2" x14ac:dyDescent="0.25">
      <c r="A2841" s="138" t="s">
        <v>6235</v>
      </c>
      <c r="B2841" s="138" t="s">
        <v>1548</v>
      </c>
    </row>
    <row r="2842" spans="1:2" x14ac:dyDescent="0.25">
      <c r="A2842" s="20" t="s">
        <v>6235</v>
      </c>
      <c r="B2842" s="20" t="s">
        <v>1548</v>
      </c>
    </row>
    <row r="2843" spans="1:2" x14ac:dyDescent="0.25">
      <c r="A2843" s="138" t="s">
        <v>6235</v>
      </c>
      <c r="B2843" s="138" t="s">
        <v>1548</v>
      </c>
    </row>
    <row r="2844" spans="1:2" x14ac:dyDescent="0.25">
      <c r="A2844" s="20" t="s">
        <v>6235</v>
      </c>
      <c r="B2844" s="20" t="s">
        <v>1548</v>
      </c>
    </row>
    <row r="2845" spans="1:2" x14ac:dyDescent="0.25">
      <c r="A2845" s="138" t="s">
        <v>6235</v>
      </c>
      <c r="B2845" s="138" t="s">
        <v>1548</v>
      </c>
    </row>
    <row r="2846" spans="1:2" x14ac:dyDescent="0.25">
      <c r="A2846" s="20" t="s">
        <v>6235</v>
      </c>
      <c r="B2846" s="20" t="s">
        <v>1548</v>
      </c>
    </row>
    <row r="2847" spans="1:2" x14ac:dyDescent="0.25">
      <c r="A2847" s="20" t="s">
        <v>6235</v>
      </c>
      <c r="B2847" s="20" t="s">
        <v>1548</v>
      </c>
    </row>
    <row r="2848" spans="1:2" x14ac:dyDescent="0.25">
      <c r="A2848" s="138" t="s">
        <v>6235</v>
      </c>
      <c r="B2848" s="138" t="s">
        <v>1548</v>
      </c>
    </row>
    <row r="2849" spans="1:2" x14ac:dyDescent="0.25">
      <c r="A2849" s="20" t="s">
        <v>6235</v>
      </c>
      <c r="B2849" s="20" t="s">
        <v>1548</v>
      </c>
    </row>
    <row r="2850" spans="1:2" x14ac:dyDescent="0.25">
      <c r="A2850" s="138" t="s">
        <v>6235</v>
      </c>
      <c r="B2850" s="138" t="s">
        <v>1548</v>
      </c>
    </row>
    <row r="2851" spans="1:2" x14ac:dyDescent="0.25">
      <c r="A2851" s="20" t="s">
        <v>6235</v>
      </c>
      <c r="B2851" s="20" t="s">
        <v>1548</v>
      </c>
    </row>
    <row r="2852" spans="1:2" x14ac:dyDescent="0.25">
      <c r="A2852" s="138" t="s">
        <v>6235</v>
      </c>
      <c r="B2852" s="138" t="s">
        <v>1548</v>
      </c>
    </row>
    <row r="2853" spans="1:2" x14ac:dyDescent="0.25">
      <c r="A2853" s="20" t="s">
        <v>6235</v>
      </c>
      <c r="B2853" s="20" t="s">
        <v>1548</v>
      </c>
    </row>
    <row r="2854" spans="1:2" x14ac:dyDescent="0.25">
      <c r="A2854" s="138" t="s">
        <v>6235</v>
      </c>
      <c r="B2854" s="138" t="s">
        <v>1548</v>
      </c>
    </row>
    <row r="2855" spans="1:2" x14ac:dyDescent="0.25">
      <c r="A2855" s="20" t="s">
        <v>6235</v>
      </c>
      <c r="B2855" s="20" t="s">
        <v>1548</v>
      </c>
    </row>
    <row r="2856" spans="1:2" x14ac:dyDescent="0.25">
      <c r="A2856" s="138" t="s">
        <v>6235</v>
      </c>
      <c r="B2856" s="138" t="s">
        <v>1548</v>
      </c>
    </row>
    <row r="2857" spans="1:2" x14ac:dyDescent="0.25">
      <c r="A2857" s="20" t="s">
        <v>6235</v>
      </c>
      <c r="B2857" s="20" t="s">
        <v>1548</v>
      </c>
    </row>
    <row r="2858" spans="1:2" x14ac:dyDescent="0.25">
      <c r="A2858" s="138" t="s">
        <v>6235</v>
      </c>
      <c r="B2858" s="138" t="s">
        <v>1548</v>
      </c>
    </row>
    <row r="2859" spans="1:2" x14ac:dyDescent="0.25">
      <c r="A2859" s="20" t="s">
        <v>6235</v>
      </c>
      <c r="B2859" s="20" t="s">
        <v>1548</v>
      </c>
    </row>
    <row r="2860" spans="1:2" x14ac:dyDescent="0.25">
      <c r="A2860" s="138" t="s">
        <v>6235</v>
      </c>
      <c r="B2860" s="138" t="s">
        <v>1548</v>
      </c>
    </row>
    <row r="2861" spans="1:2" x14ac:dyDescent="0.25">
      <c r="A2861" s="138" t="s">
        <v>6235</v>
      </c>
      <c r="B2861" s="138" t="s">
        <v>1548</v>
      </c>
    </row>
    <row r="2862" spans="1:2" x14ac:dyDescent="0.25">
      <c r="A2862" s="20" t="s">
        <v>6235</v>
      </c>
      <c r="B2862" s="20" t="s">
        <v>1548</v>
      </c>
    </row>
    <row r="2863" spans="1:2" x14ac:dyDescent="0.25">
      <c r="A2863" s="138" t="s">
        <v>6235</v>
      </c>
      <c r="B2863" s="138" t="s">
        <v>1548</v>
      </c>
    </row>
    <row r="2864" spans="1:2" x14ac:dyDescent="0.25">
      <c r="A2864" s="20" t="s">
        <v>6235</v>
      </c>
      <c r="B2864" s="20" t="s">
        <v>1548</v>
      </c>
    </row>
    <row r="2865" spans="1:2" x14ac:dyDescent="0.25">
      <c r="A2865" s="138" t="s">
        <v>6235</v>
      </c>
      <c r="B2865" s="138" t="s">
        <v>1548</v>
      </c>
    </row>
    <row r="2866" spans="1:2" x14ac:dyDescent="0.25">
      <c r="A2866" s="20" t="s">
        <v>6235</v>
      </c>
      <c r="B2866" s="20" t="s">
        <v>1548</v>
      </c>
    </row>
    <row r="2867" spans="1:2" x14ac:dyDescent="0.25">
      <c r="A2867" s="138" t="s">
        <v>6235</v>
      </c>
      <c r="B2867" s="138" t="s">
        <v>1548</v>
      </c>
    </row>
    <row r="2868" spans="1:2" x14ac:dyDescent="0.25">
      <c r="A2868" s="20" t="s">
        <v>6235</v>
      </c>
      <c r="B2868" s="20" t="s">
        <v>1548</v>
      </c>
    </row>
    <row r="2869" spans="1:2" x14ac:dyDescent="0.25">
      <c r="A2869" s="20" t="s">
        <v>6235</v>
      </c>
      <c r="B2869" s="20" t="s">
        <v>1548</v>
      </c>
    </row>
    <row r="2870" spans="1:2" x14ac:dyDescent="0.25">
      <c r="A2870" s="138" t="s">
        <v>6235</v>
      </c>
      <c r="B2870" s="138" t="s">
        <v>1548</v>
      </c>
    </row>
    <row r="2871" spans="1:2" x14ac:dyDescent="0.25">
      <c r="A2871" s="138" t="s">
        <v>6235</v>
      </c>
      <c r="B2871" s="138" t="s">
        <v>1548</v>
      </c>
    </row>
    <row r="2872" spans="1:2" x14ac:dyDescent="0.25">
      <c r="A2872" s="20" t="s">
        <v>6235</v>
      </c>
      <c r="B2872" s="20" t="s">
        <v>1548</v>
      </c>
    </row>
    <row r="2873" spans="1:2" x14ac:dyDescent="0.25">
      <c r="A2873" s="138" t="s">
        <v>6235</v>
      </c>
      <c r="B2873" s="138" t="s">
        <v>1548</v>
      </c>
    </row>
    <row r="2874" spans="1:2" x14ac:dyDescent="0.25">
      <c r="A2874" s="20" t="s">
        <v>6235</v>
      </c>
      <c r="B2874" s="20" t="s">
        <v>1548</v>
      </c>
    </row>
    <row r="2875" spans="1:2" x14ac:dyDescent="0.25">
      <c r="A2875" s="138" t="s">
        <v>6235</v>
      </c>
      <c r="B2875" s="138" t="s">
        <v>1548</v>
      </c>
    </row>
    <row r="2876" spans="1:2" x14ac:dyDescent="0.25">
      <c r="A2876" s="20" t="s">
        <v>6235</v>
      </c>
      <c r="B2876" s="20" t="s">
        <v>1548</v>
      </c>
    </row>
    <row r="2877" spans="1:2" x14ac:dyDescent="0.25">
      <c r="A2877" s="138" t="s">
        <v>6235</v>
      </c>
      <c r="B2877" s="138" t="s">
        <v>1548</v>
      </c>
    </row>
    <row r="2878" spans="1:2" x14ac:dyDescent="0.25">
      <c r="A2878" s="20" t="s">
        <v>6235</v>
      </c>
      <c r="B2878" s="20" t="s">
        <v>1548</v>
      </c>
    </row>
    <row r="2879" spans="1:2" x14ac:dyDescent="0.25">
      <c r="A2879" s="138" t="s">
        <v>6235</v>
      </c>
      <c r="B2879" s="138" t="s">
        <v>1548</v>
      </c>
    </row>
    <row r="2880" spans="1:2" x14ac:dyDescent="0.25">
      <c r="A2880" s="20" t="s">
        <v>6235</v>
      </c>
      <c r="B2880" s="20" t="s">
        <v>1548</v>
      </c>
    </row>
    <row r="2881" spans="1:2" x14ac:dyDescent="0.25">
      <c r="A2881" s="138" t="s">
        <v>6235</v>
      </c>
      <c r="B2881" s="138" t="s">
        <v>1548</v>
      </c>
    </row>
    <row r="2882" spans="1:2" x14ac:dyDescent="0.25">
      <c r="A2882" s="138" t="s">
        <v>6235</v>
      </c>
      <c r="B2882" s="138" t="s">
        <v>1548</v>
      </c>
    </row>
    <row r="2883" spans="1:2" x14ac:dyDescent="0.25">
      <c r="A2883" s="20" t="s">
        <v>6235</v>
      </c>
      <c r="B2883" s="20" t="s">
        <v>1548</v>
      </c>
    </row>
    <row r="2884" spans="1:2" x14ac:dyDescent="0.25">
      <c r="A2884" s="138" t="s">
        <v>6235</v>
      </c>
      <c r="B2884" s="138" t="s">
        <v>1548</v>
      </c>
    </row>
    <row r="2885" spans="1:2" x14ac:dyDescent="0.25">
      <c r="A2885" s="138" t="s">
        <v>6235</v>
      </c>
      <c r="B2885" s="138" t="s">
        <v>1548</v>
      </c>
    </row>
    <row r="2886" spans="1:2" x14ac:dyDescent="0.25">
      <c r="A2886" s="20" t="s">
        <v>6235</v>
      </c>
      <c r="B2886" s="20" t="s">
        <v>1548</v>
      </c>
    </row>
    <row r="2887" spans="1:2" x14ac:dyDescent="0.25">
      <c r="A2887" s="138" t="s">
        <v>6235</v>
      </c>
      <c r="B2887" s="138" t="s">
        <v>1548</v>
      </c>
    </row>
    <row r="2888" spans="1:2" x14ac:dyDescent="0.25">
      <c r="A2888" s="20" t="s">
        <v>6235</v>
      </c>
      <c r="B2888" s="20" t="s">
        <v>1548</v>
      </c>
    </row>
    <row r="2889" spans="1:2" x14ac:dyDescent="0.25">
      <c r="A2889" s="138" t="s">
        <v>6235</v>
      </c>
      <c r="B2889" s="138" t="s">
        <v>1548</v>
      </c>
    </row>
    <row r="2890" spans="1:2" x14ac:dyDescent="0.25">
      <c r="A2890" s="20" t="s">
        <v>6235</v>
      </c>
      <c r="B2890" s="20" t="s">
        <v>1548</v>
      </c>
    </row>
    <row r="2891" spans="1:2" x14ac:dyDescent="0.25">
      <c r="A2891" s="138" t="s">
        <v>6235</v>
      </c>
      <c r="B2891" s="138" t="s">
        <v>1548</v>
      </c>
    </row>
    <row r="2892" spans="1:2" x14ac:dyDescent="0.25">
      <c r="A2892" s="20" t="s">
        <v>6235</v>
      </c>
      <c r="B2892" s="20" t="s">
        <v>1548</v>
      </c>
    </row>
    <row r="2893" spans="1:2" x14ac:dyDescent="0.25">
      <c r="A2893" s="138" t="s">
        <v>6235</v>
      </c>
      <c r="B2893" s="138" t="s">
        <v>1548</v>
      </c>
    </row>
    <row r="2894" spans="1:2" x14ac:dyDescent="0.25">
      <c r="A2894" s="20" t="s">
        <v>6235</v>
      </c>
      <c r="B2894" s="20" t="s">
        <v>1548</v>
      </c>
    </row>
    <row r="2895" spans="1:2" x14ac:dyDescent="0.25">
      <c r="A2895" s="138" t="s">
        <v>6235</v>
      </c>
      <c r="B2895" s="138" t="s">
        <v>1548</v>
      </c>
    </row>
    <row r="2896" spans="1:2" x14ac:dyDescent="0.25">
      <c r="A2896" s="20" t="s">
        <v>6235</v>
      </c>
      <c r="B2896" s="20" t="s">
        <v>1548</v>
      </c>
    </row>
    <row r="2897" spans="1:2" x14ac:dyDescent="0.25">
      <c r="A2897" s="138" t="s">
        <v>6235</v>
      </c>
      <c r="B2897" s="138" t="s">
        <v>1548</v>
      </c>
    </row>
    <row r="2898" spans="1:2" x14ac:dyDescent="0.25">
      <c r="A2898" s="20">
        <v>115</v>
      </c>
      <c r="B2898" s="20" t="s">
        <v>2003</v>
      </c>
    </row>
    <row r="2899" spans="1:2" x14ac:dyDescent="0.25">
      <c r="A2899" s="138">
        <v>115</v>
      </c>
      <c r="B2899" s="138" t="s">
        <v>2003</v>
      </c>
    </row>
    <row r="2900" spans="1:2" x14ac:dyDescent="0.25">
      <c r="A2900" s="20">
        <v>115</v>
      </c>
      <c r="B2900" s="20" t="s">
        <v>2003</v>
      </c>
    </row>
    <row r="2901" spans="1:2" x14ac:dyDescent="0.25">
      <c r="A2901" s="138">
        <v>115</v>
      </c>
      <c r="B2901" s="138" t="s">
        <v>2003</v>
      </c>
    </row>
    <row r="2902" spans="1:2" x14ac:dyDescent="0.25">
      <c r="A2902" s="20">
        <v>115</v>
      </c>
      <c r="B2902" s="20" t="s">
        <v>2003</v>
      </c>
    </row>
    <row r="2903" spans="1:2" x14ac:dyDescent="0.25">
      <c r="A2903" s="138">
        <v>199</v>
      </c>
      <c r="B2903" s="138" t="s">
        <v>1275</v>
      </c>
    </row>
    <row r="2904" spans="1:2" x14ac:dyDescent="0.25">
      <c r="A2904" s="20">
        <v>234</v>
      </c>
      <c r="B2904" s="20" t="s">
        <v>206</v>
      </c>
    </row>
    <row r="2905" spans="1:2" x14ac:dyDescent="0.25">
      <c r="A2905" s="138">
        <v>234</v>
      </c>
      <c r="B2905" s="138" t="s">
        <v>206</v>
      </c>
    </row>
    <row r="2906" spans="1:2" x14ac:dyDescent="0.25">
      <c r="A2906" s="20">
        <v>109</v>
      </c>
      <c r="B2906" s="20" t="s">
        <v>1346</v>
      </c>
    </row>
    <row r="2907" spans="1:2" x14ac:dyDescent="0.25">
      <c r="A2907" s="138">
        <v>109</v>
      </c>
      <c r="B2907" s="138" t="s">
        <v>1346</v>
      </c>
    </row>
    <row r="2908" spans="1:2" x14ac:dyDescent="0.25">
      <c r="A2908" s="20">
        <v>109</v>
      </c>
      <c r="B2908" s="20" t="s">
        <v>1346</v>
      </c>
    </row>
    <row r="2909" spans="1:2" x14ac:dyDescent="0.25">
      <c r="A2909" s="138">
        <v>96</v>
      </c>
      <c r="B2909" s="138" t="s">
        <v>1275</v>
      </c>
    </row>
    <row r="2910" spans="1:2" x14ac:dyDescent="0.25">
      <c r="A2910" s="20">
        <v>96</v>
      </c>
      <c r="B2910" s="20" t="s">
        <v>1275</v>
      </c>
    </row>
    <row r="2911" spans="1:2" x14ac:dyDescent="0.25">
      <c r="A2911" s="138">
        <v>96</v>
      </c>
      <c r="B2911" s="138" t="s">
        <v>1275</v>
      </c>
    </row>
    <row r="2912" spans="1:2" x14ac:dyDescent="0.25">
      <c r="A2912" s="20">
        <v>96</v>
      </c>
      <c r="B2912" s="20" t="s">
        <v>1275</v>
      </c>
    </row>
    <row r="2913" spans="1:2" x14ac:dyDescent="0.25">
      <c r="A2913" s="138">
        <v>96</v>
      </c>
      <c r="B2913" s="138" t="s">
        <v>1275</v>
      </c>
    </row>
    <row r="2914" spans="1:2" x14ac:dyDescent="0.25">
      <c r="A2914" s="20">
        <v>96</v>
      </c>
      <c r="B2914" s="20" t="s">
        <v>1275</v>
      </c>
    </row>
    <row r="2915" spans="1:2" x14ac:dyDescent="0.25">
      <c r="A2915" s="138">
        <v>18</v>
      </c>
      <c r="B2915" s="138" t="s">
        <v>1289</v>
      </c>
    </row>
    <row r="2916" spans="1:2" x14ac:dyDescent="0.25">
      <c r="A2916" s="20">
        <v>18</v>
      </c>
      <c r="B2916" s="20" t="s">
        <v>1289</v>
      </c>
    </row>
    <row r="2917" spans="1:2" x14ac:dyDescent="0.25">
      <c r="A2917" s="138">
        <v>18</v>
      </c>
      <c r="B2917" s="138" t="s">
        <v>1289</v>
      </c>
    </row>
    <row r="2918" spans="1:2" x14ac:dyDescent="0.25">
      <c r="A2918" s="20">
        <v>18</v>
      </c>
      <c r="B2918" s="20" t="s">
        <v>1289</v>
      </c>
    </row>
    <row r="2919" spans="1:2" x14ac:dyDescent="0.25">
      <c r="A2919" s="138">
        <v>18</v>
      </c>
      <c r="B2919" s="138" t="s">
        <v>1289</v>
      </c>
    </row>
    <row r="2920" spans="1:2" x14ac:dyDescent="0.25">
      <c r="A2920" s="20">
        <v>16</v>
      </c>
      <c r="B2920" s="20" t="s">
        <v>2005</v>
      </c>
    </row>
    <row r="2921" spans="1:2" x14ac:dyDescent="0.25">
      <c r="A2921" s="138">
        <v>16</v>
      </c>
      <c r="B2921" s="138" t="s">
        <v>2005</v>
      </c>
    </row>
    <row r="2922" spans="1:2" x14ac:dyDescent="0.25">
      <c r="A2922" s="138" t="s">
        <v>3658</v>
      </c>
      <c r="B2922" s="138" t="s">
        <v>270</v>
      </c>
    </row>
    <row r="2923" spans="1:2" x14ac:dyDescent="0.25">
      <c r="A2923" s="20" t="s">
        <v>3658</v>
      </c>
      <c r="B2923" s="20" t="s">
        <v>270</v>
      </c>
    </row>
    <row r="2924" spans="1:2" x14ac:dyDescent="0.25">
      <c r="A2924" s="138" t="s">
        <v>3658</v>
      </c>
      <c r="B2924" s="138" t="s">
        <v>270</v>
      </c>
    </row>
    <row r="2925" spans="1:2" x14ac:dyDescent="0.25">
      <c r="A2925" s="20">
        <v>11</v>
      </c>
      <c r="B2925" s="20" t="s">
        <v>638</v>
      </c>
    </row>
    <row r="2926" spans="1:2" x14ac:dyDescent="0.25">
      <c r="A2926" s="138">
        <v>11</v>
      </c>
      <c r="B2926" s="138" t="s">
        <v>638</v>
      </c>
    </row>
    <row r="2927" spans="1:2" x14ac:dyDescent="0.25">
      <c r="A2927" s="20">
        <v>11</v>
      </c>
      <c r="B2927" s="20" t="s">
        <v>638</v>
      </c>
    </row>
    <row r="2928" spans="1:2" x14ac:dyDescent="0.25">
      <c r="A2928" s="138" t="s">
        <v>6194</v>
      </c>
      <c r="B2928" s="138" t="s">
        <v>450</v>
      </c>
    </row>
    <row r="2929" spans="1:2" x14ac:dyDescent="0.25">
      <c r="A2929" s="20" t="s">
        <v>6194</v>
      </c>
      <c r="B2929" s="20" t="s">
        <v>450</v>
      </c>
    </row>
    <row r="2930" spans="1:2" x14ac:dyDescent="0.25">
      <c r="A2930" s="138" t="s">
        <v>6194</v>
      </c>
      <c r="B2930" s="138" t="s">
        <v>450</v>
      </c>
    </row>
    <row r="2931" spans="1:2" x14ac:dyDescent="0.25">
      <c r="A2931" s="20">
        <v>151</v>
      </c>
      <c r="B2931" s="20" t="s">
        <v>1161</v>
      </c>
    </row>
    <row r="2932" spans="1:2" x14ac:dyDescent="0.25">
      <c r="A2932" s="20">
        <v>151</v>
      </c>
      <c r="B2932" s="20" t="s">
        <v>1161</v>
      </c>
    </row>
    <row r="2933" spans="1:2" x14ac:dyDescent="0.25">
      <c r="A2933" s="138">
        <v>151</v>
      </c>
      <c r="B2933" s="138" t="s">
        <v>1161</v>
      </c>
    </row>
    <row r="2934" spans="1:2" x14ac:dyDescent="0.25">
      <c r="A2934" s="20">
        <v>151</v>
      </c>
      <c r="B2934" s="20" t="s">
        <v>1161</v>
      </c>
    </row>
    <row r="2935" spans="1:2" x14ac:dyDescent="0.25">
      <c r="A2935" s="138">
        <v>151</v>
      </c>
      <c r="B2935" s="138" t="s">
        <v>1161</v>
      </c>
    </row>
    <row r="2936" spans="1:2" x14ac:dyDescent="0.25">
      <c r="A2936" s="138">
        <v>151</v>
      </c>
      <c r="B2936" s="138" t="s">
        <v>1161</v>
      </c>
    </row>
    <row r="2937" spans="1:2" x14ac:dyDescent="0.25">
      <c r="A2937" s="20">
        <v>96</v>
      </c>
      <c r="B2937" s="20" t="s">
        <v>1403</v>
      </c>
    </row>
    <row r="2938" spans="1:2" x14ac:dyDescent="0.25">
      <c r="A2938" s="138">
        <v>96</v>
      </c>
      <c r="B2938" s="138" t="s">
        <v>1403</v>
      </c>
    </row>
    <row r="2939" spans="1:2" x14ac:dyDescent="0.25">
      <c r="A2939" s="20">
        <v>96</v>
      </c>
      <c r="B2939" s="20" t="s">
        <v>1403</v>
      </c>
    </row>
    <row r="2940" spans="1:2" x14ac:dyDescent="0.25">
      <c r="A2940" s="138">
        <v>96</v>
      </c>
      <c r="B2940" s="138" t="s">
        <v>1403</v>
      </c>
    </row>
    <row r="2941" spans="1:2" x14ac:dyDescent="0.25">
      <c r="A2941" s="20">
        <v>96</v>
      </c>
      <c r="B2941" s="20" t="s">
        <v>1403</v>
      </c>
    </row>
    <row r="2942" spans="1:2" x14ac:dyDescent="0.25">
      <c r="A2942" s="138">
        <v>96</v>
      </c>
      <c r="B2942" s="138" t="s">
        <v>1403</v>
      </c>
    </row>
    <row r="2943" spans="1:2" x14ac:dyDescent="0.25">
      <c r="A2943" s="20">
        <v>96</v>
      </c>
      <c r="B2943" s="20" t="s">
        <v>1403</v>
      </c>
    </row>
    <row r="2944" spans="1:2" x14ac:dyDescent="0.25">
      <c r="A2944" s="138">
        <v>96</v>
      </c>
      <c r="B2944" s="138" t="s">
        <v>1403</v>
      </c>
    </row>
    <row r="2945" spans="1:2" x14ac:dyDescent="0.25">
      <c r="A2945" s="20">
        <v>96</v>
      </c>
      <c r="B2945" s="20" t="s">
        <v>1403</v>
      </c>
    </row>
    <row r="2946" spans="1:2" x14ac:dyDescent="0.25">
      <c r="A2946" s="138">
        <v>96</v>
      </c>
      <c r="B2946" s="138" t="s">
        <v>1403</v>
      </c>
    </row>
    <row r="2947" spans="1:2" x14ac:dyDescent="0.25">
      <c r="A2947" s="20">
        <v>96</v>
      </c>
      <c r="B2947" s="20" t="s">
        <v>1403</v>
      </c>
    </row>
    <row r="2948" spans="1:2" x14ac:dyDescent="0.25">
      <c r="A2948" s="138">
        <v>96</v>
      </c>
      <c r="B2948" s="138" t="s">
        <v>1403</v>
      </c>
    </row>
    <row r="2949" spans="1:2" x14ac:dyDescent="0.25">
      <c r="A2949" s="20">
        <v>96</v>
      </c>
      <c r="B2949" s="20" t="s">
        <v>1403</v>
      </c>
    </row>
    <row r="2950" spans="1:2" x14ac:dyDescent="0.25">
      <c r="A2950" s="138">
        <v>96</v>
      </c>
      <c r="B2950" s="138" t="s">
        <v>1403</v>
      </c>
    </row>
    <row r="2951" spans="1:2" x14ac:dyDescent="0.25">
      <c r="A2951" s="20">
        <v>96</v>
      </c>
      <c r="B2951" s="20" t="s">
        <v>1403</v>
      </c>
    </row>
    <row r="2952" spans="1:2" x14ac:dyDescent="0.25">
      <c r="A2952" s="138">
        <v>96</v>
      </c>
      <c r="B2952" s="138" t="s">
        <v>1403</v>
      </c>
    </row>
    <row r="2953" spans="1:2" x14ac:dyDescent="0.25">
      <c r="A2953" s="20">
        <v>96</v>
      </c>
      <c r="B2953" s="20" t="s">
        <v>1403</v>
      </c>
    </row>
    <row r="2954" spans="1:2" x14ac:dyDescent="0.25">
      <c r="A2954" s="138" t="s">
        <v>6256</v>
      </c>
      <c r="B2954" s="138" t="s">
        <v>1520</v>
      </c>
    </row>
    <row r="2955" spans="1:2" x14ac:dyDescent="0.25">
      <c r="A2955" s="20" t="s">
        <v>6256</v>
      </c>
      <c r="B2955" s="20" t="s">
        <v>1520</v>
      </c>
    </row>
    <row r="2956" spans="1:2" x14ac:dyDescent="0.25">
      <c r="A2956" s="138" t="s">
        <v>6256</v>
      </c>
      <c r="B2956" s="138" t="s">
        <v>1520</v>
      </c>
    </row>
    <row r="2957" spans="1:2" x14ac:dyDescent="0.25">
      <c r="A2957" s="20" t="s">
        <v>6256</v>
      </c>
      <c r="B2957" s="20" t="s">
        <v>1520</v>
      </c>
    </row>
    <row r="2958" spans="1:2" x14ac:dyDescent="0.25">
      <c r="A2958" s="138" t="s">
        <v>2517</v>
      </c>
      <c r="B2958" s="138" t="s">
        <v>1289</v>
      </c>
    </row>
    <row r="2959" spans="1:2" x14ac:dyDescent="0.25">
      <c r="A2959" s="20" t="s">
        <v>2517</v>
      </c>
      <c r="B2959" s="20" t="s">
        <v>1289</v>
      </c>
    </row>
    <row r="2960" spans="1:2" x14ac:dyDescent="0.25">
      <c r="A2960" s="138" t="s">
        <v>2517</v>
      </c>
      <c r="B2960" s="138" t="s">
        <v>1289</v>
      </c>
    </row>
    <row r="2961" spans="1:2" x14ac:dyDescent="0.25">
      <c r="A2961" s="20">
        <v>23</v>
      </c>
      <c r="B2961" s="20">
        <v>275</v>
      </c>
    </row>
    <row r="2962" spans="1:2" x14ac:dyDescent="0.25">
      <c r="A2962" s="138" t="s">
        <v>6229</v>
      </c>
      <c r="B2962" s="138" t="s">
        <v>1726</v>
      </c>
    </row>
    <row r="2963" spans="1:2" x14ac:dyDescent="0.25">
      <c r="A2963" s="20" t="s">
        <v>6229</v>
      </c>
      <c r="B2963" s="20" t="s">
        <v>1726</v>
      </c>
    </row>
    <row r="2964" spans="1:2" x14ac:dyDescent="0.25">
      <c r="A2964" s="138" t="s">
        <v>6229</v>
      </c>
      <c r="B2964" s="138" t="s">
        <v>1726</v>
      </c>
    </row>
    <row r="2965" spans="1:2" x14ac:dyDescent="0.25">
      <c r="A2965" s="20" t="s">
        <v>6229</v>
      </c>
      <c r="B2965" s="20" t="s">
        <v>1726</v>
      </c>
    </row>
    <row r="2966" spans="1:2" x14ac:dyDescent="0.25">
      <c r="A2966" s="138">
        <v>115</v>
      </c>
      <c r="B2966" s="138" t="s">
        <v>2003</v>
      </c>
    </row>
    <row r="2967" spans="1:2" x14ac:dyDescent="0.25">
      <c r="A2967" s="20">
        <v>115</v>
      </c>
      <c r="B2967" s="20" t="s">
        <v>2003</v>
      </c>
    </row>
    <row r="2968" spans="1:2" x14ac:dyDescent="0.25">
      <c r="A2968" s="138">
        <v>115</v>
      </c>
      <c r="B2968" s="138" t="s">
        <v>2003</v>
      </c>
    </row>
    <row r="2969" spans="1:2" x14ac:dyDescent="0.25">
      <c r="A2969" s="20">
        <v>115</v>
      </c>
      <c r="B2969" s="20" t="s">
        <v>2003</v>
      </c>
    </row>
    <row r="2970" spans="1:2" x14ac:dyDescent="0.25">
      <c r="A2970" s="138">
        <v>115</v>
      </c>
      <c r="B2970" s="138" t="s">
        <v>2003</v>
      </c>
    </row>
    <row r="2971" spans="1:2" x14ac:dyDescent="0.25">
      <c r="A2971" s="20">
        <v>115</v>
      </c>
      <c r="B2971" s="20" t="s">
        <v>2003</v>
      </c>
    </row>
    <row r="2972" spans="1:2" x14ac:dyDescent="0.25">
      <c r="A2972" s="138">
        <v>115</v>
      </c>
      <c r="B2972" s="138" t="s">
        <v>2003</v>
      </c>
    </row>
    <row r="2973" spans="1:2" x14ac:dyDescent="0.25">
      <c r="A2973" s="20">
        <v>115</v>
      </c>
      <c r="B2973" s="20" t="s">
        <v>2003</v>
      </c>
    </row>
    <row r="2974" spans="1:2" x14ac:dyDescent="0.25">
      <c r="A2974" s="138">
        <v>115</v>
      </c>
      <c r="B2974" s="138" t="s">
        <v>2003</v>
      </c>
    </row>
    <row r="2975" spans="1:2" x14ac:dyDescent="0.25">
      <c r="A2975" s="20">
        <v>115</v>
      </c>
      <c r="B2975" s="20" t="s">
        <v>2003</v>
      </c>
    </row>
    <row r="2976" spans="1:2" x14ac:dyDescent="0.25">
      <c r="A2976" s="138">
        <v>115</v>
      </c>
      <c r="B2976" s="138" t="s">
        <v>2003</v>
      </c>
    </row>
    <row r="2977" spans="1:2" x14ac:dyDescent="0.25">
      <c r="A2977" s="20" t="s">
        <v>6243</v>
      </c>
      <c r="B2977" s="20" t="s">
        <v>6244</v>
      </c>
    </row>
    <row r="2978" spans="1:2" x14ac:dyDescent="0.25">
      <c r="A2978" s="20">
        <v>242</v>
      </c>
      <c r="B2978" s="20" t="s">
        <v>206</v>
      </c>
    </row>
    <row r="2979" spans="1:2" x14ac:dyDescent="0.25">
      <c r="A2979" s="138">
        <v>242</v>
      </c>
      <c r="B2979" s="138" t="s">
        <v>206</v>
      </c>
    </row>
    <row r="2980" spans="1:2" x14ac:dyDescent="0.25">
      <c r="A2980" s="20">
        <v>242</v>
      </c>
      <c r="B2980" s="20" t="s">
        <v>206</v>
      </c>
    </row>
    <row r="2981" spans="1:2" x14ac:dyDescent="0.25">
      <c r="A2981" s="138">
        <v>242</v>
      </c>
      <c r="B2981" s="138" t="s">
        <v>206</v>
      </c>
    </row>
    <row r="2982" spans="1:2" x14ac:dyDescent="0.25">
      <c r="A2982" s="20">
        <v>242</v>
      </c>
      <c r="B2982" s="20" t="s">
        <v>206</v>
      </c>
    </row>
    <row r="2983" spans="1:2" x14ac:dyDescent="0.25">
      <c r="A2983" s="138">
        <v>242</v>
      </c>
      <c r="B2983" s="138" t="s">
        <v>206</v>
      </c>
    </row>
    <row r="2984" spans="1:2" x14ac:dyDescent="0.25">
      <c r="A2984" s="20">
        <v>242</v>
      </c>
      <c r="B2984" s="20" t="s">
        <v>206</v>
      </c>
    </row>
    <row r="2985" spans="1:2" x14ac:dyDescent="0.25">
      <c r="A2985" s="138">
        <v>242</v>
      </c>
      <c r="B2985" s="138" t="s">
        <v>206</v>
      </c>
    </row>
    <row r="2986" spans="1:2" x14ac:dyDescent="0.25">
      <c r="A2986" s="138">
        <v>109</v>
      </c>
      <c r="B2986" s="138" t="s">
        <v>777</v>
      </c>
    </row>
    <row r="2987" spans="1:2" x14ac:dyDescent="0.25">
      <c r="A2987" s="20">
        <v>109</v>
      </c>
      <c r="B2987" s="20" t="s">
        <v>1346</v>
      </c>
    </row>
    <row r="2988" spans="1:2" x14ac:dyDescent="0.25">
      <c r="A2988" s="138">
        <v>109</v>
      </c>
      <c r="B2988" s="138" t="s">
        <v>1346</v>
      </c>
    </row>
    <row r="2989" spans="1:2" x14ac:dyDescent="0.25">
      <c r="A2989" s="20">
        <v>109</v>
      </c>
      <c r="B2989" s="20" t="s">
        <v>1346</v>
      </c>
    </row>
    <row r="2990" spans="1:2" x14ac:dyDescent="0.25">
      <c r="A2990" s="138">
        <v>96</v>
      </c>
      <c r="B2990" s="138" t="s">
        <v>1275</v>
      </c>
    </row>
    <row r="2991" spans="1:2" x14ac:dyDescent="0.25">
      <c r="A2991" s="20">
        <v>96</v>
      </c>
      <c r="B2991" s="20" t="s">
        <v>1275</v>
      </c>
    </row>
    <row r="2992" spans="1:2" x14ac:dyDescent="0.25">
      <c r="A2992" s="138">
        <v>96</v>
      </c>
      <c r="B2992" s="138" t="s">
        <v>1275</v>
      </c>
    </row>
    <row r="2993" spans="1:2" x14ac:dyDescent="0.25">
      <c r="A2993" s="20">
        <v>96</v>
      </c>
      <c r="B2993" s="20" t="s">
        <v>1275</v>
      </c>
    </row>
    <row r="2994" spans="1:2" x14ac:dyDescent="0.25">
      <c r="A2994" s="138">
        <v>96</v>
      </c>
      <c r="B2994" s="138" t="s">
        <v>1275</v>
      </c>
    </row>
    <row r="2995" spans="1:2" x14ac:dyDescent="0.25">
      <c r="A2995" s="20">
        <v>96</v>
      </c>
      <c r="B2995" s="20" t="s">
        <v>1275</v>
      </c>
    </row>
    <row r="2996" spans="1:2" x14ac:dyDescent="0.25">
      <c r="A2996" s="138">
        <v>96</v>
      </c>
      <c r="B2996" s="138" t="s">
        <v>1275</v>
      </c>
    </row>
    <row r="2997" spans="1:2" x14ac:dyDescent="0.25">
      <c r="A2997" s="20">
        <v>96</v>
      </c>
      <c r="B2997" s="20" t="s">
        <v>1275</v>
      </c>
    </row>
    <row r="2998" spans="1:2" x14ac:dyDescent="0.25">
      <c r="A2998" s="138">
        <v>96</v>
      </c>
      <c r="B2998" s="138" t="s">
        <v>1275</v>
      </c>
    </row>
    <row r="2999" spans="1:2" x14ac:dyDescent="0.25">
      <c r="A2999" s="20">
        <v>96</v>
      </c>
      <c r="B2999" s="20" t="s">
        <v>1275</v>
      </c>
    </row>
    <row r="3000" spans="1:2" x14ac:dyDescent="0.25">
      <c r="A3000" s="138">
        <v>96</v>
      </c>
      <c r="B3000" s="138" t="s">
        <v>1275</v>
      </c>
    </row>
    <row r="3001" spans="1:2" x14ac:dyDescent="0.25">
      <c r="A3001" s="20">
        <v>96</v>
      </c>
      <c r="B3001" s="20" t="s">
        <v>1275</v>
      </c>
    </row>
    <row r="3002" spans="1:2" x14ac:dyDescent="0.25">
      <c r="A3002" s="138">
        <v>96</v>
      </c>
      <c r="B3002" s="138" t="s">
        <v>1275</v>
      </c>
    </row>
    <row r="3003" spans="1:2" x14ac:dyDescent="0.25">
      <c r="A3003" s="20">
        <v>96</v>
      </c>
      <c r="B3003" s="20" t="s">
        <v>1275</v>
      </c>
    </row>
    <row r="3004" spans="1:2" x14ac:dyDescent="0.25">
      <c r="A3004" s="138">
        <v>96</v>
      </c>
      <c r="B3004" s="138" t="s">
        <v>1275</v>
      </c>
    </row>
    <row r="3005" spans="1:2" x14ac:dyDescent="0.25">
      <c r="A3005" s="20">
        <v>96</v>
      </c>
      <c r="B3005" s="20" t="s">
        <v>1275</v>
      </c>
    </row>
    <row r="3006" spans="1:2" x14ac:dyDescent="0.25">
      <c r="A3006" s="138">
        <v>96</v>
      </c>
      <c r="B3006" s="138" t="s">
        <v>1275</v>
      </c>
    </row>
    <row r="3007" spans="1:2" x14ac:dyDescent="0.25">
      <c r="A3007" s="20">
        <v>96</v>
      </c>
      <c r="B3007" s="20" t="s">
        <v>1275</v>
      </c>
    </row>
    <row r="3008" spans="1:2" x14ac:dyDescent="0.25">
      <c r="A3008" s="138">
        <v>96</v>
      </c>
      <c r="B3008" s="138" t="s">
        <v>1275</v>
      </c>
    </row>
    <row r="3009" spans="1:2" x14ac:dyDescent="0.25">
      <c r="A3009" s="20">
        <v>96</v>
      </c>
      <c r="B3009" s="20" t="s">
        <v>1275</v>
      </c>
    </row>
    <row r="3010" spans="1:2" x14ac:dyDescent="0.25">
      <c r="A3010" s="138">
        <v>96</v>
      </c>
      <c r="B3010" s="138" t="s">
        <v>1275</v>
      </c>
    </row>
    <row r="3011" spans="1:2" x14ac:dyDescent="0.25">
      <c r="A3011" s="20">
        <v>96</v>
      </c>
      <c r="B3011" s="20" t="s">
        <v>1275</v>
      </c>
    </row>
    <row r="3012" spans="1:2" x14ac:dyDescent="0.25">
      <c r="A3012" s="138">
        <v>96</v>
      </c>
      <c r="B3012" s="138" t="s">
        <v>1275</v>
      </c>
    </row>
    <row r="3013" spans="1:2" x14ac:dyDescent="0.25">
      <c r="A3013" s="20">
        <v>96</v>
      </c>
      <c r="B3013" s="20" t="s">
        <v>1275</v>
      </c>
    </row>
    <row r="3014" spans="1:2" x14ac:dyDescent="0.25">
      <c r="A3014" s="138">
        <v>96</v>
      </c>
      <c r="B3014" s="138" t="s">
        <v>1275</v>
      </c>
    </row>
    <row r="3015" spans="1:2" x14ac:dyDescent="0.25">
      <c r="A3015" s="20">
        <v>96</v>
      </c>
      <c r="B3015" s="20" t="s">
        <v>1275</v>
      </c>
    </row>
    <row r="3016" spans="1:2" x14ac:dyDescent="0.25">
      <c r="A3016" s="138">
        <v>96</v>
      </c>
      <c r="B3016" s="138" t="s">
        <v>1275</v>
      </c>
    </row>
    <row r="3017" spans="1:2" x14ac:dyDescent="0.25">
      <c r="A3017" s="20">
        <v>96</v>
      </c>
      <c r="B3017" s="20" t="s">
        <v>1275</v>
      </c>
    </row>
    <row r="3018" spans="1:2" x14ac:dyDescent="0.25">
      <c r="A3018" s="138">
        <v>96</v>
      </c>
      <c r="B3018" s="138" t="s">
        <v>1275</v>
      </c>
    </row>
    <row r="3019" spans="1:2" x14ac:dyDescent="0.25">
      <c r="A3019" s="20">
        <v>96</v>
      </c>
      <c r="B3019" s="20" t="s">
        <v>1275</v>
      </c>
    </row>
    <row r="3020" spans="1:2" x14ac:dyDescent="0.25">
      <c r="A3020" s="138">
        <v>96</v>
      </c>
      <c r="B3020" s="138" t="s">
        <v>1275</v>
      </c>
    </row>
    <row r="3021" spans="1:2" x14ac:dyDescent="0.25">
      <c r="A3021" s="20">
        <v>96</v>
      </c>
      <c r="B3021" s="20" t="s">
        <v>1275</v>
      </c>
    </row>
    <row r="3022" spans="1:2" x14ac:dyDescent="0.25">
      <c r="A3022" s="138">
        <v>96</v>
      </c>
      <c r="B3022" s="138" t="s">
        <v>1275</v>
      </c>
    </row>
    <row r="3023" spans="1:2" x14ac:dyDescent="0.25">
      <c r="A3023" s="20">
        <v>96</v>
      </c>
      <c r="B3023" s="20" t="s">
        <v>1275</v>
      </c>
    </row>
    <row r="3024" spans="1:2" x14ac:dyDescent="0.25">
      <c r="A3024" s="138">
        <v>96</v>
      </c>
      <c r="B3024" s="138" t="s">
        <v>1275</v>
      </c>
    </row>
    <row r="3025" spans="1:2" x14ac:dyDescent="0.25">
      <c r="A3025" s="20">
        <v>96</v>
      </c>
      <c r="B3025" s="20" t="s">
        <v>1275</v>
      </c>
    </row>
    <row r="3026" spans="1:2" x14ac:dyDescent="0.25">
      <c r="A3026" s="138">
        <v>96</v>
      </c>
      <c r="B3026" s="138" t="s">
        <v>1275</v>
      </c>
    </row>
    <row r="3027" spans="1:2" x14ac:dyDescent="0.25">
      <c r="A3027" s="20">
        <v>96</v>
      </c>
      <c r="B3027" s="20" t="s">
        <v>1275</v>
      </c>
    </row>
    <row r="3028" spans="1:2" x14ac:dyDescent="0.25">
      <c r="A3028" s="138">
        <v>96</v>
      </c>
      <c r="B3028" s="138" t="s">
        <v>1275</v>
      </c>
    </row>
    <row r="3029" spans="1:2" x14ac:dyDescent="0.25">
      <c r="A3029" s="20">
        <v>96</v>
      </c>
      <c r="B3029" s="20" t="s">
        <v>1275</v>
      </c>
    </row>
    <row r="3030" spans="1:2" x14ac:dyDescent="0.25">
      <c r="A3030" s="138">
        <v>96</v>
      </c>
      <c r="B3030" s="138" t="s">
        <v>1275</v>
      </c>
    </row>
    <row r="3031" spans="1:2" x14ac:dyDescent="0.25">
      <c r="A3031" s="20">
        <v>96</v>
      </c>
      <c r="B3031" s="20" t="s">
        <v>1275</v>
      </c>
    </row>
    <row r="3032" spans="1:2" x14ac:dyDescent="0.25">
      <c r="A3032" s="138">
        <v>96</v>
      </c>
      <c r="B3032" s="138" t="s">
        <v>1275</v>
      </c>
    </row>
    <row r="3033" spans="1:2" x14ac:dyDescent="0.25">
      <c r="A3033" s="20">
        <v>96</v>
      </c>
      <c r="B3033" s="20" t="s">
        <v>1275</v>
      </c>
    </row>
    <row r="3034" spans="1:2" x14ac:dyDescent="0.25">
      <c r="A3034" s="138">
        <v>96</v>
      </c>
      <c r="B3034" s="138" t="s">
        <v>1275</v>
      </c>
    </row>
    <row r="3035" spans="1:2" x14ac:dyDescent="0.25">
      <c r="A3035" s="20">
        <v>96</v>
      </c>
      <c r="B3035" s="20" t="s">
        <v>1275</v>
      </c>
    </row>
    <row r="3036" spans="1:2" x14ac:dyDescent="0.25">
      <c r="A3036" s="138">
        <v>96</v>
      </c>
      <c r="B3036" s="138" t="s">
        <v>1275</v>
      </c>
    </row>
    <row r="3037" spans="1:2" x14ac:dyDescent="0.25">
      <c r="A3037" s="20">
        <v>96</v>
      </c>
      <c r="B3037" s="20" t="s">
        <v>1275</v>
      </c>
    </row>
    <row r="3038" spans="1:2" x14ac:dyDescent="0.25">
      <c r="A3038" s="138">
        <v>96</v>
      </c>
      <c r="B3038" s="138" t="s">
        <v>1275</v>
      </c>
    </row>
    <row r="3039" spans="1:2" x14ac:dyDescent="0.25">
      <c r="A3039" s="20">
        <v>96</v>
      </c>
      <c r="B3039" s="20" t="s">
        <v>1275</v>
      </c>
    </row>
    <row r="3040" spans="1:2" x14ac:dyDescent="0.25">
      <c r="A3040" s="138">
        <v>96</v>
      </c>
      <c r="B3040" s="138" t="s">
        <v>1275</v>
      </c>
    </row>
    <row r="3041" spans="1:2" x14ac:dyDescent="0.25">
      <c r="A3041" s="20">
        <v>96</v>
      </c>
      <c r="B3041" s="20" t="s">
        <v>1275</v>
      </c>
    </row>
    <row r="3042" spans="1:2" x14ac:dyDescent="0.25">
      <c r="A3042" s="138">
        <v>96</v>
      </c>
      <c r="B3042" s="138" t="s">
        <v>1275</v>
      </c>
    </row>
    <row r="3043" spans="1:2" x14ac:dyDescent="0.25">
      <c r="A3043" s="20">
        <v>96</v>
      </c>
      <c r="B3043" s="20" t="s">
        <v>1275</v>
      </c>
    </row>
    <row r="3044" spans="1:2" x14ac:dyDescent="0.25">
      <c r="A3044" s="138">
        <v>96</v>
      </c>
      <c r="B3044" s="138" t="s">
        <v>1275</v>
      </c>
    </row>
    <row r="3045" spans="1:2" x14ac:dyDescent="0.25">
      <c r="A3045" s="20">
        <v>96</v>
      </c>
      <c r="B3045" s="20" t="s">
        <v>1275</v>
      </c>
    </row>
    <row r="3046" spans="1:2" x14ac:dyDescent="0.25">
      <c r="A3046" s="138">
        <v>96</v>
      </c>
      <c r="B3046" s="138" t="s">
        <v>1275</v>
      </c>
    </row>
    <row r="3047" spans="1:2" x14ac:dyDescent="0.25">
      <c r="A3047" s="20">
        <v>96</v>
      </c>
      <c r="B3047" s="20" t="s">
        <v>1275</v>
      </c>
    </row>
    <row r="3048" spans="1:2" x14ac:dyDescent="0.25">
      <c r="A3048" s="138">
        <v>96</v>
      </c>
      <c r="B3048" s="138" t="s">
        <v>1275</v>
      </c>
    </row>
    <row r="3049" spans="1:2" x14ac:dyDescent="0.25">
      <c r="A3049" s="20">
        <v>96</v>
      </c>
      <c r="B3049" s="20" t="s">
        <v>1275</v>
      </c>
    </row>
    <row r="3050" spans="1:2" x14ac:dyDescent="0.25">
      <c r="A3050" s="138">
        <v>96</v>
      </c>
      <c r="B3050" s="138" t="s">
        <v>1275</v>
      </c>
    </row>
    <row r="3051" spans="1:2" x14ac:dyDescent="0.25">
      <c r="A3051" s="20">
        <v>96</v>
      </c>
      <c r="B3051" s="20" t="s">
        <v>1275</v>
      </c>
    </row>
    <row r="3052" spans="1:2" x14ac:dyDescent="0.25">
      <c r="A3052" s="138">
        <v>96</v>
      </c>
      <c r="B3052" s="138" t="s">
        <v>1275</v>
      </c>
    </row>
    <row r="3053" spans="1:2" x14ac:dyDescent="0.25">
      <c r="A3053" s="20">
        <v>96</v>
      </c>
      <c r="B3053" s="20" t="s">
        <v>1275</v>
      </c>
    </row>
    <row r="3054" spans="1:2" x14ac:dyDescent="0.25">
      <c r="A3054" s="138">
        <v>96</v>
      </c>
      <c r="B3054" s="138" t="s">
        <v>1275</v>
      </c>
    </row>
    <row r="3055" spans="1:2" x14ac:dyDescent="0.25">
      <c r="A3055" s="20">
        <v>96</v>
      </c>
      <c r="B3055" s="20" t="s">
        <v>1275</v>
      </c>
    </row>
    <row r="3056" spans="1:2" x14ac:dyDescent="0.25">
      <c r="A3056" s="138">
        <v>96</v>
      </c>
      <c r="B3056" s="138" t="s">
        <v>1275</v>
      </c>
    </row>
    <row r="3057" spans="1:2" x14ac:dyDescent="0.25">
      <c r="A3057" s="20">
        <v>96</v>
      </c>
      <c r="B3057" s="20" t="s">
        <v>1275</v>
      </c>
    </row>
    <row r="3058" spans="1:2" x14ac:dyDescent="0.25">
      <c r="A3058" s="138">
        <v>96</v>
      </c>
      <c r="B3058" s="138" t="s">
        <v>1275</v>
      </c>
    </row>
    <row r="3059" spans="1:2" x14ac:dyDescent="0.25">
      <c r="A3059" s="20">
        <v>96</v>
      </c>
      <c r="B3059" s="20" t="s">
        <v>1275</v>
      </c>
    </row>
    <row r="3060" spans="1:2" x14ac:dyDescent="0.25">
      <c r="A3060" s="138">
        <v>96</v>
      </c>
      <c r="B3060" s="138" t="s">
        <v>1275</v>
      </c>
    </row>
    <row r="3061" spans="1:2" x14ac:dyDescent="0.25">
      <c r="A3061" s="20">
        <v>96</v>
      </c>
      <c r="B3061" s="20" t="s">
        <v>1275</v>
      </c>
    </row>
    <row r="3062" spans="1:2" x14ac:dyDescent="0.25">
      <c r="A3062" s="138">
        <v>96</v>
      </c>
      <c r="B3062" s="138" t="s">
        <v>1275</v>
      </c>
    </row>
    <row r="3063" spans="1:2" x14ac:dyDescent="0.25">
      <c r="A3063" s="20">
        <v>96</v>
      </c>
      <c r="B3063" s="20" t="s">
        <v>1275</v>
      </c>
    </row>
    <row r="3064" spans="1:2" x14ac:dyDescent="0.25">
      <c r="A3064" s="138">
        <v>32</v>
      </c>
      <c r="B3064" s="138" t="s">
        <v>693</v>
      </c>
    </row>
    <row r="3065" spans="1:2" x14ac:dyDescent="0.25">
      <c r="A3065" s="138" t="s">
        <v>2517</v>
      </c>
      <c r="B3065" s="138" t="s">
        <v>1289</v>
      </c>
    </row>
    <row r="3066" spans="1:2" x14ac:dyDescent="0.25">
      <c r="A3066" s="20" t="s">
        <v>3717</v>
      </c>
      <c r="B3066" s="20" t="s">
        <v>1244</v>
      </c>
    </row>
    <row r="3067" spans="1:2" x14ac:dyDescent="0.25">
      <c r="A3067" s="138">
        <v>26</v>
      </c>
      <c r="B3067" s="138" t="s">
        <v>655</v>
      </c>
    </row>
    <row r="3068" spans="1:2" x14ac:dyDescent="0.25">
      <c r="A3068" s="20">
        <v>16</v>
      </c>
      <c r="B3068" s="20" t="s">
        <v>2005</v>
      </c>
    </row>
    <row r="3069" spans="1:2" x14ac:dyDescent="0.25">
      <c r="A3069" s="138">
        <v>16</v>
      </c>
      <c r="B3069" s="138" t="s">
        <v>2005</v>
      </c>
    </row>
    <row r="3070" spans="1:2" x14ac:dyDescent="0.25">
      <c r="A3070" s="20">
        <v>11</v>
      </c>
      <c r="B3070" s="20" t="s">
        <v>638</v>
      </c>
    </row>
    <row r="3071" spans="1:2" x14ac:dyDescent="0.25">
      <c r="A3071" s="138" t="s">
        <v>3658</v>
      </c>
      <c r="B3071" s="138" t="s">
        <v>270</v>
      </c>
    </row>
    <row r="3072" spans="1:2" x14ac:dyDescent="0.25">
      <c r="A3072" s="20" t="s">
        <v>3658</v>
      </c>
      <c r="B3072" s="20" t="s">
        <v>270</v>
      </c>
    </row>
    <row r="3073" spans="1:2" x14ac:dyDescent="0.25">
      <c r="A3073" s="138" t="s">
        <v>3658</v>
      </c>
      <c r="B3073" s="138" t="s">
        <v>270</v>
      </c>
    </row>
    <row r="3074" spans="1:2" x14ac:dyDescent="0.25">
      <c r="A3074" s="20" t="s">
        <v>3658</v>
      </c>
      <c r="B3074" s="20" t="s">
        <v>270</v>
      </c>
    </row>
    <row r="3075" spans="1:2" x14ac:dyDescent="0.25">
      <c r="A3075" s="138" t="s">
        <v>6194</v>
      </c>
      <c r="B3075" s="138" t="s">
        <v>450</v>
      </c>
    </row>
    <row r="3076" spans="1:2" x14ac:dyDescent="0.25">
      <c r="A3076" s="20" t="s">
        <v>6194</v>
      </c>
      <c r="B3076" s="20" t="s">
        <v>450</v>
      </c>
    </row>
    <row r="3077" spans="1:2" x14ac:dyDescent="0.25">
      <c r="A3077" s="138" t="s">
        <v>6194</v>
      </c>
      <c r="B3077" s="138" t="s">
        <v>450</v>
      </c>
    </row>
    <row r="3078" spans="1:2" x14ac:dyDescent="0.25">
      <c r="A3078" s="20">
        <v>151</v>
      </c>
      <c r="B3078" s="20" t="s">
        <v>1161</v>
      </c>
    </row>
    <row r="3079" spans="1:2" x14ac:dyDescent="0.25">
      <c r="A3079" s="20">
        <v>151</v>
      </c>
      <c r="B3079" s="20" t="s">
        <v>1161</v>
      </c>
    </row>
    <row r="3080" spans="1:2" x14ac:dyDescent="0.25">
      <c r="A3080" s="138">
        <v>96</v>
      </c>
      <c r="B3080" s="138" t="s">
        <v>1403</v>
      </c>
    </row>
    <row r="3081" spans="1:2" x14ac:dyDescent="0.25">
      <c r="A3081" s="20">
        <v>96</v>
      </c>
      <c r="B3081" s="20" t="s">
        <v>1403</v>
      </c>
    </row>
    <row r="3082" spans="1:2" x14ac:dyDescent="0.25">
      <c r="A3082" s="138">
        <v>96</v>
      </c>
      <c r="B3082" s="138" t="s">
        <v>1403</v>
      </c>
    </row>
    <row r="3083" spans="1:2" x14ac:dyDescent="0.25">
      <c r="A3083" s="20">
        <v>96</v>
      </c>
      <c r="B3083" s="20" t="s">
        <v>1403</v>
      </c>
    </row>
    <row r="3084" spans="1:2" x14ac:dyDescent="0.25">
      <c r="A3084" s="138">
        <v>96</v>
      </c>
      <c r="B3084" s="138" t="s">
        <v>1403</v>
      </c>
    </row>
    <row r="3085" spans="1:2" x14ac:dyDescent="0.25">
      <c r="A3085" s="20">
        <v>96</v>
      </c>
      <c r="B3085" s="20" t="s">
        <v>1403</v>
      </c>
    </row>
    <row r="3086" spans="1:2" x14ac:dyDescent="0.25">
      <c r="A3086" s="138">
        <v>96</v>
      </c>
      <c r="B3086" s="138" t="s">
        <v>1403</v>
      </c>
    </row>
    <row r="3087" spans="1:2" x14ac:dyDescent="0.25">
      <c r="A3087" s="20">
        <v>96</v>
      </c>
      <c r="B3087" s="20" t="s">
        <v>1403</v>
      </c>
    </row>
    <row r="3088" spans="1:2" x14ac:dyDescent="0.25">
      <c r="A3088" s="138">
        <v>96</v>
      </c>
      <c r="B3088" s="138" t="s">
        <v>1403</v>
      </c>
    </row>
    <row r="3089" spans="1:2" x14ac:dyDescent="0.25">
      <c r="A3089" s="20">
        <v>96</v>
      </c>
      <c r="B3089" s="20" t="s">
        <v>1403</v>
      </c>
    </row>
    <row r="3090" spans="1:2" x14ac:dyDescent="0.25">
      <c r="A3090" s="138">
        <v>96</v>
      </c>
      <c r="B3090" s="138" t="s">
        <v>1403</v>
      </c>
    </row>
    <row r="3091" spans="1:2" x14ac:dyDescent="0.25">
      <c r="A3091" s="20">
        <v>96</v>
      </c>
      <c r="B3091" s="20" t="s">
        <v>1403</v>
      </c>
    </row>
    <row r="3092" spans="1:2" x14ac:dyDescent="0.25">
      <c r="A3092" s="138">
        <v>96</v>
      </c>
      <c r="B3092" s="138" t="s">
        <v>1403</v>
      </c>
    </row>
    <row r="3093" spans="1:2" x14ac:dyDescent="0.25">
      <c r="A3093" s="20">
        <v>96</v>
      </c>
      <c r="B3093" s="20" t="s">
        <v>1403</v>
      </c>
    </row>
    <row r="3094" spans="1:2" x14ac:dyDescent="0.25">
      <c r="A3094" s="138">
        <v>96</v>
      </c>
      <c r="B3094" s="138" t="s">
        <v>1403</v>
      </c>
    </row>
    <row r="3095" spans="1:2" x14ac:dyDescent="0.25">
      <c r="A3095" s="20">
        <v>96</v>
      </c>
      <c r="B3095" s="20" t="s">
        <v>1403</v>
      </c>
    </row>
    <row r="3096" spans="1:2" x14ac:dyDescent="0.25">
      <c r="A3096" s="138">
        <v>96</v>
      </c>
      <c r="B3096" s="138" t="s">
        <v>1403</v>
      </c>
    </row>
    <row r="3097" spans="1:2" x14ac:dyDescent="0.25">
      <c r="A3097" s="20">
        <v>96</v>
      </c>
      <c r="B3097" s="20" t="s">
        <v>1403</v>
      </c>
    </row>
    <row r="3098" spans="1:2" x14ac:dyDescent="0.25">
      <c r="A3098" s="138">
        <v>96</v>
      </c>
      <c r="B3098" s="138" t="s">
        <v>1403</v>
      </c>
    </row>
    <row r="3099" spans="1:2" x14ac:dyDescent="0.25">
      <c r="A3099" s="20">
        <v>96</v>
      </c>
      <c r="B3099" s="20" t="s">
        <v>1403</v>
      </c>
    </row>
    <row r="3100" spans="1:2" x14ac:dyDescent="0.25">
      <c r="A3100" s="138">
        <v>96</v>
      </c>
      <c r="B3100" s="138" t="s">
        <v>1403</v>
      </c>
    </row>
    <row r="3101" spans="1:2" x14ac:dyDescent="0.25">
      <c r="A3101" s="20">
        <v>96</v>
      </c>
      <c r="B3101" s="20" t="s">
        <v>1403</v>
      </c>
    </row>
    <row r="3102" spans="1:2" x14ac:dyDescent="0.25">
      <c r="A3102" s="138">
        <v>96</v>
      </c>
      <c r="B3102" s="138" t="s">
        <v>1403</v>
      </c>
    </row>
    <row r="3103" spans="1:2" x14ac:dyDescent="0.25">
      <c r="A3103" s="20">
        <v>50</v>
      </c>
      <c r="B3103" s="20" t="s">
        <v>1478</v>
      </c>
    </row>
    <row r="3104" spans="1:2" x14ac:dyDescent="0.25">
      <c r="A3104" s="138">
        <v>50</v>
      </c>
      <c r="B3104" s="138" t="s">
        <v>1478</v>
      </c>
    </row>
    <row r="3105" spans="1:2" x14ac:dyDescent="0.25">
      <c r="A3105" s="20" t="s">
        <v>6218</v>
      </c>
      <c r="B3105" s="20" t="s">
        <v>6218</v>
      </c>
    </row>
    <row r="3106" spans="1:2" x14ac:dyDescent="0.25">
      <c r="A3106" s="20" t="s">
        <v>6218</v>
      </c>
      <c r="B3106" s="20" t="s">
        <v>6218</v>
      </c>
    </row>
    <row r="3107" spans="1:2" x14ac:dyDescent="0.25">
      <c r="A3107" s="138">
        <v>16</v>
      </c>
      <c r="B3107" s="138" t="s">
        <v>417</v>
      </c>
    </row>
    <row r="3108" spans="1:2" x14ac:dyDescent="0.25">
      <c r="A3108" s="20">
        <v>16</v>
      </c>
      <c r="B3108" s="20" t="s">
        <v>417</v>
      </c>
    </row>
    <row r="3109" spans="1:2" x14ac:dyDescent="0.25">
      <c r="A3109" s="138" t="s">
        <v>6235</v>
      </c>
      <c r="B3109" s="138" t="s">
        <v>1548</v>
      </c>
    </row>
    <row r="3110" spans="1:2" x14ac:dyDescent="0.25">
      <c r="A3110" s="20" t="s">
        <v>6235</v>
      </c>
      <c r="B3110" s="20" t="s">
        <v>1548</v>
      </c>
    </row>
    <row r="3111" spans="1:2" x14ac:dyDescent="0.25">
      <c r="A3111" s="138" t="s">
        <v>6235</v>
      </c>
      <c r="B3111" s="138" t="s">
        <v>1548</v>
      </c>
    </row>
    <row r="3112" spans="1:2" x14ac:dyDescent="0.25">
      <c r="A3112" s="20" t="s">
        <v>6235</v>
      </c>
      <c r="B3112" s="20" t="s">
        <v>1548</v>
      </c>
    </row>
    <row r="3113" spans="1:2" x14ac:dyDescent="0.25">
      <c r="A3113" s="138" t="s">
        <v>6235</v>
      </c>
      <c r="B3113" s="138" t="s">
        <v>1548</v>
      </c>
    </row>
    <row r="3114" spans="1:2" x14ac:dyDescent="0.25">
      <c r="A3114" s="20" t="s">
        <v>6235</v>
      </c>
      <c r="B3114" s="20" t="s">
        <v>1548</v>
      </c>
    </row>
    <row r="3115" spans="1:2" x14ac:dyDescent="0.25">
      <c r="A3115" s="138" t="s">
        <v>6235</v>
      </c>
      <c r="B3115" s="138" t="s">
        <v>1548</v>
      </c>
    </row>
    <row r="3116" spans="1:2" x14ac:dyDescent="0.25">
      <c r="A3116" s="20" t="s">
        <v>6235</v>
      </c>
      <c r="B3116" s="20" t="s">
        <v>1548</v>
      </c>
    </row>
    <row r="3117" spans="1:2" x14ac:dyDescent="0.25">
      <c r="A3117" s="138" t="s">
        <v>6235</v>
      </c>
      <c r="B3117" s="138" t="s">
        <v>1548</v>
      </c>
    </row>
    <row r="3118" spans="1:2" x14ac:dyDescent="0.25">
      <c r="A3118" s="20" t="s">
        <v>6235</v>
      </c>
      <c r="B3118" s="20" t="s">
        <v>1548</v>
      </c>
    </row>
    <row r="3119" spans="1:2" x14ac:dyDescent="0.25">
      <c r="A3119" s="138" t="s">
        <v>6235</v>
      </c>
      <c r="B3119" s="138" t="s">
        <v>1548</v>
      </c>
    </row>
    <row r="3120" spans="1:2" x14ac:dyDescent="0.25">
      <c r="A3120" s="20" t="s">
        <v>6235</v>
      </c>
      <c r="B3120" s="20" t="s">
        <v>1548</v>
      </c>
    </row>
    <row r="3121" spans="1:2" x14ac:dyDescent="0.25">
      <c r="A3121" s="138" t="s">
        <v>6235</v>
      </c>
      <c r="B3121" s="138" t="s">
        <v>1548</v>
      </c>
    </row>
    <row r="3122" spans="1:2" x14ac:dyDescent="0.25">
      <c r="A3122" s="20" t="s">
        <v>6235</v>
      </c>
      <c r="B3122" s="20" t="s">
        <v>1548</v>
      </c>
    </row>
    <row r="3123" spans="1:2" x14ac:dyDescent="0.25">
      <c r="A3123" s="138" t="s">
        <v>6235</v>
      </c>
      <c r="B3123" s="138" t="s">
        <v>1548</v>
      </c>
    </row>
    <row r="3124" spans="1:2" x14ac:dyDescent="0.25">
      <c r="A3124" s="20" t="s">
        <v>6235</v>
      </c>
      <c r="B3124" s="20" t="s">
        <v>1548</v>
      </c>
    </row>
    <row r="3125" spans="1:2" x14ac:dyDescent="0.25">
      <c r="A3125" s="138" t="s">
        <v>6235</v>
      </c>
      <c r="B3125" s="138" t="s">
        <v>1548</v>
      </c>
    </row>
    <row r="3126" spans="1:2" x14ac:dyDescent="0.25">
      <c r="A3126" s="20" t="s">
        <v>6235</v>
      </c>
      <c r="B3126" s="20" t="s">
        <v>1548</v>
      </c>
    </row>
    <row r="3127" spans="1:2" x14ac:dyDescent="0.25">
      <c r="A3127" s="138" t="s">
        <v>6235</v>
      </c>
      <c r="B3127" s="138" t="s">
        <v>1548</v>
      </c>
    </row>
    <row r="3128" spans="1:2" x14ac:dyDescent="0.25">
      <c r="A3128" s="20" t="s">
        <v>6235</v>
      </c>
      <c r="B3128" s="20" t="s">
        <v>1548</v>
      </c>
    </row>
    <row r="3129" spans="1:2" x14ac:dyDescent="0.25">
      <c r="A3129" s="138" t="s">
        <v>6235</v>
      </c>
      <c r="B3129" s="138" t="s">
        <v>1548</v>
      </c>
    </row>
    <row r="3130" spans="1:2" x14ac:dyDescent="0.25">
      <c r="A3130" s="20" t="s">
        <v>6235</v>
      </c>
      <c r="B3130" s="20" t="s">
        <v>1548</v>
      </c>
    </row>
    <row r="3131" spans="1:2" x14ac:dyDescent="0.25">
      <c r="A3131" s="138" t="s">
        <v>6235</v>
      </c>
      <c r="B3131" s="138" t="s">
        <v>1548</v>
      </c>
    </row>
    <row r="3132" spans="1:2" x14ac:dyDescent="0.25">
      <c r="A3132" s="20" t="s">
        <v>6235</v>
      </c>
      <c r="B3132" s="20" t="s">
        <v>1548</v>
      </c>
    </row>
    <row r="3133" spans="1:2" x14ac:dyDescent="0.25">
      <c r="A3133" s="138" t="s">
        <v>6235</v>
      </c>
      <c r="B3133" s="138" t="s">
        <v>1548</v>
      </c>
    </row>
    <row r="3134" spans="1:2" x14ac:dyDescent="0.25">
      <c r="A3134" s="20" t="s">
        <v>6235</v>
      </c>
      <c r="B3134" s="20" t="s">
        <v>1548</v>
      </c>
    </row>
    <row r="3135" spans="1:2" x14ac:dyDescent="0.25">
      <c r="A3135" s="138" t="s">
        <v>6235</v>
      </c>
      <c r="B3135" s="138" t="s">
        <v>1548</v>
      </c>
    </row>
    <row r="3136" spans="1:2" x14ac:dyDescent="0.25">
      <c r="A3136" s="20" t="s">
        <v>6235</v>
      </c>
      <c r="B3136" s="20" t="s">
        <v>1548</v>
      </c>
    </row>
    <row r="3137" spans="1:2" x14ac:dyDescent="0.25">
      <c r="A3137" s="138" t="s">
        <v>6235</v>
      </c>
      <c r="B3137" s="138" t="s">
        <v>1548</v>
      </c>
    </row>
    <row r="3138" spans="1:2" x14ac:dyDescent="0.25">
      <c r="A3138" s="20" t="s">
        <v>6235</v>
      </c>
      <c r="B3138" s="20" t="s">
        <v>1548</v>
      </c>
    </row>
    <row r="3139" spans="1:2" x14ac:dyDescent="0.25">
      <c r="A3139" s="138" t="s">
        <v>6235</v>
      </c>
      <c r="B3139" s="138" t="s">
        <v>1548</v>
      </c>
    </row>
    <row r="3140" spans="1:2" x14ac:dyDescent="0.25">
      <c r="A3140" s="20" t="s">
        <v>6235</v>
      </c>
      <c r="B3140" s="20" t="s">
        <v>1548</v>
      </c>
    </row>
    <row r="3141" spans="1:2" x14ac:dyDescent="0.25">
      <c r="A3141" s="138" t="s">
        <v>6235</v>
      </c>
      <c r="B3141" s="138" t="s">
        <v>1548</v>
      </c>
    </row>
    <row r="3142" spans="1:2" x14ac:dyDescent="0.25">
      <c r="A3142" s="20" t="s">
        <v>6235</v>
      </c>
      <c r="B3142" s="20" t="s">
        <v>1548</v>
      </c>
    </row>
    <row r="3143" spans="1:2" x14ac:dyDescent="0.25">
      <c r="A3143" s="138" t="s">
        <v>6235</v>
      </c>
      <c r="B3143" s="138" t="s">
        <v>1548</v>
      </c>
    </row>
    <row r="3144" spans="1:2" x14ac:dyDescent="0.25">
      <c r="A3144" s="20" t="s">
        <v>6235</v>
      </c>
      <c r="B3144" s="20" t="s">
        <v>1548</v>
      </c>
    </row>
    <row r="3145" spans="1:2" x14ac:dyDescent="0.25">
      <c r="A3145" s="138" t="s">
        <v>6235</v>
      </c>
      <c r="B3145" s="138" t="s">
        <v>1548</v>
      </c>
    </row>
    <row r="3146" spans="1:2" x14ac:dyDescent="0.25">
      <c r="A3146" s="20" t="s">
        <v>6235</v>
      </c>
      <c r="B3146" s="20" t="s">
        <v>1548</v>
      </c>
    </row>
    <row r="3147" spans="1:2" x14ac:dyDescent="0.25">
      <c r="A3147" s="138" t="s">
        <v>6235</v>
      </c>
      <c r="B3147" s="138" t="s">
        <v>1548</v>
      </c>
    </row>
    <row r="3148" spans="1:2" x14ac:dyDescent="0.25">
      <c r="A3148" s="20" t="s">
        <v>6235</v>
      </c>
      <c r="B3148" s="20" t="s">
        <v>1548</v>
      </c>
    </row>
    <row r="3149" spans="1:2" x14ac:dyDescent="0.25">
      <c r="A3149" s="138" t="s">
        <v>6235</v>
      </c>
      <c r="B3149" s="138" t="s">
        <v>1548</v>
      </c>
    </row>
    <row r="3150" spans="1:2" x14ac:dyDescent="0.25">
      <c r="A3150" s="20" t="s">
        <v>6235</v>
      </c>
      <c r="B3150" s="20" t="s">
        <v>1548</v>
      </c>
    </row>
    <row r="3151" spans="1:2" x14ac:dyDescent="0.25">
      <c r="A3151" s="138">
        <v>115</v>
      </c>
      <c r="B3151" s="138" t="s">
        <v>2003</v>
      </c>
    </row>
    <row r="3152" spans="1:2" x14ac:dyDescent="0.25">
      <c r="A3152" s="20">
        <v>115</v>
      </c>
      <c r="B3152" s="20" t="s">
        <v>2003</v>
      </c>
    </row>
    <row r="3153" spans="1:2" x14ac:dyDescent="0.25">
      <c r="A3153" s="138">
        <v>115</v>
      </c>
      <c r="B3153" s="138" t="s">
        <v>2003</v>
      </c>
    </row>
    <row r="3154" spans="1:2" x14ac:dyDescent="0.25">
      <c r="A3154" s="20">
        <v>115</v>
      </c>
      <c r="B3154" s="20" t="s">
        <v>2003</v>
      </c>
    </row>
    <row r="3155" spans="1:2" x14ac:dyDescent="0.25">
      <c r="A3155" s="138">
        <v>115</v>
      </c>
      <c r="B3155" s="138" t="s">
        <v>2003</v>
      </c>
    </row>
    <row r="3156" spans="1:2" x14ac:dyDescent="0.25">
      <c r="A3156" s="20">
        <v>115</v>
      </c>
      <c r="B3156" s="20" t="s">
        <v>2003</v>
      </c>
    </row>
    <row r="3157" spans="1:2" x14ac:dyDescent="0.25">
      <c r="A3157" s="138">
        <v>115</v>
      </c>
      <c r="B3157" s="138" t="s">
        <v>2003</v>
      </c>
    </row>
    <row r="3158" spans="1:2" x14ac:dyDescent="0.25">
      <c r="A3158" s="20">
        <v>115</v>
      </c>
      <c r="B3158" s="20" t="s">
        <v>2003</v>
      </c>
    </row>
    <row r="3159" spans="1:2" x14ac:dyDescent="0.25">
      <c r="A3159" s="138">
        <v>115</v>
      </c>
      <c r="B3159" s="138" t="s">
        <v>2003</v>
      </c>
    </row>
    <row r="3160" spans="1:2" x14ac:dyDescent="0.25">
      <c r="A3160" s="20">
        <v>115</v>
      </c>
      <c r="B3160" s="20" t="s">
        <v>2003</v>
      </c>
    </row>
    <row r="3161" spans="1:2" x14ac:dyDescent="0.25">
      <c r="A3161" s="138">
        <v>115</v>
      </c>
      <c r="B3161" s="138" t="s">
        <v>2003</v>
      </c>
    </row>
    <row r="3162" spans="1:2" x14ac:dyDescent="0.25">
      <c r="A3162" s="20">
        <v>96</v>
      </c>
      <c r="B3162" s="20" t="s">
        <v>1275</v>
      </c>
    </row>
    <row r="3163" spans="1:2" x14ac:dyDescent="0.25">
      <c r="A3163" s="138">
        <v>96</v>
      </c>
      <c r="B3163" s="138" t="s">
        <v>1275</v>
      </c>
    </row>
    <row r="3164" spans="1:2" x14ac:dyDescent="0.25">
      <c r="A3164" s="20">
        <v>96</v>
      </c>
      <c r="B3164" s="20" t="s">
        <v>1275</v>
      </c>
    </row>
    <row r="3165" spans="1:2" x14ac:dyDescent="0.25">
      <c r="A3165" s="138">
        <v>96</v>
      </c>
      <c r="B3165" s="138" t="s">
        <v>1275</v>
      </c>
    </row>
    <row r="3166" spans="1:2" x14ac:dyDescent="0.25">
      <c r="A3166" s="20">
        <v>96</v>
      </c>
      <c r="B3166" s="20" t="s">
        <v>1275</v>
      </c>
    </row>
    <row r="3167" spans="1:2" x14ac:dyDescent="0.25">
      <c r="A3167" s="138">
        <v>96</v>
      </c>
      <c r="B3167" s="138" t="s">
        <v>1275</v>
      </c>
    </row>
    <row r="3168" spans="1:2" x14ac:dyDescent="0.25">
      <c r="A3168" s="20">
        <v>96</v>
      </c>
      <c r="B3168" s="20" t="s">
        <v>1275</v>
      </c>
    </row>
    <row r="3169" spans="1:2" x14ac:dyDescent="0.25">
      <c r="A3169" s="138">
        <v>96</v>
      </c>
      <c r="B3169" s="138" t="s">
        <v>1275</v>
      </c>
    </row>
    <row r="3170" spans="1:2" x14ac:dyDescent="0.25">
      <c r="A3170" s="20">
        <v>96</v>
      </c>
      <c r="B3170" s="20" t="s">
        <v>1275</v>
      </c>
    </row>
    <row r="3171" spans="1:2" x14ac:dyDescent="0.25">
      <c r="A3171" s="138">
        <v>96</v>
      </c>
      <c r="B3171" s="138" t="s">
        <v>1275</v>
      </c>
    </row>
    <row r="3172" spans="1:2" x14ac:dyDescent="0.25">
      <c r="A3172" s="20">
        <v>96</v>
      </c>
      <c r="B3172" s="20" t="s">
        <v>1275</v>
      </c>
    </row>
    <row r="3173" spans="1:2" x14ac:dyDescent="0.25">
      <c r="A3173" s="138">
        <v>96</v>
      </c>
      <c r="B3173" s="138" t="s">
        <v>1275</v>
      </c>
    </row>
    <row r="3174" spans="1:2" x14ac:dyDescent="0.25">
      <c r="A3174" s="20">
        <v>96</v>
      </c>
      <c r="B3174" s="20" t="s">
        <v>1275</v>
      </c>
    </row>
    <row r="3175" spans="1:2" x14ac:dyDescent="0.25">
      <c r="A3175" s="138">
        <v>96</v>
      </c>
      <c r="B3175" s="138" t="s">
        <v>1275</v>
      </c>
    </row>
    <row r="3176" spans="1:2" x14ac:dyDescent="0.25">
      <c r="A3176" s="20">
        <v>96</v>
      </c>
      <c r="B3176" s="20" t="s">
        <v>1275</v>
      </c>
    </row>
    <row r="3177" spans="1:2" x14ac:dyDescent="0.25">
      <c r="A3177" s="138">
        <v>96</v>
      </c>
      <c r="B3177" s="138" t="s">
        <v>1275</v>
      </c>
    </row>
    <row r="3178" spans="1:2" x14ac:dyDescent="0.25">
      <c r="A3178" s="20">
        <v>96</v>
      </c>
      <c r="B3178" s="20" t="s">
        <v>1275</v>
      </c>
    </row>
    <row r="3179" spans="1:2" x14ac:dyDescent="0.25">
      <c r="A3179" s="138">
        <v>96</v>
      </c>
      <c r="B3179" s="138" t="s">
        <v>1275</v>
      </c>
    </row>
    <row r="3180" spans="1:2" x14ac:dyDescent="0.25">
      <c r="A3180" s="20">
        <v>96</v>
      </c>
      <c r="B3180" s="20" t="s">
        <v>1275</v>
      </c>
    </row>
    <row r="3181" spans="1:2" x14ac:dyDescent="0.25">
      <c r="A3181" s="138">
        <v>96</v>
      </c>
      <c r="B3181" s="138" t="s">
        <v>1275</v>
      </c>
    </row>
    <row r="3182" spans="1:2" x14ac:dyDescent="0.25">
      <c r="A3182" s="20">
        <v>96</v>
      </c>
      <c r="B3182" s="20" t="s">
        <v>1275</v>
      </c>
    </row>
    <row r="3183" spans="1:2" x14ac:dyDescent="0.25">
      <c r="A3183" s="138">
        <v>96</v>
      </c>
      <c r="B3183" s="138" t="s">
        <v>1275</v>
      </c>
    </row>
    <row r="3184" spans="1:2" x14ac:dyDescent="0.25">
      <c r="A3184" s="20">
        <v>96</v>
      </c>
      <c r="B3184" s="20" t="s">
        <v>1275</v>
      </c>
    </row>
    <row r="3185" spans="1:2" x14ac:dyDescent="0.25">
      <c r="A3185" s="138">
        <v>96</v>
      </c>
      <c r="B3185" s="138" t="s">
        <v>1275</v>
      </c>
    </row>
    <row r="3186" spans="1:2" x14ac:dyDescent="0.25">
      <c r="A3186" s="20">
        <v>96</v>
      </c>
      <c r="B3186" s="20" t="s">
        <v>1275</v>
      </c>
    </row>
    <row r="3187" spans="1:2" x14ac:dyDescent="0.25">
      <c r="A3187" s="138">
        <v>96</v>
      </c>
      <c r="B3187" s="138" t="s">
        <v>1275</v>
      </c>
    </row>
    <row r="3188" spans="1:2" x14ac:dyDescent="0.25">
      <c r="A3188" s="20">
        <v>96</v>
      </c>
      <c r="B3188" s="20" t="s">
        <v>1275</v>
      </c>
    </row>
    <row r="3189" spans="1:2" x14ac:dyDescent="0.25">
      <c r="A3189" s="138">
        <v>96</v>
      </c>
      <c r="B3189" s="138" t="s">
        <v>1275</v>
      </c>
    </row>
    <row r="3190" spans="1:2" x14ac:dyDescent="0.25">
      <c r="A3190" s="20">
        <v>96</v>
      </c>
      <c r="B3190" s="20" t="s">
        <v>1275</v>
      </c>
    </row>
    <row r="3191" spans="1:2" x14ac:dyDescent="0.25">
      <c r="A3191" s="138">
        <v>96</v>
      </c>
      <c r="B3191" s="138" t="s">
        <v>1275</v>
      </c>
    </row>
    <row r="3192" spans="1:2" x14ac:dyDescent="0.25">
      <c r="A3192" s="20">
        <v>96</v>
      </c>
      <c r="B3192" s="20" t="s">
        <v>1275</v>
      </c>
    </row>
    <row r="3193" spans="1:2" x14ac:dyDescent="0.25">
      <c r="A3193" s="138">
        <v>18</v>
      </c>
      <c r="B3193" s="138" t="s">
        <v>1289</v>
      </c>
    </row>
    <row r="3194" spans="1:2" x14ac:dyDescent="0.25">
      <c r="A3194" s="138">
        <v>18</v>
      </c>
      <c r="B3194" s="138" t="s">
        <v>1289</v>
      </c>
    </row>
    <row r="3195" spans="1:2" x14ac:dyDescent="0.25">
      <c r="A3195" s="20">
        <v>18</v>
      </c>
      <c r="B3195" s="20" t="s">
        <v>1289</v>
      </c>
    </row>
    <row r="3196" spans="1:2" x14ac:dyDescent="0.25">
      <c r="A3196" s="138">
        <v>16</v>
      </c>
      <c r="B3196" s="138" t="s">
        <v>2005</v>
      </c>
    </row>
    <row r="3197" spans="1:2" x14ac:dyDescent="0.25">
      <c r="A3197" s="20">
        <v>16</v>
      </c>
      <c r="B3197" s="20" t="s">
        <v>2005</v>
      </c>
    </row>
    <row r="3198" spans="1:2" x14ac:dyDescent="0.25">
      <c r="A3198" s="138">
        <v>16</v>
      </c>
      <c r="B3198" s="138" t="s">
        <v>2005</v>
      </c>
    </row>
    <row r="3199" spans="1:2" x14ac:dyDescent="0.25">
      <c r="A3199" s="20">
        <v>11</v>
      </c>
      <c r="B3199" s="20" t="s">
        <v>638</v>
      </c>
    </row>
    <row r="3200" spans="1:2" x14ac:dyDescent="0.25">
      <c r="A3200" s="138">
        <v>11</v>
      </c>
      <c r="B3200" s="138" t="s">
        <v>638</v>
      </c>
    </row>
    <row r="3201" spans="1:2" x14ac:dyDescent="0.25">
      <c r="A3201" s="20">
        <v>11</v>
      </c>
      <c r="B3201" s="20" t="s">
        <v>638</v>
      </c>
    </row>
    <row r="3202" spans="1:2" x14ac:dyDescent="0.25">
      <c r="A3202" s="138">
        <v>11</v>
      </c>
      <c r="B3202" s="138" t="s">
        <v>638</v>
      </c>
    </row>
    <row r="3203" spans="1:2" x14ac:dyDescent="0.25">
      <c r="A3203" s="20">
        <v>11</v>
      </c>
      <c r="B3203" s="20" t="s">
        <v>638</v>
      </c>
    </row>
    <row r="3204" spans="1:2" x14ac:dyDescent="0.25">
      <c r="A3204" s="138">
        <v>11</v>
      </c>
      <c r="B3204" s="138" t="s">
        <v>638</v>
      </c>
    </row>
    <row r="3205" spans="1:2" x14ac:dyDescent="0.25">
      <c r="A3205" s="20">
        <v>11</v>
      </c>
      <c r="B3205" s="20" t="s">
        <v>638</v>
      </c>
    </row>
    <row r="3206" spans="1:2" x14ac:dyDescent="0.25">
      <c r="A3206" s="138">
        <v>11</v>
      </c>
      <c r="B3206" s="138" t="s">
        <v>638</v>
      </c>
    </row>
    <row r="3207" spans="1:2" x14ac:dyDescent="0.25">
      <c r="A3207" s="20">
        <v>11</v>
      </c>
      <c r="B3207" s="20" t="s">
        <v>638</v>
      </c>
    </row>
    <row r="3208" spans="1:2" x14ac:dyDescent="0.25">
      <c r="A3208" s="138">
        <v>11</v>
      </c>
      <c r="B3208" s="138" t="s">
        <v>638</v>
      </c>
    </row>
    <row r="3209" spans="1:2" x14ac:dyDescent="0.25">
      <c r="A3209" s="20">
        <v>11</v>
      </c>
      <c r="B3209" s="20" t="s">
        <v>638</v>
      </c>
    </row>
    <row r="3210" spans="1:2" x14ac:dyDescent="0.25">
      <c r="A3210" s="138">
        <v>11</v>
      </c>
      <c r="B3210" s="138" t="s">
        <v>638</v>
      </c>
    </row>
    <row r="3211" spans="1:2" x14ac:dyDescent="0.25">
      <c r="A3211" s="20">
        <v>11</v>
      </c>
      <c r="B3211" s="20" t="s">
        <v>638</v>
      </c>
    </row>
    <row r="3212" spans="1:2" x14ac:dyDescent="0.25">
      <c r="A3212" s="138">
        <v>11</v>
      </c>
      <c r="B3212" s="138" t="s">
        <v>638</v>
      </c>
    </row>
    <row r="3213" spans="1:2" x14ac:dyDescent="0.25">
      <c r="A3213" s="20" t="s">
        <v>3710</v>
      </c>
      <c r="B3213" s="20" t="s">
        <v>280</v>
      </c>
    </row>
    <row r="3214" spans="1:2" x14ac:dyDescent="0.25">
      <c r="A3214" s="138">
        <v>231</v>
      </c>
      <c r="B3214" s="138" t="s">
        <v>886</v>
      </c>
    </row>
    <row r="3215" spans="1:2" x14ac:dyDescent="0.25">
      <c r="A3215" s="20">
        <v>231</v>
      </c>
      <c r="B3215" s="20" t="s">
        <v>886</v>
      </c>
    </row>
    <row r="3216" spans="1:2" x14ac:dyDescent="0.25">
      <c r="A3216" s="138">
        <v>231</v>
      </c>
      <c r="B3216" s="138" t="s">
        <v>886</v>
      </c>
    </row>
    <row r="3217" spans="1:2" x14ac:dyDescent="0.25">
      <c r="A3217" s="20">
        <v>231</v>
      </c>
      <c r="B3217" s="20" t="s">
        <v>886</v>
      </c>
    </row>
    <row r="3218" spans="1:2" x14ac:dyDescent="0.25">
      <c r="A3218" s="138">
        <v>151</v>
      </c>
      <c r="B3218" s="138" t="s">
        <v>1161</v>
      </c>
    </row>
    <row r="3219" spans="1:2" x14ac:dyDescent="0.25">
      <c r="A3219" s="20">
        <v>151</v>
      </c>
      <c r="B3219" s="20" t="s">
        <v>1161</v>
      </c>
    </row>
    <row r="3220" spans="1:2" x14ac:dyDescent="0.25">
      <c r="A3220" s="138">
        <v>151</v>
      </c>
      <c r="B3220" s="138" t="s">
        <v>1161</v>
      </c>
    </row>
    <row r="3221" spans="1:2" x14ac:dyDescent="0.25">
      <c r="A3221" s="20">
        <v>151</v>
      </c>
      <c r="B3221" s="20" t="s">
        <v>1161</v>
      </c>
    </row>
    <row r="3222" spans="1:2" x14ac:dyDescent="0.25">
      <c r="A3222" s="138">
        <v>151</v>
      </c>
      <c r="B3222" s="138" t="s">
        <v>1161</v>
      </c>
    </row>
    <row r="3223" spans="1:2" x14ac:dyDescent="0.25">
      <c r="A3223" s="20">
        <v>151</v>
      </c>
      <c r="B3223" s="20" t="s">
        <v>1161</v>
      </c>
    </row>
    <row r="3224" spans="1:2" x14ac:dyDescent="0.25">
      <c r="A3224" s="138">
        <v>96</v>
      </c>
      <c r="B3224" s="138" t="s">
        <v>1403</v>
      </c>
    </row>
    <row r="3225" spans="1:2" x14ac:dyDescent="0.25">
      <c r="A3225" s="20">
        <v>96</v>
      </c>
      <c r="B3225" s="20" t="s">
        <v>1403</v>
      </c>
    </row>
    <row r="3226" spans="1:2" x14ac:dyDescent="0.25">
      <c r="A3226" s="138">
        <v>50</v>
      </c>
      <c r="B3226" s="138" t="s">
        <v>1478</v>
      </c>
    </row>
    <row r="3227" spans="1:2" x14ac:dyDescent="0.25">
      <c r="A3227" s="20">
        <v>50</v>
      </c>
      <c r="B3227" s="20" t="s">
        <v>1478</v>
      </c>
    </row>
    <row r="3228" spans="1:2" x14ac:dyDescent="0.25">
      <c r="A3228" s="138">
        <v>50</v>
      </c>
      <c r="B3228" s="138" t="s">
        <v>1478</v>
      </c>
    </row>
    <row r="3229" spans="1:2" x14ac:dyDescent="0.25">
      <c r="A3229" s="20">
        <v>50</v>
      </c>
      <c r="B3229" s="20" t="s">
        <v>1478</v>
      </c>
    </row>
    <row r="3230" spans="1:2" x14ac:dyDescent="0.25">
      <c r="A3230" s="138">
        <v>50</v>
      </c>
      <c r="B3230" s="138" t="s">
        <v>1478</v>
      </c>
    </row>
    <row r="3231" spans="1:2" x14ac:dyDescent="0.25">
      <c r="A3231" s="138" t="s">
        <v>2517</v>
      </c>
      <c r="B3231" s="138" t="s">
        <v>1289</v>
      </c>
    </row>
    <row r="3232" spans="1:2" x14ac:dyDescent="0.25">
      <c r="A3232" s="20">
        <v>97</v>
      </c>
      <c r="B3232" s="20" t="s">
        <v>206</v>
      </c>
    </row>
    <row r="3233" spans="1:2" x14ac:dyDescent="0.25">
      <c r="A3233" s="138">
        <v>97</v>
      </c>
      <c r="B3233" s="138" t="s">
        <v>206</v>
      </c>
    </row>
    <row r="3234" spans="1:2" x14ac:dyDescent="0.25">
      <c r="A3234" s="20">
        <v>97</v>
      </c>
      <c r="B3234" s="20" t="s">
        <v>206</v>
      </c>
    </row>
    <row r="3235" spans="1:2" x14ac:dyDescent="0.25">
      <c r="A3235" s="138">
        <v>97</v>
      </c>
      <c r="B3235" s="138" t="s">
        <v>206</v>
      </c>
    </row>
    <row r="3236" spans="1:2" x14ac:dyDescent="0.25">
      <c r="A3236" s="20">
        <v>97</v>
      </c>
      <c r="B3236" s="20" t="s">
        <v>206</v>
      </c>
    </row>
    <row r="3237" spans="1:2" x14ac:dyDescent="0.25">
      <c r="A3237" s="138">
        <v>97</v>
      </c>
      <c r="B3237" s="138" t="s">
        <v>206</v>
      </c>
    </row>
    <row r="3238" spans="1:2" x14ac:dyDescent="0.25">
      <c r="A3238" s="20">
        <v>97</v>
      </c>
      <c r="B3238" s="20" t="s">
        <v>206</v>
      </c>
    </row>
    <row r="3239" spans="1:2" x14ac:dyDescent="0.25">
      <c r="A3239" s="138">
        <v>97</v>
      </c>
      <c r="B3239" s="138" t="s">
        <v>206</v>
      </c>
    </row>
    <row r="3240" spans="1:2" x14ac:dyDescent="0.25">
      <c r="A3240" s="20">
        <v>97</v>
      </c>
      <c r="B3240" s="20" t="s">
        <v>206</v>
      </c>
    </row>
    <row r="3241" spans="1:2" x14ac:dyDescent="0.25">
      <c r="A3241" s="138" t="s">
        <v>6229</v>
      </c>
      <c r="B3241" s="138" t="s">
        <v>1726</v>
      </c>
    </row>
    <row r="3242" spans="1:2" x14ac:dyDescent="0.25">
      <c r="A3242" s="20" t="s">
        <v>6229</v>
      </c>
      <c r="B3242" s="20" t="s">
        <v>1726</v>
      </c>
    </row>
    <row r="3243" spans="1:2" x14ac:dyDescent="0.25">
      <c r="A3243" s="138">
        <v>115</v>
      </c>
      <c r="B3243" s="138" t="s">
        <v>2003</v>
      </c>
    </row>
    <row r="3244" spans="1:2" x14ac:dyDescent="0.25">
      <c r="A3244" s="20">
        <v>109</v>
      </c>
      <c r="B3244" s="20" t="s">
        <v>1346</v>
      </c>
    </row>
    <row r="3245" spans="1:2" x14ac:dyDescent="0.25">
      <c r="A3245" s="138">
        <v>18</v>
      </c>
      <c r="B3245" s="138" t="s">
        <v>1289</v>
      </c>
    </row>
    <row r="3246" spans="1:2" x14ac:dyDescent="0.25">
      <c r="A3246" s="138">
        <v>206</v>
      </c>
      <c r="B3246" s="138" t="s">
        <v>1075</v>
      </c>
    </row>
    <row r="3247" spans="1:2" x14ac:dyDescent="0.25">
      <c r="A3247" s="20">
        <v>151</v>
      </c>
      <c r="B3247" s="20" t="s">
        <v>1161</v>
      </c>
    </row>
    <row r="3248" spans="1:2" x14ac:dyDescent="0.25">
      <c r="A3248" s="138">
        <v>151</v>
      </c>
      <c r="B3248" s="138" t="s">
        <v>1161</v>
      </c>
    </row>
    <row r="3249" spans="1:2" x14ac:dyDescent="0.25">
      <c r="A3249" s="20">
        <v>151</v>
      </c>
      <c r="B3249" s="20" t="s">
        <v>1161</v>
      </c>
    </row>
    <row r="3250" spans="1:2" x14ac:dyDescent="0.25">
      <c r="A3250" s="138">
        <v>96</v>
      </c>
      <c r="B3250" s="138" t="s">
        <v>1403</v>
      </c>
    </row>
    <row r="3251" spans="1:2" x14ac:dyDescent="0.25">
      <c r="A3251" s="20">
        <v>96</v>
      </c>
      <c r="B3251" s="20" t="s">
        <v>1403</v>
      </c>
    </row>
    <row r="3252" spans="1:2" x14ac:dyDescent="0.25">
      <c r="A3252" s="138">
        <v>96</v>
      </c>
      <c r="B3252" s="138" t="s">
        <v>1403</v>
      </c>
    </row>
    <row r="3253" spans="1:2" x14ac:dyDescent="0.25">
      <c r="A3253" s="20">
        <v>50</v>
      </c>
      <c r="B3253" s="20" t="s">
        <v>1478</v>
      </c>
    </row>
    <row r="3254" spans="1:2" x14ac:dyDescent="0.25">
      <c r="A3254" s="138">
        <v>50</v>
      </c>
      <c r="B3254" s="138" t="s">
        <v>1478</v>
      </c>
    </row>
    <row r="3255" spans="1:2" x14ac:dyDescent="0.25">
      <c r="A3255" s="20">
        <v>16</v>
      </c>
      <c r="B3255" s="20" t="s">
        <v>417</v>
      </c>
    </row>
    <row r="3256" spans="1:2" x14ac:dyDescent="0.25">
      <c r="A3256" s="138">
        <v>16</v>
      </c>
      <c r="B3256" s="138" t="s">
        <v>417</v>
      </c>
    </row>
    <row r="3257" spans="1:2" x14ac:dyDescent="0.25">
      <c r="A3257" s="20">
        <v>252</v>
      </c>
      <c r="B3257" s="20" t="s">
        <v>615</v>
      </c>
    </row>
    <row r="3258" spans="1:2" x14ac:dyDescent="0.25">
      <c r="A3258" s="138" t="s">
        <v>6235</v>
      </c>
      <c r="B3258" s="138" t="s">
        <v>1548</v>
      </c>
    </row>
    <row r="3259" spans="1:2" x14ac:dyDescent="0.25">
      <c r="A3259" s="20" t="s">
        <v>6235</v>
      </c>
      <c r="B3259" s="20" t="s">
        <v>1548</v>
      </c>
    </row>
    <row r="3260" spans="1:2" x14ac:dyDescent="0.25">
      <c r="A3260" s="138" t="s">
        <v>6235</v>
      </c>
      <c r="B3260" s="138" t="s">
        <v>1548</v>
      </c>
    </row>
    <row r="3261" spans="1:2" x14ac:dyDescent="0.25">
      <c r="A3261" s="138" t="s">
        <v>6235</v>
      </c>
      <c r="B3261" s="138" t="s">
        <v>1548</v>
      </c>
    </row>
    <row r="3262" spans="1:2" x14ac:dyDescent="0.25">
      <c r="A3262" s="20" t="s">
        <v>6235</v>
      </c>
      <c r="B3262" s="20" t="s">
        <v>1548</v>
      </c>
    </row>
    <row r="3263" spans="1:2" x14ac:dyDescent="0.25">
      <c r="A3263" s="138" t="s">
        <v>6235</v>
      </c>
      <c r="B3263" s="138" t="s">
        <v>1548</v>
      </c>
    </row>
    <row r="3264" spans="1:2" x14ac:dyDescent="0.25">
      <c r="A3264" s="20" t="s">
        <v>6235</v>
      </c>
      <c r="B3264" s="20" t="s">
        <v>1548</v>
      </c>
    </row>
    <row r="3265" spans="1:2" x14ac:dyDescent="0.25">
      <c r="A3265" s="138" t="s">
        <v>6235</v>
      </c>
      <c r="B3265" s="138" t="s">
        <v>1548</v>
      </c>
    </row>
    <row r="3266" spans="1:2" x14ac:dyDescent="0.25">
      <c r="A3266" s="20" t="s">
        <v>6235</v>
      </c>
      <c r="B3266" s="20" t="s">
        <v>1548</v>
      </c>
    </row>
    <row r="3267" spans="1:2" x14ac:dyDescent="0.25">
      <c r="A3267" s="138" t="s">
        <v>6235</v>
      </c>
      <c r="B3267" s="138" t="s">
        <v>1548</v>
      </c>
    </row>
    <row r="3268" spans="1:2" x14ac:dyDescent="0.25">
      <c r="A3268" s="20" t="s">
        <v>6235</v>
      </c>
      <c r="B3268" s="20" t="s">
        <v>1548</v>
      </c>
    </row>
    <row r="3269" spans="1:2" x14ac:dyDescent="0.25">
      <c r="A3269" s="20" t="s">
        <v>6235</v>
      </c>
      <c r="B3269" s="20" t="s">
        <v>1548</v>
      </c>
    </row>
    <row r="3270" spans="1:2" x14ac:dyDescent="0.25">
      <c r="A3270" s="138" t="s">
        <v>6235</v>
      </c>
      <c r="B3270" s="138" t="s">
        <v>1548</v>
      </c>
    </row>
    <row r="3271" spans="1:2" x14ac:dyDescent="0.25">
      <c r="A3271" s="20" t="s">
        <v>6235</v>
      </c>
      <c r="B3271" s="20" t="s">
        <v>1548</v>
      </c>
    </row>
    <row r="3272" spans="1:2" x14ac:dyDescent="0.25">
      <c r="A3272" s="138" t="s">
        <v>6235</v>
      </c>
      <c r="B3272" s="138" t="s">
        <v>1548</v>
      </c>
    </row>
    <row r="3273" spans="1:2" x14ac:dyDescent="0.25">
      <c r="A3273" s="20" t="s">
        <v>6235</v>
      </c>
      <c r="B3273" s="20" t="s">
        <v>1548</v>
      </c>
    </row>
    <row r="3274" spans="1:2" x14ac:dyDescent="0.25">
      <c r="A3274" s="138" t="s">
        <v>6235</v>
      </c>
      <c r="B3274" s="138" t="s">
        <v>1548</v>
      </c>
    </row>
    <row r="3275" spans="1:2" x14ac:dyDescent="0.25">
      <c r="A3275" s="20" t="s">
        <v>6235</v>
      </c>
      <c r="B3275" s="20" t="s">
        <v>1548</v>
      </c>
    </row>
    <row r="3276" spans="1:2" x14ac:dyDescent="0.25">
      <c r="A3276" s="138" t="s">
        <v>6235</v>
      </c>
      <c r="B3276" s="138" t="s">
        <v>1548</v>
      </c>
    </row>
    <row r="3277" spans="1:2" x14ac:dyDescent="0.25">
      <c r="A3277" s="138" t="s">
        <v>6235</v>
      </c>
      <c r="B3277" s="138" t="s">
        <v>1548</v>
      </c>
    </row>
    <row r="3278" spans="1:2" x14ac:dyDescent="0.25">
      <c r="A3278" s="20" t="s">
        <v>6235</v>
      </c>
      <c r="B3278" s="20" t="s">
        <v>1548</v>
      </c>
    </row>
    <row r="3279" spans="1:2" x14ac:dyDescent="0.25">
      <c r="A3279" s="138" t="s">
        <v>6235</v>
      </c>
      <c r="B3279" s="138" t="s">
        <v>1548</v>
      </c>
    </row>
    <row r="3280" spans="1:2" x14ac:dyDescent="0.25">
      <c r="A3280" s="20" t="s">
        <v>6235</v>
      </c>
      <c r="B3280" s="20" t="s">
        <v>1548</v>
      </c>
    </row>
    <row r="3281" spans="1:2" x14ac:dyDescent="0.25">
      <c r="A3281" s="138" t="s">
        <v>6235</v>
      </c>
      <c r="B3281" s="138" t="s">
        <v>1548</v>
      </c>
    </row>
    <row r="3282" spans="1:2" x14ac:dyDescent="0.25">
      <c r="A3282" s="20" t="s">
        <v>6235</v>
      </c>
      <c r="B3282" s="20" t="s">
        <v>1548</v>
      </c>
    </row>
    <row r="3283" spans="1:2" x14ac:dyDescent="0.25">
      <c r="A3283" s="138" t="s">
        <v>6235</v>
      </c>
      <c r="B3283" s="138" t="s">
        <v>1548</v>
      </c>
    </row>
    <row r="3284" spans="1:2" x14ac:dyDescent="0.25">
      <c r="A3284" s="20" t="s">
        <v>6235</v>
      </c>
      <c r="B3284" s="20" t="s">
        <v>1548</v>
      </c>
    </row>
    <row r="3285" spans="1:2" x14ac:dyDescent="0.25">
      <c r="A3285" s="138" t="s">
        <v>6235</v>
      </c>
      <c r="B3285" s="138" t="s">
        <v>1548</v>
      </c>
    </row>
    <row r="3286" spans="1:2" x14ac:dyDescent="0.25">
      <c r="A3286" s="20" t="s">
        <v>6235</v>
      </c>
      <c r="B3286" s="20" t="s">
        <v>1548</v>
      </c>
    </row>
    <row r="3287" spans="1:2" x14ac:dyDescent="0.25">
      <c r="A3287" s="138" t="s">
        <v>6235</v>
      </c>
      <c r="B3287" s="138" t="s">
        <v>1548</v>
      </c>
    </row>
    <row r="3288" spans="1:2" x14ac:dyDescent="0.25">
      <c r="A3288" s="20" t="s">
        <v>6235</v>
      </c>
      <c r="B3288" s="20" t="s">
        <v>1548</v>
      </c>
    </row>
    <row r="3289" spans="1:2" x14ac:dyDescent="0.25">
      <c r="A3289" s="138" t="s">
        <v>6235</v>
      </c>
      <c r="B3289" s="138" t="s">
        <v>1548</v>
      </c>
    </row>
    <row r="3290" spans="1:2" x14ac:dyDescent="0.25">
      <c r="A3290" s="20" t="s">
        <v>6235</v>
      </c>
      <c r="B3290" s="20" t="s">
        <v>1548</v>
      </c>
    </row>
    <row r="3291" spans="1:2" x14ac:dyDescent="0.25">
      <c r="A3291" s="138" t="s">
        <v>6235</v>
      </c>
      <c r="B3291" s="138" t="s">
        <v>1548</v>
      </c>
    </row>
    <row r="3292" spans="1:2" x14ac:dyDescent="0.25">
      <c r="A3292" s="138" t="s">
        <v>6235</v>
      </c>
      <c r="B3292" s="138" t="s">
        <v>1548</v>
      </c>
    </row>
    <row r="3293" spans="1:2" x14ac:dyDescent="0.25">
      <c r="A3293" s="20" t="s">
        <v>6235</v>
      </c>
      <c r="B3293" s="20" t="s">
        <v>1548</v>
      </c>
    </row>
    <row r="3294" spans="1:2" x14ac:dyDescent="0.25">
      <c r="A3294" s="138" t="s">
        <v>6235</v>
      </c>
      <c r="B3294" s="138" t="s">
        <v>1548</v>
      </c>
    </row>
    <row r="3295" spans="1:2" x14ac:dyDescent="0.25">
      <c r="A3295" s="20" t="s">
        <v>6235</v>
      </c>
      <c r="B3295" s="20" t="s">
        <v>1548</v>
      </c>
    </row>
    <row r="3296" spans="1:2" x14ac:dyDescent="0.25">
      <c r="A3296" s="138" t="s">
        <v>6235</v>
      </c>
      <c r="B3296" s="138" t="s">
        <v>1548</v>
      </c>
    </row>
    <row r="3297" spans="1:2" x14ac:dyDescent="0.25">
      <c r="A3297" s="20" t="s">
        <v>6235</v>
      </c>
      <c r="B3297" s="20" t="s">
        <v>1548</v>
      </c>
    </row>
    <row r="3298" spans="1:2" x14ac:dyDescent="0.25">
      <c r="A3298" s="138" t="s">
        <v>6235</v>
      </c>
      <c r="B3298" s="138" t="s">
        <v>1548</v>
      </c>
    </row>
    <row r="3299" spans="1:2" x14ac:dyDescent="0.25">
      <c r="A3299" s="20" t="s">
        <v>6235</v>
      </c>
      <c r="B3299" s="20" t="s">
        <v>1548</v>
      </c>
    </row>
    <row r="3300" spans="1:2" x14ac:dyDescent="0.25">
      <c r="A3300" s="20" t="s">
        <v>6235</v>
      </c>
      <c r="B3300" s="20" t="s">
        <v>1548</v>
      </c>
    </row>
    <row r="3301" spans="1:2" x14ac:dyDescent="0.25">
      <c r="A3301" s="138" t="s">
        <v>6235</v>
      </c>
      <c r="B3301" s="138" t="s">
        <v>1548</v>
      </c>
    </row>
    <row r="3302" spans="1:2" x14ac:dyDescent="0.25">
      <c r="A3302" s="138" t="s">
        <v>6235</v>
      </c>
      <c r="B3302" s="138" t="s">
        <v>1548</v>
      </c>
    </row>
    <row r="3303" spans="1:2" x14ac:dyDescent="0.25">
      <c r="A3303" s="20" t="s">
        <v>6235</v>
      </c>
      <c r="B3303" s="20" t="s">
        <v>1548</v>
      </c>
    </row>
    <row r="3304" spans="1:2" x14ac:dyDescent="0.25">
      <c r="A3304" s="138" t="s">
        <v>6235</v>
      </c>
      <c r="B3304" s="138" t="s">
        <v>1548</v>
      </c>
    </row>
    <row r="3305" spans="1:2" x14ac:dyDescent="0.25">
      <c r="A3305" s="20" t="s">
        <v>6235</v>
      </c>
      <c r="B3305" s="20" t="s">
        <v>1548</v>
      </c>
    </row>
    <row r="3306" spans="1:2" x14ac:dyDescent="0.25">
      <c r="A3306" s="138" t="s">
        <v>6235</v>
      </c>
      <c r="B3306" s="138" t="s">
        <v>1548</v>
      </c>
    </row>
    <row r="3307" spans="1:2" x14ac:dyDescent="0.25">
      <c r="A3307" s="20" t="s">
        <v>6235</v>
      </c>
      <c r="B3307" s="20" t="s">
        <v>1548</v>
      </c>
    </row>
    <row r="3308" spans="1:2" x14ac:dyDescent="0.25">
      <c r="A3308" s="138" t="s">
        <v>6235</v>
      </c>
      <c r="B3308" s="138" t="s">
        <v>1548</v>
      </c>
    </row>
    <row r="3309" spans="1:2" x14ac:dyDescent="0.25">
      <c r="A3309" s="20" t="s">
        <v>6235</v>
      </c>
      <c r="B3309" s="20" t="s">
        <v>1548</v>
      </c>
    </row>
    <row r="3310" spans="1:2" x14ac:dyDescent="0.25">
      <c r="A3310" s="138" t="s">
        <v>6235</v>
      </c>
      <c r="B3310" s="138" t="s">
        <v>1548</v>
      </c>
    </row>
    <row r="3311" spans="1:2" x14ac:dyDescent="0.25">
      <c r="A3311" s="20" t="s">
        <v>6235</v>
      </c>
      <c r="B3311" s="20" t="s">
        <v>1548</v>
      </c>
    </row>
    <row r="3312" spans="1:2" x14ac:dyDescent="0.25">
      <c r="A3312" s="138" t="s">
        <v>6235</v>
      </c>
      <c r="B3312" s="138" t="s">
        <v>1548</v>
      </c>
    </row>
    <row r="3313" spans="1:2" x14ac:dyDescent="0.25">
      <c r="A3313" s="20" t="s">
        <v>6235</v>
      </c>
      <c r="B3313" s="20" t="s">
        <v>1548</v>
      </c>
    </row>
    <row r="3314" spans="1:2" x14ac:dyDescent="0.25">
      <c r="A3314" s="138" t="s">
        <v>6235</v>
      </c>
      <c r="B3314" s="138" t="s">
        <v>1548</v>
      </c>
    </row>
    <row r="3315" spans="1:2" x14ac:dyDescent="0.25">
      <c r="A3315" s="138" t="s">
        <v>6235</v>
      </c>
      <c r="B3315" s="138" t="s">
        <v>1548</v>
      </c>
    </row>
    <row r="3316" spans="1:2" x14ac:dyDescent="0.25">
      <c r="A3316" s="20" t="s">
        <v>6235</v>
      </c>
      <c r="B3316" s="20" t="s">
        <v>1548</v>
      </c>
    </row>
    <row r="3317" spans="1:2" x14ac:dyDescent="0.25">
      <c r="A3317" s="138" t="s">
        <v>6235</v>
      </c>
      <c r="B3317" s="138" t="s">
        <v>1548</v>
      </c>
    </row>
    <row r="3318" spans="1:2" x14ac:dyDescent="0.25">
      <c r="A3318" s="20" t="s">
        <v>6235</v>
      </c>
      <c r="B3318" s="20" t="s">
        <v>1548</v>
      </c>
    </row>
    <row r="3319" spans="1:2" x14ac:dyDescent="0.25">
      <c r="A3319" s="138" t="s">
        <v>6235</v>
      </c>
      <c r="B3319" s="138" t="s">
        <v>1548</v>
      </c>
    </row>
    <row r="3320" spans="1:2" x14ac:dyDescent="0.25">
      <c r="A3320" s="20" t="s">
        <v>6235</v>
      </c>
      <c r="B3320" s="20" t="s">
        <v>1548</v>
      </c>
    </row>
    <row r="3321" spans="1:2" x14ac:dyDescent="0.25">
      <c r="A3321" s="138" t="s">
        <v>6235</v>
      </c>
      <c r="B3321" s="138" t="s">
        <v>1548</v>
      </c>
    </row>
    <row r="3322" spans="1:2" x14ac:dyDescent="0.25">
      <c r="A3322" s="20" t="s">
        <v>6235</v>
      </c>
      <c r="B3322" s="20" t="s">
        <v>1548</v>
      </c>
    </row>
    <row r="3323" spans="1:2" x14ac:dyDescent="0.25">
      <c r="A3323" s="138" t="s">
        <v>6235</v>
      </c>
      <c r="B3323" s="138" t="s">
        <v>1548</v>
      </c>
    </row>
    <row r="3324" spans="1:2" x14ac:dyDescent="0.25">
      <c r="A3324" s="20" t="s">
        <v>6235</v>
      </c>
      <c r="B3324" s="20" t="s">
        <v>1548</v>
      </c>
    </row>
    <row r="3325" spans="1:2" x14ac:dyDescent="0.25">
      <c r="A3325" s="138" t="s">
        <v>6235</v>
      </c>
      <c r="B3325" s="138" t="s">
        <v>1548</v>
      </c>
    </row>
    <row r="3326" spans="1:2" x14ac:dyDescent="0.25">
      <c r="A3326" s="20" t="s">
        <v>6235</v>
      </c>
      <c r="B3326" s="20" t="s">
        <v>1548</v>
      </c>
    </row>
    <row r="3327" spans="1:2" x14ac:dyDescent="0.25">
      <c r="A3327" s="138">
        <v>115</v>
      </c>
      <c r="B3327" s="138" t="s">
        <v>2003</v>
      </c>
    </row>
    <row r="3328" spans="1:2" x14ac:dyDescent="0.25">
      <c r="A3328" s="138">
        <v>115</v>
      </c>
      <c r="B3328" s="138" t="s">
        <v>2003</v>
      </c>
    </row>
    <row r="3329" spans="1:2" x14ac:dyDescent="0.25">
      <c r="A3329" s="20">
        <v>115</v>
      </c>
      <c r="B3329" s="20" t="s">
        <v>2003</v>
      </c>
    </row>
    <row r="3330" spans="1:2" x14ac:dyDescent="0.25">
      <c r="A3330" s="138">
        <v>115</v>
      </c>
      <c r="B3330" s="138" t="s">
        <v>2003</v>
      </c>
    </row>
    <row r="3331" spans="1:2" x14ac:dyDescent="0.25">
      <c r="A3331" s="20">
        <v>96</v>
      </c>
      <c r="B3331" s="20" t="s">
        <v>1403</v>
      </c>
    </row>
    <row r="3332" spans="1:2" x14ac:dyDescent="0.25">
      <c r="A3332" s="138">
        <v>96</v>
      </c>
      <c r="B3332" s="138" t="s">
        <v>1403</v>
      </c>
    </row>
    <row r="3333" spans="1:2" x14ac:dyDescent="0.25">
      <c r="A3333" s="20">
        <v>96</v>
      </c>
      <c r="B3333" s="20" t="s">
        <v>1403</v>
      </c>
    </row>
    <row r="3334" spans="1:2" x14ac:dyDescent="0.25">
      <c r="A3334" s="138">
        <v>96</v>
      </c>
      <c r="B3334" s="138" t="s">
        <v>1403</v>
      </c>
    </row>
    <row r="3335" spans="1:2" x14ac:dyDescent="0.25">
      <c r="A3335" s="20">
        <v>96</v>
      </c>
      <c r="B3335" s="20" t="s">
        <v>1403</v>
      </c>
    </row>
    <row r="3336" spans="1:2" x14ac:dyDescent="0.25">
      <c r="A3336" s="138">
        <v>96</v>
      </c>
      <c r="B3336" s="138" t="s">
        <v>1403</v>
      </c>
    </row>
    <row r="3337" spans="1:2" x14ac:dyDescent="0.25">
      <c r="A3337" s="20" t="s">
        <v>2517</v>
      </c>
      <c r="B3337" s="20" t="s">
        <v>1289</v>
      </c>
    </row>
    <row r="3338" spans="1:2" x14ac:dyDescent="0.25">
      <c r="A3338" s="138">
        <v>16</v>
      </c>
      <c r="B3338" s="138" t="s">
        <v>417</v>
      </c>
    </row>
    <row r="3339" spans="1:2" x14ac:dyDescent="0.25">
      <c r="A3339" s="138">
        <v>18</v>
      </c>
      <c r="B3339" s="138" t="s">
        <v>1289</v>
      </c>
    </row>
    <row r="3340" spans="1:2" x14ac:dyDescent="0.25">
      <c r="A3340" s="20">
        <v>18</v>
      </c>
      <c r="B3340" s="20" t="s">
        <v>1289</v>
      </c>
    </row>
    <row r="3341" spans="1:2" x14ac:dyDescent="0.25">
      <c r="A3341" s="138" t="s">
        <v>3717</v>
      </c>
      <c r="B3341" s="138" t="s">
        <v>1244</v>
      </c>
    </row>
    <row r="3342" spans="1:2" x14ac:dyDescent="0.25">
      <c r="A3342" s="20" t="s">
        <v>3717</v>
      </c>
      <c r="B3342" s="20" t="s">
        <v>1244</v>
      </c>
    </row>
    <row r="3343" spans="1:2" x14ac:dyDescent="0.25">
      <c r="A3343" s="138">
        <v>16</v>
      </c>
      <c r="B3343" s="138" t="s">
        <v>2005</v>
      </c>
    </row>
    <row r="3344" spans="1:2" x14ac:dyDescent="0.25">
      <c r="A3344" s="20">
        <v>16</v>
      </c>
      <c r="B3344" s="20" t="s">
        <v>2005</v>
      </c>
    </row>
    <row r="3345" spans="1:2" x14ac:dyDescent="0.25">
      <c r="A3345" s="138">
        <v>16</v>
      </c>
      <c r="B3345" s="138" t="s">
        <v>2005</v>
      </c>
    </row>
    <row r="3346" spans="1:2" x14ac:dyDescent="0.25">
      <c r="A3346" s="20">
        <v>16</v>
      </c>
      <c r="B3346" s="20" t="s">
        <v>2005</v>
      </c>
    </row>
    <row r="3347" spans="1:2" x14ac:dyDescent="0.25">
      <c r="A3347" s="138">
        <v>16</v>
      </c>
      <c r="B3347" s="138" t="s">
        <v>2005</v>
      </c>
    </row>
    <row r="3348" spans="1:2" x14ac:dyDescent="0.25">
      <c r="A3348" s="20">
        <v>16</v>
      </c>
      <c r="B3348" s="20" t="s">
        <v>2005</v>
      </c>
    </row>
    <row r="3349" spans="1:2" x14ac:dyDescent="0.25">
      <c r="A3349" s="138">
        <v>16</v>
      </c>
      <c r="B3349" s="138" t="s">
        <v>2005</v>
      </c>
    </row>
    <row r="3350" spans="1:2" x14ac:dyDescent="0.25">
      <c r="A3350" s="20" t="s">
        <v>3658</v>
      </c>
      <c r="B3350" s="20" t="s">
        <v>270</v>
      </c>
    </row>
    <row r="3351" spans="1:2" x14ac:dyDescent="0.25">
      <c r="A3351" s="138" t="s">
        <v>3658</v>
      </c>
      <c r="B3351" s="138" t="s">
        <v>270</v>
      </c>
    </row>
    <row r="3352" spans="1:2" x14ac:dyDescent="0.25">
      <c r="A3352" s="20" t="s">
        <v>3658</v>
      </c>
      <c r="B3352" s="20" t="s">
        <v>270</v>
      </c>
    </row>
    <row r="3353" spans="1:2" x14ac:dyDescent="0.25">
      <c r="A3353" s="138" t="s">
        <v>3658</v>
      </c>
      <c r="B3353" s="138" t="s">
        <v>270</v>
      </c>
    </row>
    <row r="3354" spans="1:2" x14ac:dyDescent="0.25">
      <c r="A3354" s="138" t="s">
        <v>3710</v>
      </c>
      <c r="B3354" s="138" t="s">
        <v>280</v>
      </c>
    </row>
    <row r="3355" spans="1:2" x14ac:dyDescent="0.25">
      <c r="A3355" s="20">
        <v>206</v>
      </c>
      <c r="B3355" s="20" t="s">
        <v>1075</v>
      </c>
    </row>
    <row r="3356" spans="1:2" x14ac:dyDescent="0.25">
      <c r="A3356" s="138">
        <v>206</v>
      </c>
      <c r="B3356" s="138" t="s">
        <v>1075</v>
      </c>
    </row>
    <row r="3357" spans="1:2" x14ac:dyDescent="0.25">
      <c r="A3357" s="20" t="s">
        <v>6194</v>
      </c>
      <c r="B3357" s="20" t="s">
        <v>450</v>
      </c>
    </row>
    <row r="3358" spans="1:2" x14ac:dyDescent="0.25">
      <c r="A3358" s="138" t="s">
        <v>6194</v>
      </c>
      <c r="B3358" s="138" t="s">
        <v>450</v>
      </c>
    </row>
    <row r="3359" spans="1:2" x14ac:dyDescent="0.25">
      <c r="A3359" s="20">
        <v>151</v>
      </c>
      <c r="B3359" s="20" t="s">
        <v>1161</v>
      </c>
    </row>
    <row r="3360" spans="1:2" x14ac:dyDescent="0.25">
      <c r="A3360" s="138">
        <v>151</v>
      </c>
      <c r="B3360" s="138" t="s">
        <v>1161</v>
      </c>
    </row>
    <row r="3361" spans="1:2" x14ac:dyDescent="0.25">
      <c r="A3361" s="20">
        <v>151</v>
      </c>
      <c r="B3361" s="20" t="s">
        <v>1161</v>
      </c>
    </row>
    <row r="3362" spans="1:2" x14ac:dyDescent="0.25">
      <c r="A3362" s="138">
        <v>151</v>
      </c>
      <c r="B3362" s="138" t="s">
        <v>1161</v>
      </c>
    </row>
    <row r="3363" spans="1:2" x14ac:dyDescent="0.25">
      <c r="A3363" s="20">
        <v>151</v>
      </c>
      <c r="B3363" s="20" t="s">
        <v>1161</v>
      </c>
    </row>
    <row r="3364" spans="1:2" x14ac:dyDescent="0.25">
      <c r="A3364" s="138">
        <v>151</v>
      </c>
      <c r="B3364" s="138" t="s">
        <v>1161</v>
      </c>
    </row>
    <row r="3365" spans="1:2" x14ac:dyDescent="0.25">
      <c r="A3365" s="20">
        <v>151</v>
      </c>
      <c r="B3365" s="20" t="s">
        <v>1161</v>
      </c>
    </row>
    <row r="3366" spans="1:2" x14ac:dyDescent="0.25">
      <c r="A3366" s="138">
        <v>151</v>
      </c>
      <c r="B3366" s="138" t="s">
        <v>1161</v>
      </c>
    </row>
    <row r="3367" spans="1:2" x14ac:dyDescent="0.25">
      <c r="A3367" s="20">
        <v>151</v>
      </c>
      <c r="B3367" s="20" t="s">
        <v>1161</v>
      </c>
    </row>
    <row r="3368" spans="1:2" x14ac:dyDescent="0.25">
      <c r="A3368" s="138">
        <v>151</v>
      </c>
      <c r="B3368" s="138" t="s">
        <v>1161</v>
      </c>
    </row>
    <row r="3369" spans="1:2" x14ac:dyDescent="0.25">
      <c r="A3369" s="20">
        <v>151</v>
      </c>
      <c r="B3369" s="20" t="s">
        <v>1161</v>
      </c>
    </row>
    <row r="3370" spans="1:2" x14ac:dyDescent="0.25">
      <c r="A3370" s="138">
        <v>151</v>
      </c>
      <c r="B3370" s="138" t="s">
        <v>1161</v>
      </c>
    </row>
    <row r="3371" spans="1:2" x14ac:dyDescent="0.25">
      <c r="A3371" s="20">
        <v>151</v>
      </c>
      <c r="B3371" s="20" t="s">
        <v>1161</v>
      </c>
    </row>
    <row r="3372" spans="1:2" x14ac:dyDescent="0.25">
      <c r="A3372" s="138">
        <v>151</v>
      </c>
      <c r="B3372" s="138" t="s">
        <v>1161</v>
      </c>
    </row>
    <row r="3373" spans="1:2" x14ac:dyDescent="0.25">
      <c r="A3373" s="20">
        <v>151</v>
      </c>
      <c r="B3373" s="20" t="s">
        <v>1161</v>
      </c>
    </row>
    <row r="3374" spans="1:2" x14ac:dyDescent="0.25">
      <c r="A3374" s="138">
        <v>96</v>
      </c>
      <c r="B3374" s="138" t="s">
        <v>1403</v>
      </c>
    </row>
    <row r="3375" spans="1:2" x14ac:dyDescent="0.25">
      <c r="A3375" s="20">
        <v>96</v>
      </c>
      <c r="B3375" s="20" t="s">
        <v>1403</v>
      </c>
    </row>
    <row r="3376" spans="1:2" x14ac:dyDescent="0.25">
      <c r="A3376" s="138">
        <v>96</v>
      </c>
      <c r="B3376" s="138" t="s">
        <v>1403</v>
      </c>
    </row>
    <row r="3377" spans="1:2" x14ac:dyDescent="0.25">
      <c r="A3377" s="20">
        <v>96</v>
      </c>
      <c r="B3377" s="20" t="s">
        <v>1403</v>
      </c>
    </row>
    <row r="3378" spans="1:2" x14ac:dyDescent="0.25">
      <c r="A3378" s="138">
        <v>96</v>
      </c>
      <c r="B3378" s="138" t="s">
        <v>1403</v>
      </c>
    </row>
    <row r="3379" spans="1:2" x14ac:dyDescent="0.25">
      <c r="A3379" s="20">
        <v>96</v>
      </c>
      <c r="B3379" s="20" t="s">
        <v>1403</v>
      </c>
    </row>
    <row r="3380" spans="1:2" x14ac:dyDescent="0.25">
      <c r="A3380" s="138">
        <v>96</v>
      </c>
      <c r="B3380" s="138" t="s">
        <v>1403</v>
      </c>
    </row>
    <row r="3381" spans="1:2" x14ac:dyDescent="0.25">
      <c r="A3381" s="20">
        <v>50</v>
      </c>
      <c r="B3381" s="20" t="s">
        <v>1478</v>
      </c>
    </row>
    <row r="3382" spans="1:2" x14ac:dyDescent="0.25">
      <c r="A3382" s="138">
        <v>50</v>
      </c>
      <c r="B3382" s="138" t="s">
        <v>1478</v>
      </c>
    </row>
    <row r="3383" spans="1:2" x14ac:dyDescent="0.25">
      <c r="A3383" s="20">
        <v>97</v>
      </c>
      <c r="B3383" s="20" t="s">
        <v>206</v>
      </c>
    </row>
    <row r="3384" spans="1:2" x14ac:dyDescent="0.25">
      <c r="A3384" s="138">
        <v>97</v>
      </c>
      <c r="B3384" s="138" t="s">
        <v>206</v>
      </c>
    </row>
    <row r="3385" spans="1:2" x14ac:dyDescent="0.25">
      <c r="A3385" s="20">
        <v>97</v>
      </c>
      <c r="B3385" s="20" t="s">
        <v>206</v>
      </c>
    </row>
    <row r="3386" spans="1:2" x14ac:dyDescent="0.25">
      <c r="A3386" s="138" t="s">
        <v>6221</v>
      </c>
      <c r="B3386" s="138" t="s">
        <v>337</v>
      </c>
    </row>
    <row r="3387" spans="1:2" x14ac:dyDescent="0.25">
      <c r="A3387" s="20" t="s">
        <v>6221</v>
      </c>
      <c r="B3387" s="20" t="s">
        <v>337</v>
      </c>
    </row>
    <row r="3388" spans="1:2" x14ac:dyDescent="0.25">
      <c r="A3388" s="20">
        <v>16</v>
      </c>
      <c r="B3388" s="20" t="s">
        <v>417</v>
      </c>
    </row>
    <row r="3389" spans="1:2" x14ac:dyDescent="0.25">
      <c r="A3389" s="138">
        <v>16</v>
      </c>
      <c r="B3389" s="138" t="s">
        <v>417</v>
      </c>
    </row>
    <row r="3390" spans="1:2" x14ac:dyDescent="0.25">
      <c r="A3390" s="20">
        <v>16</v>
      </c>
      <c r="B3390" s="20" t="s">
        <v>417</v>
      </c>
    </row>
    <row r="3391" spans="1:2" x14ac:dyDescent="0.25">
      <c r="A3391" s="138" t="s">
        <v>6229</v>
      </c>
      <c r="B3391" s="138" t="s">
        <v>1726</v>
      </c>
    </row>
    <row r="3392" spans="1:2" x14ac:dyDescent="0.25">
      <c r="A3392" s="20">
        <v>199</v>
      </c>
      <c r="B3392" s="20" t="s">
        <v>1275</v>
      </c>
    </row>
    <row r="3393" spans="1:2" x14ac:dyDescent="0.25">
      <c r="A3393" s="138">
        <v>199</v>
      </c>
      <c r="B3393" s="138" t="s">
        <v>1275</v>
      </c>
    </row>
    <row r="3394" spans="1:2" x14ac:dyDescent="0.25">
      <c r="A3394" s="20">
        <v>16</v>
      </c>
      <c r="B3394" s="20" t="s">
        <v>901</v>
      </c>
    </row>
    <row r="3395" spans="1:2" x14ac:dyDescent="0.25">
      <c r="A3395" s="138">
        <v>16</v>
      </c>
      <c r="B3395" s="138" t="s">
        <v>901</v>
      </c>
    </row>
    <row r="3396" spans="1:2" x14ac:dyDescent="0.25">
      <c r="A3396" s="20">
        <v>96</v>
      </c>
      <c r="B3396" s="20" t="s">
        <v>1275</v>
      </c>
    </row>
    <row r="3397" spans="1:2" x14ac:dyDescent="0.25">
      <c r="A3397" s="138">
        <v>96</v>
      </c>
      <c r="B3397" s="138" t="s">
        <v>1275</v>
      </c>
    </row>
    <row r="3398" spans="1:2" x14ac:dyDescent="0.25">
      <c r="A3398" s="20">
        <v>96</v>
      </c>
      <c r="B3398" s="20" t="s">
        <v>1275</v>
      </c>
    </row>
    <row r="3399" spans="1:2" x14ac:dyDescent="0.25">
      <c r="A3399" s="138">
        <v>96</v>
      </c>
      <c r="B3399" s="138" t="s">
        <v>1275</v>
      </c>
    </row>
    <row r="3400" spans="1:2" x14ac:dyDescent="0.25">
      <c r="A3400" s="20">
        <v>96</v>
      </c>
      <c r="B3400" s="20" t="s">
        <v>1275</v>
      </c>
    </row>
    <row r="3401" spans="1:2" x14ac:dyDescent="0.25">
      <c r="A3401" s="138">
        <v>18</v>
      </c>
      <c r="B3401" s="138" t="s">
        <v>1289</v>
      </c>
    </row>
    <row r="3402" spans="1:2" x14ac:dyDescent="0.25">
      <c r="A3402" s="20">
        <v>18</v>
      </c>
      <c r="B3402" s="20" t="s">
        <v>1289</v>
      </c>
    </row>
    <row r="3403" spans="1:2" x14ac:dyDescent="0.25">
      <c r="A3403" s="138">
        <v>18</v>
      </c>
      <c r="B3403" s="138" t="s">
        <v>1289</v>
      </c>
    </row>
    <row r="3404" spans="1:2" x14ac:dyDescent="0.25">
      <c r="A3404" s="20">
        <v>26</v>
      </c>
      <c r="B3404" s="20" t="s">
        <v>655</v>
      </c>
    </row>
    <row r="3405" spans="1:2" x14ac:dyDescent="0.25">
      <c r="A3405" s="138">
        <v>16</v>
      </c>
      <c r="B3405" s="138" t="s">
        <v>2005</v>
      </c>
    </row>
    <row r="3406" spans="1:2" x14ac:dyDescent="0.25">
      <c r="A3406" s="20">
        <v>16</v>
      </c>
      <c r="B3406" s="20" t="s">
        <v>2005</v>
      </c>
    </row>
    <row r="3407" spans="1:2" x14ac:dyDescent="0.25">
      <c r="A3407" s="138">
        <v>16</v>
      </c>
      <c r="B3407" s="138" t="s">
        <v>2005</v>
      </c>
    </row>
    <row r="3408" spans="1:2" x14ac:dyDescent="0.25">
      <c r="A3408" s="20">
        <v>16</v>
      </c>
      <c r="B3408" s="20" t="s">
        <v>2005</v>
      </c>
    </row>
    <row r="3409" spans="1:2" x14ac:dyDescent="0.25">
      <c r="A3409" s="138">
        <v>16</v>
      </c>
      <c r="B3409" s="138" t="s">
        <v>2005</v>
      </c>
    </row>
    <row r="3410" spans="1:2" x14ac:dyDescent="0.25">
      <c r="A3410" s="20">
        <v>16</v>
      </c>
      <c r="B3410" s="20" t="s">
        <v>2005</v>
      </c>
    </row>
    <row r="3411" spans="1:2" x14ac:dyDescent="0.25">
      <c r="A3411" s="138">
        <v>16</v>
      </c>
      <c r="B3411" s="138" t="s">
        <v>2005</v>
      </c>
    </row>
    <row r="3412" spans="1:2" x14ac:dyDescent="0.25">
      <c r="A3412" s="20">
        <v>16</v>
      </c>
      <c r="B3412" s="20" t="s">
        <v>2005</v>
      </c>
    </row>
    <row r="3413" spans="1:2" x14ac:dyDescent="0.25">
      <c r="A3413" s="138">
        <v>16</v>
      </c>
      <c r="B3413" s="138" t="s">
        <v>2005</v>
      </c>
    </row>
    <row r="3414" spans="1:2" x14ac:dyDescent="0.25">
      <c r="A3414" s="20">
        <v>16</v>
      </c>
      <c r="B3414" s="20" t="s">
        <v>2005</v>
      </c>
    </row>
    <row r="3415" spans="1:2" x14ac:dyDescent="0.25">
      <c r="A3415" s="138">
        <v>16</v>
      </c>
      <c r="B3415" s="138" t="s">
        <v>2005</v>
      </c>
    </row>
    <row r="3416" spans="1:2" x14ac:dyDescent="0.25">
      <c r="A3416" s="20">
        <v>16</v>
      </c>
      <c r="B3416" s="20" t="s">
        <v>2005</v>
      </c>
    </row>
    <row r="3417" spans="1:2" x14ac:dyDescent="0.25">
      <c r="A3417" s="138">
        <v>11</v>
      </c>
      <c r="B3417" s="138" t="s">
        <v>638</v>
      </c>
    </row>
    <row r="3418" spans="1:2" x14ac:dyDescent="0.25">
      <c r="A3418" s="20">
        <v>11</v>
      </c>
      <c r="B3418" s="20" t="s">
        <v>638</v>
      </c>
    </row>
    <row r="3419" spans="1:2" x14ac:dyDescent="0.25">
      <c r="A3419" s="138">
        <v>11</v>
      </c>
      <c r="B3419" s="138" t="s">
        <v>638</v>
      </c>
    </row>
    <row r="3420" spans="1:2" x14ac:dyDescent="0.25">
      <c r="A3420" s="20">
        <v>11</v>
      </c>
      <c r="B3420" s="20" t="s">
        <v>638</v>
      </c>
    </row>
    <row r="3421" spans="1:2" x14ac:dyDescent="0.25">
      <c r="A3421" s="138">
        <v>11</v>
      </c>
      <c r="B3421" s="138" t="s">
        <v>638</v>
      </c>
    </row>
    <row r="3422" spans="1:2" x14ac:dyDescent="0.25">
      <c r="A3422" s="20" t="s">
        <v>3658</v>
      </c>
      <c r="B3422" s="20" t="s">
        <v>270</v>
      </c>
    </row>
    <row r="3423" spans="1:2" x14ac:dyDescent="0.25">
      <c r="A3423" s="138" t="s">
        <v>3658</v>
      </c>
      <c r="B3423" s="138" t="s">
        <v>270</v>
      </c>
    </row>
    <row r="3424" spans="1:2" x14ac:dyDescent="0.25">
      <c r="A3424" s="20" t="s">
        <v>3658</v>
      </c>
      <c r="B3424" s="20" t="s">
        <v>270</v>
      </c>
    </row>
    <row r="3425" spans="1:2" x14ac:dyDescent="0.25">
      <c r="A3425" s="138" t="s">
        <v>3658</v>
      </c>
      <c r="B3425" s="138" t="s">
        <v>270</v>
      </c>
    </row>
    <row r="3426" spans="1:2" x14ac:dyDescent="0.25">
      <c r="A3426" s="20" t="s">
        <v>3710</v>
      </c>
      <c r="B3426" s="20" t="s">
        <v>280</v>
      </c>
    </row>
    <row r="3427" spans="1:2" x14ac:dyDescent="0.25">
      <c r="A3427" s="138" t="s">
        <v>3710</v>
      </c>
      <c r="B3427" s="138" t="s">
        <v>280</v>
      </c>
    </row>
    <row r="3428" spans="1:2" x14ac:dyDescent="0.25">
      <c r="A3428" s="20" t="s">
        <v>3710</v>
      </c>
      <c r="B3428" s="20" t="s">
        <v>280</v>
      </c>
    </row>
    <row r="3429" spans="1:2" x14ac:dyDescent="0.25">
      <c r="A3429" s="138">
        <v>151</v>
      </c>
      <c r="B3429" s="138" t="s">
        <v>1161</v>
      </c>
    </row>
    <row r="3430" spans="1:2" x14ac:dyDescent="0.25">
      <c r="A3430" s="20">
        <v>151</v>
      </c>
      <c r="B3430" s="20" t="s">
        <v>1161</v>
      </c>
    </row>
    <row r="3431" spans="1:2" x14ac:dyDescent="0.25">
      <c r="A3431" s="138">
        <v>151</v>
      </c>
      <c r="B3431" s="138" t="s">
        <v>1161</v>
      </c>
    </row>
    <row r="3432" spans="1:2" x14ac:dyDescent="0.25">
      <c r="A3432" s="20">
        <v>96</v>
      </c>
      <c r="B3432" s="20" t="s">
        <v>1403</v>
      </c>
    </row>
    <row r="3433" spans="1:2" x14ac:dyDescent="0.25">
      <c r="A3433" s="138">
        <v>96</v>
      </c>
      <c r="B3433" s="138" t="s">
        <v>1403</v>
      </c>
    </row>
    <row r="3434" spans="1:2" x14ac:dyDescent="0.25">
      <c r="A3434" s="20">
        <v>96</v>
      </c>
      <c r="B3434" s="20" t="s">
        <v>1403</v>
      </c>
    </row>
    <row r="3435" spans="1:2" x14ac:dyDescent="0.25">
      <c r="A3435" s="138">
        <v>96</v>
      </c>
      <c r="B3435" s="138" t="s">
        <v>1403</v>
      </c>
    </row>
    <row r="3436" spans="1:2" x14ac:dyDescent="0.25">
      <c r="A3436" s="20">
        <v>96</v>
      </c>
      <c r="B3436" s="20" t="s">
        <v>1403</v>
      </c>
    </row>
    <row r="3437" spans="1:2" x14ac:dyDescent="0.25">
      <c r="A3437" s="138">
        <v>96</v>
      </c>
      <c r="B3437" s="138" t="s">
        <v>1403</v>
      </c>
    </row>
    <row r="3438" spans="1:2" x14ac:dyDescent="0.25">
      <c r="A3438" s="20">
        <v>96</v>
      </c>
      <c r="B3438" s="20" t="s">
        <v>1403</v>
      </c>
    </row>
    <row r="3439" spans="1:2" x14ac:dyDescent="0.25">
      <c r="A3439" s="138">
        <v>96</v>
      </c>
      <c r="B3439" s="138" t="s">
        <v>1403</v>
      </c>
    </row>
    <row r="3440" spans="1:2" x14ac:dyDescent="0.25">
      <c r="A3440" s="20">
        <v>96</v>
      </c>
      <c r="B3440" s="20" t="s">
        <v>1403</v>
      </c>
    </row>
    <row r="3441" spans="1:2" x14ac:dyDescent="0.25">
      <c r="A3441" s="138">
        <v>96</v>
      </c>
      <c r="B3441" s="138" t="s">
        <v>1403</v>
      </c>
    </row>
    <row r="3442" spans="1:2" x14ac:dyDescent="0.25">
      <c r="A3442" s="20">
        <v>96</v>
      </c>
      <c r="B3442" s="20" t="s">
        <v>1403</v>
      </c>
    </row>
    <row r="3443" spans="1:2" x14ac:dyDescent="0.25">
      <c r="A3443" s="138">
        <v>50</v>
      </c>
      <c r="B3443" s="138" t="s">
        <v>1478</v>
      </c>
    </row>
    <row r="3444" spans="1:2" x14ac:dyDescent="0.25">
      <c r="A3444" s="20" t="s">
        <v>6221</v>
      </c>
      <c r="B3444" s="20" t="s">
        <v>337</v>
      </c>
    </row>
    <row r="3445" spans="1:2" x14ac:dyDescent="0.25">
      <c r="A3445" s="138">
        <v>16</v>
      </c>
      <c r="B3445" s="138" t="s">
        <v>417</v>
      </c>
    </row>
    <row r="3446" spans="1:2" x14ac:dyDescent="0.25">
      <c r="A3446" s="20">
        <v>115</v>
      </c>
      <c r="B3446" s="20" t="s">
        <v>2003</v>
      </c>
    </row>
    <row r="3447" spans="1:2" x14ac:dyDescent="0.25">
      <c r="A3447" s="138">
        <v>115</v>
      </c>
      <c r="B3447" s="138" t="s">
        <v>2003</v>
      </c>
    </row>
    <row r="3448" spans="1:2" x14ac:dyDescent="0.25">
      <c r="A3448" s="20">
        <v>199</v>
      </c>
      <c r="B3448" s="20" t="s">
        <v>1275</v>
      </c>
    </row>
    <row r="3449" spans="1:2" x14ac:dyDescent="0.25">
      <c r="A3449" s="138">
        <v>234</v>
      </c>
      <c r="B3449" s="138" t="s">
        <v>206</v>
      </c>
    </row>
    <row r="3450" spans="1:2" x14ac:dyDescent="0.25">
      <c r="A3450" s="20">
        <v>109</v>
      </c>
      <c r="B3450" s="20" t="s">
        <v>1346</v>
      </c>
    </row>
    <row r="3451" spans="1:2" x14ac:dyDescent="0.25">
      <c r="A3451" s="138">
        <v>96</v>
      </c>
      <c r="B3451" s="138" t="s">
        <v>1275</v>
      </c>
    </row>
    <row r="3452" spans="1:2" x14ac:dyDescent="0.25">
      <c r="A3452" s="20">
        <v>96</v>
      </c>
      <c r="B3452" s="20" t="s">
        <v>1275</v>
      </c>
    </row>
    <row r="3453" spans="1:2" x14ac:dyDescent="0.25">
      <c r="A3453" s="138">
        <v>96</v>
      </c>
      <c r="B3453" s="138" t="s">
        <v>1275</v>
      </c>
    </row>
    <row r="3454" spans="1:2" x14ac:dyDescent="0.25">
      <c r="A3454" s="20">
        <v>96</v>
      </c>
      <c r="B3454" s="20" t="s">
        <v>1275</v>
      </c>
    </row>
    <row r="3455" spans="1:2" x14ac:dyDescent="0.25">
      <c r="A3455" s="138">
        <v>96</v>
      </c>
      <c r="B3455" s="138" t="s">
        <v>1275</v>
      </c>
    </row>
    <row r="3456" spans="1:2" x14ac:dyDescent="0.25">
      <c r="A3456" s="20">
        <v>96</v>
      </c>
      <c r="B3456" s="20" t="s">
        <v>1275</v>
      </c>
    </row>
    <row r="3457" spans="1:2" x14ac:dyDescent="0.25">
      <c r="A3457" s="138">
        <v>96</v>
      </c>
      <c r="B3457" s="138" t="s">
        <v>1275</v>
      </c>
    </row>
    <row r="3458" spans="1:2" x14ac:dyDescent="0.25">
      <c r="A3458" s="20">
        <v>96</v>
      </c>
      <c r="B3458" s="20" t="s">
        <v>1275</v>
      </c>
    </row>
    <row r="3459" spans="1:2" x14ac:dyDescent="0.25">
      <c r="A3459" s="138">
        <v>96</v>
      </c>
      <c r="B3459" s="138" t="s">
        <v>1275</v>
      </c>
    </row>
    <row r="3460" spans="1:2" x14ac:dyDescent="0.25">
      <c r="A3460" s="20">
        <v>96</v>
      </c>
      <c r="B3460" s="20" t="s">
        <v>1275</v>
      </c>
    </row>
    <row r="3461" spans="1:2" x14ac:dyDescent="0.25">
      <c r="A3461" s="138">
        <v>96</v>
      </c>
      <c r="B3461" s="138" t="s">
        <v>1275</v>
      </c>
    </row>
    <row r="3462" spans="1:2" x14ac:dyDescent="0.25">
      <c r="A3462" s="20">
        <v>96</v>
      </c>
      <c r="B3462" s="20" t="s">
        <v>1275</v>
      </c>
    </row>
    <row r="3463" spans="1:2" x14ac:dyDescent="0.25">
      <c r="A3463" s="138">
        <v>96</v>
      </c>
      <c r="B3463" s="138" t="s">
        <v>1275</v>
      </c>
    </row>
    <row r="3464" spans="1:2" x14ac:dyDescent="0.25">
      <c r="A3464" s="20">
        <v>96</v>
      </c>
      <c r="B3464" s="20" t="s">
        <v>1275</v>
      </c>
    </row>
    <row r="3465" spans="1:2" x14ac:dyDescent="0.25">
      <c r="A3465" s="138">
        <v>96</v>
      </c>
      <c r="B3465" s="138" t="s">
        <v>1275</v>
      </c>
    </row>
    <row r="3466" spans="1:2" x14ac:dyDescent="0.25">
      <c r="A3466" s="20">
        <v>96</v>
      </c>
      <c r="B3466" s="20" t="s">
        <v>1275</v>
      </c>
    </row>
    <row r="3467" spans="1:2" x14ac:dyDescent="0.25">
      <c r="A3467" s="138">
        <v>96</v>
      </c>
      <c r="B3467" s="138" t="s">
        <v>1275</v>
      </c>
    </row>
    <row r="3468" spans="1:2" x14ac:dyDescent="0.25">
      <c r="A3468" s="20">
        <v>32</v>
      </c>
      <c r="B3468" s="20" t="s">
        <v>693</v>
      </c>
    </row>
    <row r="3469" spans="1:2" x14ac:dyDescent="0.25">
      <c r="A3469" s="138" t="s">
        <v>2517</v>
      </c>
      <c r="B3469" s="138" t="s">
        <v>1289</v>
      </c>
    </row>
    <row r="3470" spans="1:2" x14ac:dyDescent="0.25">
      <c r="A3470" s="20" t="s">
        <v>2517</v>
      </c>
      <c r="B3470" s="20" t="s">
        <v>1289</v>
      </c>
    </row>
    <row r="3471" spans="1:2" x14ac:dyDescent="0.25">
      <c r="A3471" s="138" t="s">
        <v>3717</v>
      </c>
      <c r="B3471" s="138" t="s">
        <v>1244</v>
      </c>
    </row>
    <row r="3472" spans="1:2" x14ac:dyDescent="0.25">
      <c r="A3472" s="138">
        <v>26</v>
      </c>
      <c r="B3472" s="138" t="s">
        <v>655</v>
      </c>
    </row>
    <row r="3473" spans="1:2" x14ac:dyDescent="0.25">
      <c r="A3473" s="20">
        <v>16</v>
      </c>
      <c r="B3473" s="20" t="s">
        <v>2005</v>
      </c>
    </row>
    <row r="3474" spans="1:2" x14ac:dyDescent="0.25">
      <c r="A3474" s="138">
        <v>16</v>
      </c>
      <c r="B3474" s="138" t="s">
        <v>2005</v>
      </c>
    </row>
    <row r="3475" spans="1:2" x14ac:dyDescent="0.25">
      <c r="A3475" s="20">
        <v>16</v>
      </c>
      <c r="B3475" s="20" t="s">
        <v>2005</v>
      </c>
    </row>
    <row r="3476" spans="1:2" x14ac:dyDescent="0.25">
      <c r="A3476" s="138">
        <v>16</v>
      </c>
      <c r="B3476" s="138" t="s">
        <v>2005</v>
      </c>
    </row>
    <row r="3477" spans="1:2" x14ac:dyDescent="0.25">
      <c r="A3477" s="20">
        <v>16</v>
      </c>
      <c r="B3477" s="20" t="s">
        <v>2005</v>
      </c>
    </row>
    <row r="3478" spans="1:2" x14ac:dyDescent="0.25">
      <c r="A3478" s="138">
        <v>16</v>
      </c>
      <c r="B3478" s="138" t="s">
        <v>2005</v>
      </c>
    </row>
    <row r="3479" spans="1:2" x14ac:dyDescent="0.25">
      <c r="A3479" s="20">
        <v>16</v>
      </c>
      <c r="B3479" s="20" t="s">
        <v>2005</v>
      </c>
    </row>
    <row r="3480" spans="1:2" x14ac:dyDescent="0.25">
      <c r="A3480" s="138">
        <v>16</v>
      </c>
      <c r="B3480" s="138" t="s">
        <v>2005</v>
      </c>
    </row>
    <row r="3481" spans="1:2" x14ac:dyDescent="0.25">
      <c r="A3481" s="20">
        <v>16</v>
      </c>
      <c r="B3481" s="20" t="s">
        <v>2005</v>
      </c>
    </row>
    <row r="3482" spans="1:2" x14ac:dyDescent="0.25">
      <c r="A3482" s="138">
        <v>16</v>
      </c>
      <c r="B3482" s="138" t="s">
        <v>2005</v>
      </c>
    </row>
    <row r="3483" spans="1:2" x14ac:dyDescent="0.25">
      <c r="A3483" s="20">
        <v>16</v>
      </c>
      <c r="B3483" s="20" t="s">
        <v>2005</v>
      </c>
    </row>
    <row r="3484" spans="1:2" x14ac:dyDescent="0.25">
      <c r="A3484" s="138">
        <v>11</v>
      </c>
      <c r="B3484" s="138" t="s">
        <v>638</v>
      </c>
    </row>
    <row r="3485" spans="1:2" x14ac:dyDescent="0.25">
      <c r="A3485" s="20">
        <v>11</v>
      </c>
      <c r="B3485" s="20" t="s">
        <v>638</v>
      </c>
    </row>
    <row r="3486" spans="1:2" x14ac:dyDescent="0.25">
      <c r="A3486" s="138">
        <v>11</v>
      </c>
      <c r="B3486" s="138" t="s">
        <v>638</v>
      </c>
    </row>
    <row r="3487" spans="1:2" x14ac:dyDescent="0.25">
      <c r="A3487" s="20">
        <v>11</v>
      </c>
      <c r="B3487" s="20" t="s">
        <v>638</v>
      </c>
    </row>
    <row r="3488" spans="1:2" x14ac:dyDescent="0.25">
      <c r="A3488" s="138">
        <v>11</v>
      </c>
      <c r="B3488" s="138" t="s">
        <v>638</v>
      </c>
    </row>
    <row r="3489" spans="1:2" x14ac:dyDescent="0.25">
      <c r="A3489" s="20">
        <v>11</v>
      </c>
      <c r="B3489" s="20" t="s">
        <v>638</v>
      </c>
    </row>
    <row r="3490" spans="1:2" x14ac:dyDescent="0.25">
      <c r="A3490" s="138" t="s">
        <v>3658</v>
      </c>
      <c r="B3490" s="138" t="s">
        <v>270</v>
      </c>
    </row>
    <row r="3491" spans="1:2" x14ac:dyDescent="0.25">
      <c r="A3491" s="20" t="s">
        <v>3658</v>
      </c>
      <c r="B3491" s="20" t="s">
        <v>270</v>
      </c>
    </row>
    <row r="3492" spans="1:2" x14ac:dyDescent="0.25">
      <c r="A3492" s="138" t="s">
        <v>3658</v>
      </c>
      <c r="B3492" s="138" t="s">
        <v>270</v>
      </c>
    </row>
    <row r="3493" spans="1:2" x14ac:dyDescent="0.25">
      <c r="A3493" s="20" t="s">
        <v>3658</v>
      </c>
      <c r="B3493" s="20" t="s">
        <v>270</v>
      </c>
    </row>
    <row r="3494" spans="1:2" x14ac:dyDescent="0.25">
      <c r="A3494" s="138" t="s">
        <v>3658</v>
      </c>
      <c r="B3494" s="138" t="s">
        <v>270</v>
      </c>
    </row>
    <row r="3495" spans="1:2" x14ac:dyDescent="0.25">
      <c r="A3495" s="20" t="s">
        <v>3658</v>
      </c>
      <c r="B3495" s="20" t="s">
        <v>270</v>
      </c>
    </row>
    <row r="3496" spans="1:2" x14ac:dyDescent="0.25">
      <c r="A3496" s="138" t="s">
        <v>3710</v>
      </c>
      <c r="B3496" s="138" t="s">
        <v>280</v>
      </c>
    </row>
    <row r="3497" spans="1:2" x14ac:dyDescent="0.25">
      <c r="A3497" s="20">
        <v>11</v>
      </c>
      <c r="B3497" s="20" t="s">
        <v>638</v>
      </c>
    </row>
    <row r="3498" spans="1:2" x14ac:dyDescent="0.25">
      <c r="A3498" s="138">
        <v>59</v>
      </c>
      <c r="B3498" s="138" t="s">
        <v>886</v>
      </c>
    </row>
    <row r="3499" spans="1:2" x14ac:dyDescent="0.25">
      <c r="A3499" s="20">
        <v>151</v>
      </c>
      <c r="B3499" s="20" t="s">
        <v>1161</v>
      </c>
    </row>
    <row r="3500" spans="1:2" x14ac:dyDescent="0.25">
      <c r="A3500" s="138">
        <v>151</v>
      </c>
      <c r="B3500" s="138" t="s">
        <v>1161</v>
      </c>
    </row>
    <row r="3501" spans="1:2" x14ac:dyDescent="0.25">
      <c r="A3501" s="20">
        <v>151</v>
      </c>
      <c r="B3501" s="20" t="s">
        <v>1161</v>
      </c>
    </row>
    <row r="3502" spans="1:2" x14ac:dyDescent="0.25">
      <c r="A3502" s="138">
        <v>96</v>
      </c>
      <c r="B3502" s="138" t="s">
        <v>1403</v>
      </c>
    </row>
    <row r="3503" spans="1:2" x14ac:dyDescent="0.25">
      <c r="A3503" s="20">
        <v>96</v>
      </c>
      <c r="B3503" s="20" t="s">
        <v>1403</v>
      </c>
    </row>
    <row r="3504" spans="1:2" x14ac:dyDescent="0.25">
      <c r="A3504" s="138">
        <v>96</v>
      </c>
      <c r="B3504" s="138" t="s">
        <v>1403</v>
      </c>
    </row>
    <row r="3505" spans="1:2" x14ac:dyDescent="0.25">
      <c r="A3505" s="20">
        <v>96</v>
      </c>
      <c r="B3505" s="20" t="s">
        <v>1403</v>
      </c>
    </row>
    <row r="3506" spans="1:2" x14ac:dyDescent="0.25">
      <c r="A3506" s="138">
        <v>96</v>
      </c>
      <c r="B3506" s="138" t="s">
        <v>1403</v>
      </c>
    </row>
    <row r="3507" spans="1:2" x14ac:dyDescent="0.25">
      <c r="A3507" s="20">
        <v>96</v>
      </c>
      <c r="B3507" s="20" t="s">
        <v>1403</v>
      </c>
    </row>
    <row r="3508" spans="1:2" x14ac:dyDescent="0.25">
      <c r="A3508" s="138">
        <v>96</v>
      </c>
      <c r="B3508" s="138" t="s">
        <v>1403</v>
      </c>
    </row>
    <row r="3509" spans="1:2" x14ac:dyDescent="0.25">
      <c r="A3509" s="20">
        <v>96</v>
      </c>
      <c r="B3509" s="20" t="s">
        <v>1403</v>
      </c>
    </row>
    <row r="3510" spans="1:2" x14ac:dyDescent="0.25">
      <c r="A3510" s="138">
        <v>96</v>
      </c>
      <c r="B3510" s="138" t="s">
        <v>1403</v>
      </c>
    </row>
    <row r="3511" spans="1:2" x14ac:dyDescent="0.25">
      <c r="A3511" s="20">
        <v>96</v>
      </c>
      <c r="B3511" s="20" t="s">
        <v>1403</v>
      </c>
    </row>
    <row r="3512" spans="1:2" x14ac:dyDescent="0.25">
      <c r="A3512" s="138">
        <v>96</v>
      </c>
      <c r="B3512" s="138" t="s">
        <v>1403</v>
      </c>
    </row>
    <row r="3513" spans="1:2" x14ac:dyDescent="0.25">
      <c r="A3513" s="20">
        <v>96</v>
      </c>
      <c r="B3513" s="20" t="s">
        <v>1403</v>
      </c>
    </row>
    <row r="3514" spans="1:2" x14ac:dyDescent="0.25">
      <c r="A3514" s="138">
        <v>96</v>
      </c>
      <c r="B3514" s="138" t="s">
        <v>1403</v>
      </c>
    </row>
    <row r="3515" spans="1:2" x14ac:dyDescent="0.25">
      <c r="A3515" s="20">
        <v>96</v>
      </c>
      <c r="B3515" s="20" t="s">
        <v>1403</v>
      </c>
    </row>
    <row r="3516" spans="1:2" x14ac:dyDescent="0.25">
      <c r="A3516" s="138">
        <v>96</v>
      </c>
      <c r="B3516" s="138" t="s">
        <v>1403</v>
      </c>
    </row>
    <row r="3517" spans="1:2" x14ac:dyDescent="0.25">
      <c r="A3517" s="20">
        <v>96</v>
      </c>
      <c r="B3517" s="20" t="s">
        <v>1403</v>
      </c>
    </row>
    <row r="3518" spans="1:2" x14ac:dyDescent="0.25">
      <c r="A3518" s="138">
        <v>96</v>
      </c>
      <c r="B3518" s="138" t="s">
        <v>1403</v>
      </c>
    </row>
    <row r="3519" spans="1:2" x14ac:dyDescent="0.25">
      <c r="A3519" s="20">
        <v>96</v>
      </c>
      <c r="B3519" s="20" t="s">
        <v>1403</v>
      </c>
    </row>
    <row r="3520" spans="1:2" x14ac:dyDescent="0.25">
      <c r="A3520" s="138">
        <v>96</v>
      </c>
      <c r="B3520" s="138" t="s">
        <v>1403</v>
      </c>
    </row>
    <row r="3521" spans="1:2" x14ac:dyDescent="0.25">
      <c r="A3521" s="20">
        <v>96</v>
      </c>
      <c r="B3521" s="20" t="s">
        <v>1403</v>
      </c>
    </row>
    <row r="3522" spans="1:2" x14ac:dyDescent="0.25">
      <c r="A3522" s="138">
        <v>96</v>
      </c>
      <c r="B3522" s="138" t="s">
        <v>1403</v>
      </c>
    </row>
    <row r="3523" spans="1:2" x14ac:dyDescent="0.25">
      <c r="A3523" s="20">
        <v>96</v>
      </c>
      <c r="B3523" s="20" t="s">
        <v>1403</v>
      </c>
    </row>
    <row r="3524" spans="1:2" x14ac:dyDescent="0.25">
      <c r="A3524" s="138">
        <v>96</v>
      </c>
      <c r="B3524" s="138" t="s">
        <v>1403</v>
      </c>
    </row>
    <row r="3525" spans="1:2" x14ac:dyDescent="0.25">
      <c r="A3525" s="20">
        <v>96</v>
      </c>
      <c r="B3525" s="20" t="s">
        <v>1403</v>
      </c>
    </row>
    <row r="3526" spans="1:2" x14ac:dyDescent="0.25">
      <c r="A3526" s="138">
        <v>96</v>
      </c>
      <c r="B3526" s="138" t="s">
        <v>1403</v>
      </c>
    </row>
    <row r="3527" spans="1:2" x14ac:dyDescent="0.25">
      <c r="A3527" s="20">
        <v>96</v>
      </c>
      <c r="B3527" s="20" t="s">
        <v>1403</v>
      </c>
    </row>
    <row r="3528" spans="1:2" x14ac:dyDescent="0.25">
      <c r="A3528" s="138">
        <v>96</v>
      </c>
      <c r="B3528" s="138" t="s">
        <v>1403</v>
      </c>
    </row>
    <row r="3529" spans="1:2" x14ac:dyDescent="0.25">
      <c r="A3529" s="20">
        <v>50</v>
      </c>
      <c r="B3529" s="20" t="s">
        <v>1478</v>
      </c>
    </row>
    <row r="3530" spans="1:2" x14ac:dyDescent="0.25">
      <c r="A3530" s="138">
        <v>50</v>
      </c>
      <c r="B3530" s="138" t="s">
        <v>1478</v>
      </c>
    </row>
    <row r="3531" spans="1:2" x14ac:dyDescent="0.25">
      <c r="A3531" s="20">
        <v>50</v>
      </c>
      <c r="B3531" s="20" t="s">
        <v>1478</v>
      </c>
    </row>
    <row r="3532" spans="1:2" x14ac:dyDescent="0.25">
      <c r="A3532" s="138">
        <v>97</v>
      </c>
      <c r="B3532" s="138" t="s">
        <v>206</v>
      </c>
    </row>
    <row r="3533" spans="1:2" x14ac:dyDescent="0.25">
      <c r="A3533" s="20">
        <v>97</v>
      </c>
      <c r="B3533" s="20" t="s">
        <v>206</v>
      </c>
    </row>
    <row r="3534" spans="1:2" x14ac:dyDescent="0.25">
      <c r="A3534" s="138">
        <v>252</v>
      </c>
      <c r="B3534" s="138" t="s">
        <v>615</v>
      </c>
    </row>
    <row r="3535" spans="1:2" x14ac:dyDescent="0.25">
      <c r="A3535" s="20">
        <v>252</v>
      </c>
      <c r="B3535" s="20" t="s">
        <v>615</v>
      </c>
    </row>
    <row r="3536" spans="1:2" x14ac:dyDescent="0.25">
      <c r="A3536" s="138">
        <v>252</v>
      </c>
      <c r="B3536" s="138" t="s">
        <v>615</v>
      </c>
    </row>
    <row r="3537" spans="1:2" x14ac:dyDescent="0.25">
      <c r="A3537" s="20">
        <v>252</v>
      </c>
      <c r="B3537" s="20" t="s">
        <v>615</v>
      </c>
    </row>
    <row r="3538" spans="1:2" x14ac:dyDescent="0.25">
      <c r="A3538" s="138">
        <v>252</v>
      </c>
      <c r="B3538" s="138" t="s">
        <v>615</v>
      </c>
    </row>
    <row r="3539" spans="1:2" x14ac:dyDescent="0.25">
      <c r="A3539" s="20">
        <v>16</v>
      </c>
      <c r="B3539" s="20" t="s">
        <v>417</v>
      </c>
    </row>
    <row r="3540" spans="1:2" x14ac:dyDescent="0.25">
      <c r="A3540" s="138">
        <v>252</v>
      </c>
      <c r="B3540" s="138" t="s">
        <v>615</v>
      </c>
    </row>
    <row r="3541" spans="1:2" x14ac:dyDescent="0.25">
      <c r="A3541" s="20">
        <v>252</v>
      </c>
      <c r="B3541" s="20" t="s">
        <v>615</v>
      </c>
    </row>
    <row r="3542" spans="1:2" x14ac:dyDescent="0.25">
      <c r="A3542" s="138">
        <v>23</v>
      </c>
      <c r="B3542" s="138">
        <v>275</v>
      </c>
    </row>
    <row r="3543" spans="1:2" x14ac:dyDescent="0.25">
      <c r="A3543" s="20">
        <v>23</v>
      </c>
      <c r="B3543" s="20">
        <v>275</v>
      </c>
    </row>
    <row r="3544" spans="1:2" x14ac:dyDescent="0.25">
      <c r="A3544" s="138">
        <v>23</v>
      </c>
      <c r="B3544" s="138">
        <v>275</v>
      </c>
    </row>
    <row r="3545" spans="1:2" x14ac:dyDescent="0.25">
      <c r="A3545" s="20">
        <v>109</v>
      </c>
      <c r="B3545" s="20" t="s">
        <v>1346</v>
      </c>
    </row>
    <row r="3546" spans="1:2" x14ac:dyDescent="0.25">
      <c r="A3546" s="138">
        <v>109</v>
      </c>
      <c r="B3546" s="138" t="s">
        <v>1346</v>
      </c>
    </row>
    <row r="3547" spans="1:2" x14ac:dyDescent="0.25">
      <c r="A3547" s="20">
        <v>16</v>
      </c>
      <c r="B3547" s="20" t="s">
        <v>305</v>
      </c>
    </row>
    <row r="3548" spans="1:2" x14ac:dyDescent="0.25">
      <c r="A3548" s="138">
        <v>96</v>
      </c>
      <c r="B3548" s="138" t="s">
        <v>1275</v>
      </c>
    </row>
    <row r="3549" spans="1:2" x14ac:dyDescent="0.25">
      <c r="A3549" s="20">
        <v>96</v>
      </c>
      <c r="B3549" s="20" t="s">
        <v>1275</v>
      </c>
    </row>
    <row r="3550" spans="1:2" x14ac:dyDescent="0.25">
      <c r="A3550" s="138">
        <v>96</v>
      </c>
      <c r="B3550" s="138" t="s">
        <v>1275</v>
      </c>
    </row>
    <row r="3551" spans="1:2" x14ac:dyDescent="0.25">
      <c r="A3551" s="20">
        <v>96</v>
      </c>
      <c r="B3551" s="20" t="s">
        <v>1275</v>
      </c>
    </row>
    <row r="3552" spans="1:2" x14ac:dyDescent="0.25">
      <c r="A3552" s="138">
        <v>96</v>
      </c>
      <c r="B3552" s="138" t="s">
        <v>1275</v>
      </c>
    </row>
    <row r="3553" spans="1:2" x14ac:dyDescent="0.25">
      <c r="A3553" s="20">
        <v>96</v>
      </c>
      <c r="B3553" s="20" t="s">
        <v>1275</v>
      </c>
    </row>
    <row r="3554" spans="1:2" x14ac:dyDescent="0.25">
      <c r="A3554" s="138">
        <v>96</v>
      </c>
      <c r="B3554" s="138" t="s">
        <v>1275</v>
      </c>
    </row>
    <row r="3555" spans="1:2" x14ac:dyDescent="0.25">
      <c r="A3555" s="20">
        <v>96</v>
      </c>
      <c r="B3555" s="20" t="s">
        <v>1275</v>
      </c>
    </row>
    <row r="3556" spans="1:2" x14ac:dyDescent="0.25">
      <c r="A3556" s="138">
        <v>96</v>
      </c>
      <c r="B3556" s="138" t="s">
        <v>1275</v>
      </c>
    </row>
    <row r="3557" spans="1:2" x14ac:dyDescent="0.25">
      <c r="A3557" s="20">
        <v>96</v>
      </c>
      <c r="B3557" s="20" t="s">
        <v>1275</v>
      </c>
    </row>
    <row r="3558" spans="1:2" x14ac:dyDescent="0.25">
      <c r="A3558" s="138">
        <v>96</v>
      </c>
      <c r="B3558" s="138" t="s">
        <v>1275</v>
      </c>
    </row>
    <row r="3559" spans="1:2" x14ac:dyDescent="0.25">
      <c r="A3559" s="20">
        <v>96</v>
      </c>
      <c r="B3559" s="20" t="s">
        <v>1275</v>
      </c>
    </row>
    <row r="3560" spans="1:2" x14ac:dyDescent="0.25">
      <c r="A3560" s="138">
        <v>96</v>
      </c>
      <c r="B3560" s="138" t="s">
        <v>1275</v>
      </c>
    </row>
    <row r="3561" spans="1:2" x14ac:dyDescent="0.25">
      <c r="A3561" s="20">
        <v>96</v>
      </c>
      <c r="B3561" s="20" t="s">
        <v>1275</v>
      </c>
    </row>
    <row r="3562" spans="1:2" x14ac:dyDescent="0.25">
      <c r="A3562" s="138">
        <v>96</v>
      </c>
      <c r="B3562" s="138" t="s">
        <v>1275</v>
      </c>
    </row>
    <row r="3563" spans="1:2" x14ac:dyDescent="0.25">
      <c r="A3563" s="20">
        <v>96</v>
      </c>
      <c r="B3563" s="20" t="s">
        <v>1275</v>
      </c>
    </row>
    <row r="3564" spans="1:2" x14ac:dyDescent="0.25">
      <c r="A3564" s="138">
        <v>96</v>
      </c>
      <c r="B3564" s="138" t="s">
        <v>1275</v>
      </c>
    </row>
    <row r="3565" spans="1:2" x14ac:dyDescent="0.25">
      <c r="A3565" s="20">
        <v>96</v>
      </c>
      <c r="B3565" s="20" t="s">
        <v>1275</v>
      </c>
    </row>
    <row r="3566" spans="1:2" x14ac:dyDescent="0.25">
      <c r="A3566" s="138">
        <v>96</v>
      </c>
      <c r="B3566" s="138" t="s">
        <v>1275</v>
      </c>
    </row>
    <row r="3567" spans="1:2" x14ac:dyDescent="0.25">
      <c r="A3567" s="20">
        <v>96</v>
      </c>
      <c r="B3567" s="20" t="s">
        <v>1275</v>
      </c>
    </row>
    <row r="3568" spans="1:2" x14ac:dyDescent="0.25">
      <c r="A3568" s="138">
        <v>96</v>
      </c>
      <c r="B3568" s="138" t="s">
        <v>1275</v>
      </c>
    </row>
    <row r="3569" spans="1:2" x14ac:dyDescent="0.25">
      <c r="A3569" s="20">
        <v>96</v>
      </c>
      <c r="B3569" s="20" t="s">
        <v>1275</v>
      </c>
    </row>
    <row r="3570" spans="1:2" x14ac:dyDescent="0.25">
      <c r="A3570" s="138">
        <v>96</v>
      </c>
      <c r="B3570" s="138" t="s">
        <v>1275</v>
      </c>
    </row>
    <row r="3571" spans="1:2" x14ac:dyDescent="0.25">
      <c r="A3571" s="20">
        <v>96</v>
      </c>
      <c r="B3571" s="20" t="s">
        <v>1275</v>
      </c>
    </row>
    <row r="3572" spans="1:2" x14ac:dyDescent="0.25">
      <c r="A3572" s="138">
        <v>96</v>
      </c>
      <c r="B3572" s="138" t="s">
        <v>1275</v>
      </c>
    </row>
    <row r="3573" spans="1:2" x14ac:dyDescent="0.25">
      <c r="A3573" s="20">
        <v>96</v>
      </c>
      <c r="B3573" s="20" t="s">
        <v>1275</v>
      </c>
    </row>
    <row r="3574" spans="1:2" x14ac:dyDescent="0.25">
      <c r="A3574" s="138">
        <v>96</v>
      </c>
      <c r="B3574" s="138" t="s">
        <v>1275</v>
      </c>
    </row>
    <row r="3575" spans="1:2" x14ac:dyDescent="0.25">
      <c r="A3575" s="20">
        <v>96</v>
      </c>
      <c r="B3575" s="20" t="s">
        <v>1275</v>
      </c>
    </row>
    <row r="3576" spans="1:2" x14ac:dyDescent="0.25">
      <c r="A3576" s="138">
        <v>96</v>
      </c>
      <c r="B3576" s="138" t="s">
        <v>1275</v>
      </c>
    </row>
    <row r="3577" spans="1:2" x14ac:dyDescent="0.25">
      <c r="A3577" s="20">
        <v>32</v>
      </c>
      <c r="B3577" s="20" t="s">
        <v>693</v>
      </c>
    </row>
    <row r="3578" spans="1:2" x14ac:dyDescent="0.25">
      <c r="A3578" s="138">
        <v>32</v>
      </c>
      <c r="B3578" s="138" t="s">
        <v>693</v>
      </c>
    </row>
    <row r="3579" spans="1:2" x14ac:dyDescent="0.25">
      <c r="A3579" s="20" t="s">
        <v>2517</v>
      </c>
      <c r="B3579" s="20" t="s">
        <v>1289</v>
      </c>
    </row>
    <row r="3580" spans="1:2" x14ac:dyDescent="0.25">
      <c r="A3580" s="138" t="s">
        <v>2517</v>
      </c>
      <c r="B3580" s="138" t="s">
        <v>1289</v>
      </c>
    </row>
    <row r="3581" spans="1:2" x14ac:dyDescent="0.25">
      <c r="A3581" s="20" t="s">
        <v>2517</v>
      </c>
      <c r="B3581" s="20" t="s">
        <v>1289</v>
      </c>
    </row>
    <row r="3582" spans="1:2" x14ac:dyDescent="0.25">
      <c r="A3582" s="138" t="s">
        <v>2517</v>
      </c>
      <c r="B3582" s="138" t="s">
        <v>1289</v>
      </c>
    </row>
    <row r="3583" spans="1:2" x14ac:dyDescent="0.25">
      <c r="A3583" s="20" t="s">
        <v>2517</v>
      </c>
      <c r="B3583" s="20" t="s">
        <v>1289</v>
      </c>
    </row>
    <row r="3584" spans="1:2" x14ac:dyDescent="0.25">
      <c r="A3584" s="138" t="s">
        <v>3717</v>
      </c>
      <c r="B3584" s="138" t="s">
        <v>1244</v>
      </c>
    </row>
    <row r="3585" spans="1:2" x14ac:dyDescent="0.25">
      <c r="A3585" s="20" t="s">
        <v>6183</v>
      </c>
      <c r="B3585" s="20" t="s">
        <v>1161</v>
      </c>
    </row>
    <row r="3586" spans="1:2" x14ac:dyDescent="0.25">
      <c r="A3586" s="138" t="s">
        <v>6183</v>
      </c>
      <c r="B3586" s="138" t="s">
        <v>1161</v>
      </c>
    </row>
    <row r="3587" spans="1:2" x14ac:dyDescent="0.25">
      <c r="A3587" s="20">
        <v>16</v>
      </c>
      <c r="B3587" s="20" t="s">
        <v>2005</v>
      </c>
    </row>
    <row r="3588" spans="1:2" x14ac:dyDescent="0.25">
      <c r="A3588" s="138">
        <v>16</v>
      </c>
      <c r="B3588" s="138" t="s">
        <v>2005</v>
      </c>
    </row>
    <row r="3589" spans="1:2" x14ac:dyDescent="0.25">
      <c r="A3589" s="20">
        <v>16</v>
      </c>
      <c r="B3589" s="20" t="s">
        <v>2005</v>
      </c>
    </row>
    <row r="3590" spans="1:2" x14ac:dyDescent="0.25">
      <c r="A3590" s="138">
        <v>16</v>
      </c>
      <c r="B3590" s="138" t="s">
        <v>828</v>
      </c>
    </row>
    <row r="3591" spans="1:2" x14ac:dyDescent="0.25">
      <c r="A3591" s="20">
        <v>16</v>
      </c>
      <c r="B3591" s="20" t="s">
        <v>2005</v>
      </c>
    </row>
    <row r="3592" spans="1:2" x14ac:dyDescent="0.25">
      <c r="A3592" s="138">
        <v>16</v>
      </c>
      <c r="B3592" s="138" t="s">
        <v>2005</v>
      </c>
    </row>
    <row r="3593" spans="1:2" x14ac:dyDescent="0.25">
      <c r="A3593" s="20">
        <v>11</v>
      </c>
      <c r="B3593" s="20" t="s">
        <v>638</v>
      </c>
    </row>
    <row r="3594" spans="1:2" x14ac:dyDescent="0.25">
      <c r="A3594" s="138" t="s">
        <v>3658</v>
      </c>
      <c r="B3594" s="138" t="s">
        <v>270</v>
      </c>
    </row>
    <row r="3595" spans="1:2" x14ac:dyDescent="0.25">
      <c r="A3595" s="20" t="s">
        <v>3658</v>
      </c>
      <c r="B3595" s="20" t="s">
        <v>270</v>
      </c>
    </row>
    <row r="3596" spans="1:2" x14ac:dyDescent="0.25">
      <c r="A3596" s="138" t="s">
        <v>3658</v>
      </c>
      <c r="B3596" s="138" t="s">
        <v>270</v>
      </c>
    </row>
    <row r="3597" spans="1:2" x14ac:dyDescent="0.25">
      <c r="A3597" s="20" t="s">
        <v>3658</v>
      </c>
      <c r="B3597" s="20" t="s">
        <v>270</v>
      </c>
    </row>
    <row r="3598" spans="1:2" x14ac:dyDescent="0.25">
      <c r="A3598" s="138" t="s">
        <v>3658</v>
      </c>
      <c r="B3598" s="138" t="s">
        <v>270</v>
      </c>
    </row>
    <row r="3599" spans="1:2" x14ac:dyDescent="0.25">
      <c r="A3599" s="20" t="s">
        <v>3658</v>
      </c>
      <c r="B3599" s="20" t="s">
        <v>270</v>
      </c>
    </row>
    <row r="3600" spans="1:2" x14ac:dyDescent="0.25">
      <c r="A3600" s="138" t="s">
        <v>3658</v>
      </c>
      <c r="B3600" s="138" t="s">
        <v>270</v>
      </c>
    </row>
    <row r="3601" spans="1:2" x14ac:dyDescent="0.25">
      <c r="A3601" s="20" t="s">
        <v>3658</v>
      </c>
      <c r="B3601" s="20" t="s">
        <v>270</v>
      </c>
    </row>
    <row r="3602" spans="1:2" x14ac:dyDescent="0.25">
      <c r="A3602" s="20" t="s">
        <v>3710</v>
      </c>
      <c r="B3602" s="20" t="s">
        <v>280</v>
      </c>
    </row>
    <row r="3603" spans="1:2" x14ac:dyDescent="0.25">
      <c r="A3603" s="138" t="s">
        <v>3710</v>
      </c>
      <c r="B3603" s="138" t="s">
        <v>280</v>
      </c>
    </row>
    <row r="3604" spans="1:2" x14ac:dyDescent="0.25">
      <c r="A3604" s="20" t="s">
        <v>3710</v>
      </c>
      <c r="B3604" s="20" t="s">
        <v>280</v>
      </c>
    </row>
    <row r="3605" spans="1:2" x14ac:dyDescent="0.25">
      <c r="A3605" s="20">
        <v>11</v>
      </c>
      <c r="B3605" s="20" t="s">
        <v>638</v>
      </c>
    </row>
    <row r="3606" spans="1:2" x14ac:dyDescent="0.25">
      <c r="A3606" s="138">
        <v>11</v>
      </c>
      <c r="B3606" s="138" t="s">
        <v>638</v>
      </c>
    </row>
    <row r="3607" spans="1:2" x14ac:dyDescent="0.25">
      <c r="A3607" s="20">
        <v>11</v>
      </c>
      <c r="B3607" s="20" t="s">
        <v>638</v>
      </c>
    </row>
    <row r="3608" spans="1:2" x14ac:dyDescent="0.25">
      <c r="A3608" s="138">
        <v>11</v>
      </c>
      <c r="B3608" s="138" t="s">
        <v>638</v>
      </c>
    </row>
    <row r="3609" spans="1:2" x14ac:dyDescent="0.25">
      <c r="A3609" s="20">
        <v>11</v>
      </c>
      <c r="B3609" s="20" t="s">
        <v>638</v>
      </c>
    </row>
    <row r="3610" spans="1:2" x14ac:dyDescent="0.25">
      <c r="A3610" s="138">
        <v>11</v>
      </c>
      <c r="B3610" s="138" t="s">
        <v>638</v>
      </c>
    </row>
    <row r="3611" spans="1:2" x14ac:dyDescent="0.25">
      <c r="A3611" s="20">
        <v>11</v>
      </c>
      <c r="B3611" s="20" t="s">
        <v>638</v>
      </c>
    </row>
    <row r="3612" spans="1:2" x14ac:dyDescent="0.25">
      <c r="A3612" s="138">
        <v>151</v>
      </c>
      <c r="B3612" s="138" t="s">
        <v>1161</v>
      </c>
    </row>
    <row r="3613" spans="1:2" x14ac:dyDescent="0.25">
      <c r="A3613" s="20">
        <v>151</v>
      </c>
      <c r="B3613" s="20" t="s">
        <v>1161</v>
      </c>
    </row>
    <row r="3614" spans="1:2" x14ac:dyDescent="0.25">
      <c r="A3614" s="138">
        <v>151</v>
      </c>
      <c r="B3614" s="138" t="s">
        <v>1161</v>
      </c>
    </row>
    <row r="3615" spans="1:2" x14ac:dyDescent="0.25">
      <c r="A3615" s="20">
        <v>151</v>
      </c>
      <c r="B3615" s="20" t="s">
        <v>1161</v>
      </c>
    </row>
    <row r="3616" spans="1:2" x14ac:dyDescent="0.25">
      <c r="A3616" s="20">
        <v>151</v>
      </c>
      <c r="B3616" s="20" t="s">
        <v>1161</v>
      </c>
    </row>
    <row r="3617" spans="1:2" x14ac:dyDescent="0.25">
      <c r="A3617" s="138">
        <v>151</v>
      </c>
      <c r="B3617" s="138" t="s">
        <v>1161</v>
      </c>
    </row>
    <row r="3618" spans="1:2" x14ac:dyDescent="0.25">
      <c r="A3618" s="20">
        <v>151</v>
      </c>
      <c r="B3618" s="20" t="s">
        <v>1161</v>
      </c>
    </row>
    <row r="3619" spans="1:2" x14ac:dyDescent="0.25">
      <c r="A3619" s="138">
        <v>151</v>
      </c>
      <c r="B3619" s="138" t="s">
        <v>1161</v>
      </c>
    </row>
    <row r="3620" spans="1:2" x14ac:dyDescent="0.25">
      <c r="A3620" s="20">
        <v>151</v>
      </c>
      <c r="B3620" s="20" t="s">
        <v>1161</v>
      </c>
    </row>
    <row r="3621" spans="1:2" x14ac:dyDescent="0.25">
      <c r="A3621" s="138">
        <v>151</v>
      </c>
      <c r="B3621" s="138" t="s">
        <v>1161</v>
      </c>
    </row>
    <row r="3622" spans="1:2" x14ac:dyDescent="0.25">
      <c r="A3622" s="20">
        <v>151</v>
      </c>
      <c r="B3622" s="20" t="s">
        <v>1161</v>
      </c>
    </row>
    <row r="3623" spans="1:2" x14ac:dyDescent="0.25">
      <c r="A3623" s="138">
        <v>151</v>
      </c>
      <c r="B3623" s="138" t="s">
        <v>1161</v>
      </c>
    </row>
    <row r="3624" spans="1:2" x14ac:dyDescent="0.25">
      <c r="A3624" s="20">
        <v>151</v>
      </c>
      <c r="B3624" s="20" t="s">
        <v>1161</v>
      </c>
    </row>
    <row r="3625" spans="1:2" x14ac:dyDescent="0.25">
      <c r="A3625" s="138">
        <v>151</v>
      </c>
      <c r="B3625" s="138" t="s">
        <v>1161</v>
      </c>
    </row>
    <row r="3626" spans="1:2" x14ac:dyDescent="0.25">
      <c r="A3626" s="20">
        <v>151</v>
      </c>
      <c r="B3626" s="20" t="s">
        <v>1161</v>
      </c>
    </row>
    <row r="3627" spans="1:2" x14ac:dyDescent="0.25">
      <c r="A3627" s="138">
        <v>96</v>
      </c>
      <c r="B3627" s="138" t="s">
        <v>1403</v>
      </c>
    </row>
    <row r="3628" spans="1:2" x14ac:dyDescent="0.25">
      <c r="A3628" s="20">
        <v>96</v>
      </c>
      <c r="B3628" s="20" t="s">
        <v>1403</v>
      </c>
    </row>
    <row r="3629" spans="1:2" x14ac:dyDescent="0.25">
      <c r="A3629" s="138">
        <v>96</v>
      </c>
      <c r="B3629" s="138" t="s">
        <v>1403</v>
      </c>
    </row>
    <row r="3630" spans="1:2" x14ac:dyDescent="0.25">
      <c r="A3630" s="20">
        <v>96</v>
      </c>
      <c r="B3630" s="20" t="s">
        <v>1403</v>
      </c>
    </row>
    <row r="3631" spans="1:2" x14ac:dyDescent="0.25">
      <c r="A3631" s="138">
        <v>96</v>
      </c>
      <c r="B3631" s="138" t="s">
        <v>1403</v>
      </c>
    </row>
    <row r="3632" spans="1:2" x14ac:dyDescent="0.25">
      <c r="A3632" s="20">
        <v>96</v>
      </c>
      <c r="B3632" s="20" t="s">
        <v>1403</v>
      </c>
    </row>
    <row r="3633" spans="1:2" x14ac:dyDescent="0.25">
      <c r="A3633" s="138">
        <v>96</v>
      </c>
      <c r="B3633" s="138" t="s">
        <v>1403</v>
      </c>
    </row>
    <row r="3634" spans="1:2" x14ac:dyDescent="0.25">
      <c r="A3634" s="20">
        <v>50</v>
      </c>
      <c r="B3634" s="20" t="s">
        <v>1478</v>
      </c>
    </row>
    <row r="3635" spans="1:2" x14ac:dyDescent="0.25">
      <c r="A3635" s="138">
        <v>50</v>
      </c>
      <c r="B3635" s="138" t="s">
        <v>1478</v>
      </c>
    </row>
    <row r="3636" spans="1:2" x14ac:dyDescent="0.25">
      <c r="A3636" s="20" t="s">
        <v>2517</v>
      </c>
      <c r="B3636" s="20" t="s">
        <v>1289</v>
      </c>
    </row>
    <row r="3637" spans="1:2" x14ac:dyDescent="0.25">
      <c r="A3637" s="138" t="s">
        <v>2517</v>
      </c>
      <c r="B3637" s="138" t="s">
        <v>1289</v>
      </c>
    </row>
    <row r="3638" spans="1:2" x14ac:dyDescent="0.25">
      <c r="A3638" s="20" t="s">
        <v>2517</v>
      </c>
      <c r="B3638" s="20" t="s">
        <v>1289</v>
      </c>
    </row>
    <row r="3639" spans="1:2" x14ac:dyDescent="0.25">
      <c r="A3639" s="138" t="s">
        <v>6221</v>
      </c>
      <c r="B3639" s="138" t="s">
        <v>337</v>
      </c>
    </row>
    <row r="3640" spans="1:2" x14ac:dyDescent="0.25">
      <c r="A3640" s="20" t="s">
        <v>6221</v>
      </c>
      <c r="B3640" s="20" t="s">
        <v>337</v>
      </c>
    </row>
    <row r="3641" spans="1:2" x14ac:dyDescent="0.25">
      <c r="A3641" s="138">
        <v>16</v>
      </c>
      <c r="B3641" s="138" t="s">
        <v>417</v>
      </c>
    </row>
    <row r="3642" spans="1:2" x14ac:dyDescent="0.25">
      <c r="A3642" s="20">
        <v>16</v>
      </c>
      <c r="B3642" s="20" t="s">
        <v>417</v>
      </c>
    </row>
    <row r="3643" spans="1:2" x14ac:dyDescent="0.25">
      <c r="A3643" s="138">
        <v>23</v>
      </c>
      <c r="B3643" s="138">
        <v>275</v>
      </c>
    </row>
    <row r="3644" spans="1:2" x14ac:dyDescent="0.25">
      <c r="A3644" s="20">
        <v>115</v>
      </c>
      <c r="B3644" s="20" t="s">
        <v>2003</v>
      </c>
    </row>
    <row r="3645" spans="1:2" x14ac:dyDescent="0.25">
      <c r="A3645" s="138">
        <v>115</v>
      </c>
      <c r="B3645" s="138" t="s">
        <v>2003</v>
      </c>
    </row>
    <row r="3646" spans="1:2" x14ac:dyDescent="0.25">
      <c r="A3646" s="20">
        <v>199</v>
      </c>
      <c r="B3646" s="20" t="s">
        <v>1275</v>
      </c>
    </row>
    <row r="3647" spans="1:2" x14ac:dyDescent="0.25">
      <c r="A3647" s="138">
        <v>199</v>
      </c>
      <c r="B3647" s="138" t="s">
        <v>1275</v>
      </c>
    </row>
    <row r="3648" spans="1:2" x14ac:dyDescent="0.25">
      <c r="A3648" s="20">
        <v>109</v>
      </c>
      <c r="B3648" s="20" t="s">
        <v>1346</v>
      </c>
    </row>
    <row r="3649" spans="1:2" x14ac:dyDescent="0.25">
      <c r="A3649" s="138">
        <v>109</v>
      </c>
      <c r="B3649" s="138" t="s">
        <v>1346</v>
      </c>
    </row>
    <row r="3650" spans="1:2" x14ac:dyDescent="0.25">
      <c r="A3650" s="20">
        <v>109</v>
      </c>
      <c r="B3650" s="20" t="s">
        <v>1346</v>
      </c>
    </row>
    <row r="3651" spans="1:2" x14ac:dyDescent="0.25">
      <c r="A3651" s="138">
        <v>109</v>
      </c>
      <c r="B3651" s="138" t="s">
        <v>1346</v>
      </c>
    </row>
    <row r="3652" spans="1:2" x14ac:dyDescent="0.25">
      <c r="A3652" s="20">
        <v>109</v>
      </c>
      <c r="B3652" s="20" t="s">
        <v>1346</v>
      </c>
    </row>
    <row r="3653" spans="1:2" x14ac:dyDescent="0.25">
      <c r="A3653" s="138">
        <v>96</v>
      </c>
      <c r="B3653" s="138" t="s">
        <v>1275</v>
      </c>
    </row>
    <row r="3654" spans="1:2" x14ac:dyDescent="0.25">
      <c r="A3654" s="20">
        <v>96</v>
      </c>
      <c r="B3654" s="20" t="s">
        <v>1275</v>
      </c>
    </row>
    <row r="3655" spans="1:2" x14ac:dyDescent="0.25">
      <c r="A3655" s="138">
        <v>96</v>
      </c>
      <c r="B3655" s="138" t="s">
        <v>1275</v>
      </c>
    </row>
    <row r="3656" spans="1:2" x14ac:dyDescent="0.25">
      <c r="A3656" s="20">
        <v>96</v>
      </c>
      <c r="B3656" s="20" t="s">
        <v>1275</v>
      </c>
    </row>
    <row r="3657" spans="1:2" x14ac:dyDescent="0.25">
      <c r="A3657" s="138">
        <v>18</v>
      </c>
      <c r="B3657" s="138" t="s">
        <v>1289</v>
      </c>
    </row>
    <row r="3658" spans="1:2" x14ac:dyDescent="0.25">
      <c r="A3658" s="20" t="s">
        <v>2517</v>
      </c>
      <c r="B3658" s="20" t="s">
        <v>1289</v>
      </c>
    </row>
    <row r="3659" spans="1:2" x14ac:dyDescent="0.25">
      <c r="A3659" s="138" t="s">
        <v>2517</v>
      </c>
      <c r="B3659" s="138" t="s">
        <v>1289</v>
      </c>
    </row>
    <row r="3660" spans="1:2" x14ac:dyDescent="0.25">
      <c r="A3660" s="20" t="s">
        <v>2517</v>
      </c>
      <c r="B3660" s="20" t="s">
        <v>1289</v>
      </c>
    </row>
    <row r="3661" spans="1:2" x14ac:dyDescent="0.25">
      <c r="A3661" s="138" t="s">
        <v>2517</v>
      </c>
      <c r="B3661" s="138" t="s">
        <v>1289</v>
      </c>
    </row>
    <row r="3662" spans="1:2" x14ac:dyDescent="0.25">
      <c r="A3662" s="20" t="s">
        <v>2517</v>
      </c>
      <c r="B3662" s="20" t="s">
        <v>1289</v>
      </c>
    </row>
    <row r="3663" spans="1:2" x14ac:dyDescent="0.25">
      <c r="A3663" s="138" t="s">
        <v>2517</v>
      </c>
      <c r="B3663" s="138" t="s">
        <v>1289</v>
      </c>
    </row>
    <row r="3664" spans="1:2" x14ac:dyDescent="0.25">
      <c r="A3664" s="20">
        <v>18</v>
      </c>
      <c r="B3664" s="20" t="s">
        <v>1289</v>
      </c>
    </row>
    <row r="3665" spans="1:2" x14ac:dyDescent="0.25">
      <c r="A3665" s="138">
        <v>18</v>
      </c>
      <c r="B3665" s="138" t="s">
        <v>1289</v>
      </c>
    </row>
    <row r="3666" spans="1:2" x14ac:dyDescent="0.25">
      <c r="A3666" s="20">
        <v>18</v>
      </c>
      <c r="B3666" s="20" t="s">
        <v>1289</v>
      </c>
    </row>
    <row r="3667" spans="1:2" x14ac:dyDescent="0.25">
      <c r="A3667" s="138">
        <v>18</v>
      </c>
      <c r="B3667" s="138" t="s">
        <v>1289</v>
      </c>
    </row>
    <row r="3668" spans="1:2" x14ac:dyDescent="0.25">
      <c r="A3668" s="20">
        <v>18</v>
      </c>
      <c r="B3668" s="20" t="s">
        <v>1289</v>
      </c>
    </row>
    <row r="3669" spans="1:2" x14ac:dyDescent="0.25">
      <c r="A3669" s="138">
        <v>26</v>
      </c>
      <c r="B3669" s="138" t="s">
        <v>655</v>
      </c>
    </row>
    <row r="3670" spans="1:2" x14ac:dyDescent="0.25">
      <c r="A3670" s="20">
        <v>26</v>
      </c>
      <c r="B3670" s="20" t="s">
        <v>655</v>
      </c>
    </row>
    <row r="3671" spans="1:2" x14ac:dyDescent="0.25">
      <c r="A3671" s="138">
        <v>26</v>
      </c>
      <c r="B3671" s="138" t="s">
        <v>655</v>
      </c>
    </row>
    <row r="3672" spans="1:2" x14ac:dyDescent="0.25">
      <c r="A3672" s="20">
        <v>26</v>
      </c>
      <c r="B3672" s="20" t="s">
        <v>655</v>
      </c>
    </row>
    <row r="3673" spans="1:2" x14ac:dyDescent="0.25">
      <c r="A3673" s="138">
        <v>26</v>
      </c>
      <c r="B3673" s="138" t="s">
        <v>655</v>
      </c>
    </row>
    <row r="3674" spans="1:2" x14ac:dyDescent="0.25">
      <c r="A3674" s="20">
        <v>26</v>
      </c>
      <c r="B3674" s="20" t="s">
        <v>655</v>
      </c>
    </row>
    <row r="3675" spans="1:2" x14ac:dyDescent="0.25">
      <c r="A3675" s="138">
        <v>26</v>
      </c>
      <c r="B3675" s="138" t="s">
        <v>655</v>
      </c>
    </row>
    <row r="3676" spans="1:2" x14ac:dyDescent="0.25">
      <c r="A3676" s="20">
        <v>11</v>
      </c>
      <c r="B3676" s="20" t="s">
        <v>638</v>
      </c>
    </row>
    <row r="3677" spans="1:2" x14ac:dyDescent="0.25">
      <c r="A3677" s="138">
        <v>11</v>
      </c>
      <c r="B3677" s="138" t="s">
        <v>638</v>
      </c>
    </row>
    <row r="3678" spans="1:2" x14ac:dyDescent="0.25">
      <c r="A3678" s="20">
        <v>11</v>
      </c>
      <c r="B3678" s="20" t="s">
        <v>638</v>
      </c>
    </row>
    <row r="3679" spans="1:2" x14ac:dyDescent="0.25">
      <c r="A3679" s="138">
        <v>11</v>
      </c>
      <c r="B3679" s="138" t="s">
        <v>638</v>
      </c>
    </row>
    <row r="3680" spans="1:2" x14ac:dyDescent="0.25">
      <c r="A3680" s="20">
        <v>11</v>
      </c>
      <c r="B3680" s="20" t="s">
        <v>638</v>
      </c>
    </row>
    <row r="3681" spans="1:2" x14ac:dyDescent="0.25">
      <c r="A3681" s="138">
        <v>11</v>
      </c>
      <c r="B3681" s="138" t="s">
        <v>638</v>
      </c>
    </row>
    <row r="3682" spans="1:2" x14ac:dyDescent="0.25">
      <c r="A3682" s="20">
        <v>11</v>
      </c>
      <c r="B3682" s="20" t="s">
        <v>638</v>
      </c>
    </row>
    <row r="3683" spans="1:2" x14ac:dyDescent="0.25">
      <c r="A3683" s="138">
        <v>11</v>
      </c>
      <c r="B3683" s="138" t="s">
        <v>638</v>
      </c>
    </row>
    <row r="3684" spans="1:2" x14ac:dyDescent="0.25">
      <c r="A3684" s="20">
        <v>11</v>
      </c>
      <c r="B3684" s="20" t="s">
        <v>638</v>
      </c>
    </row>
    <row r="3685" spans="1:2" x14ac:dyDescent="0.25">
      <c r="A3685" s="138" t="s">
        <v>3658</v>
      </c>
      <c r="B3685" s="138" t="s">
        <v>270</v>
      </c>
    </row>
    <row r="3686" spans="1:2" x14ac:dyDescent="0.25">
      <c r="A3686" s="20" t="s">
        <v>3658</v>
      </c>
      <c r="B3686" s="20" t="s">
        <v>270</v>
      </c>
    </row>
    <row r="3687" spans="1:2" x14ac:dyDescent="0.25">
      <c r="A3687" s="138" t="s">
        <v>3658</v>
      </c>
      <c r="B3687" s="138" t="s">
        <v>270</v>
      </c>
    </row>
    <row r="3688" spans="1:2" x14ac:dyDescent="0.25">
      <c r="A3688" s="20">
        <v>206</v>
      </c>
      <c r="B3688" s="20" t="s">
        <v>1075</v>
      </c>
    </row>
    <row r="3689" spans="1:2" x14ac:dyDescent="0.25">
      <c r="A3689" s="138">
        <v>206</v>
      </c>
      <c r="B3689" s="138" t="s">
        <v>1075</v>
      </c>
    </row>
    <row r="3690" spans="1:2" x14ac:dyDescent="0.25">
      <c r="A3690" s="20">
        <v>206</v>
      </c>
      <c r="B3690" s="20" t="s">
        <v>1075</v>
      </c>
    </row>
    <row r="3691" spans="1:2" x14ac:dyDescent="0.25">
      <c r="A3691" s="138">
        <v>151</v>
      </c>
      <c r="B3691" s="138" t="s">
        <v>1161</v>
      </c>
    </row>
    <row r="3692" spans="1:2" x14ac:dyDescent="0.25">
      <c r="A3692" s="20">
        <v>151</v>
      </c>
      <c r="B3692" s="20" t="s">
        <v>1161</v>
      </c>
    </row>
    <row r="3693" spans="1:2" x14ac:dyDescent="0.25">
      <c r="A3693" s="138">
        <v>151</v>
      </c>
      <c r="B3693" s="138" t="s">
        <v>1161</v>
      </c>
    </row>
    <row r="3694" spans="1:2" x14ac:dyDescent="0.25">
      <c r="A3694" s="20">
        <v>151</v>
      </c>
      <c r="B3694" s="20" t="s">
        <v>1161</v>
      </c>
    </row>
    <row r="3695" spans="1:2" x14ac:dyDescent="0.25">
      <c r="A3695" s="138">
        <v>151</v>
      </c>
      <c r="B3695" s="138" t="s">
        <v>1161</v>
      </c>
    </row>
    <row r="3696" spans="1:2" x14ac:dyDescent="0.25">
      <c r="A3696" s="20">
        <v>151</v>
      </c>
      <c r="B3696" s="20" t="s">
        <v>1161</v>
      </c>
    </row>
    <row r="3697" spans="1:2" x14ac:dyDescent="0.25">
      <c r="A3697" s="138">
        <v>151</v>
      </c>
      <c r="B3697" s="138" t="s">
        <v>1161</v>
      </c>
    </row>
    <row r="3698" spans="1:2" x14ac:dyDescent="0.25">
      <c r="A3698" s="20">
        <v>151</v>
      </c>
      <c r="B3698" s="20" t="s">
        <v>1161</v>
      </c>
    </row>
    <row r="3699" spans="1:2" x14ac:dyDescent="0.25">
      <c r="A3699" s="138">
        <v>151</v>
      </c>
      <c r="B3699" s="138" t="s">
        <v>1161</v>
      </c>
    </row>
    <row r="3700" spans="1:2" x14ac:dyDescent="0.25">
      <c r="A3700" s="20">
        <v>96</v>
      </c>
      <c r="B3700" s="20" t="s">
        <v>1403</v>
      </c>
    </row>
    <row r="3701" spans="1:2" x14ac:dyDescent="0.25">
      <c r="A3701" s="138">
        <v>96</v>
      </c>
      <c r="B3701" s="138" t="s">
        <v>1403</v>
      </c>
    </row>
    <row r="3702" spans="1:2" x14ac:dyDescent="0.25">
      <c r="A3702" s="20">
        <v>96</v>
      </c>
      <c r="B3702" s="20" t="s">
        <v>1403</v>
      </c>
    </row>
    <row r="3703" spans="1:2" x14ac:dyDescent="0.25">
      <c r="A3703" s="138">
        <v>96</v>
      </c>
      <c r="B3703" s="138" t="s">
        <v>1403</v>
      </c>
    </row>
    <row r="3704" spans="1:2" x14ac:dyDescent="0.25">
      <c r="A3704" s="20">
        <v>96</v>
      </c>
      <c r="B3704" s="20" t="s">
        <v>1403</v>
      </c>
    </row>
    <row r="3705" spans="1:2" x14ac:dyDescent="0.25">
      <c r="A3705" s="138">
        <v>50</v>
      </c>
      <c r="B3705" s="138" t="s">
        <v>1478</v>
      </c>
    </row>
    <row r="3706" spans="1:2" x14ac:dyDescent="0.25">
      <c r="A3706" s="20">
        <v>50</v>
      </c>
      <c r="B3706" s="20" t="s">
        <v>1478</v>
      </c>
    </row>
    <row r="3707" spans="1:2" x14ac:dyDescent="0.25">
      <c r="A3707" s="138">
        <v>50</v>
      </c>
      <c r="B3707" s="138" t="s">
        <v>1478</v>
      </c>
    </row>
    <row r="3708" spans="1:2" x14ac:dyDescent="0.25">
      <c r="A3708" s="20">
        <v>50</v>
      </c>
      <c r="B3708" s="20" t="s">
        <v>1478</v>
      </c>
    </row>
    <row r="3709" spans="1:2" x14ac:dyDescent="0.25">
      <c r="A3709" s="138">
        <v>50</v>
      </c>
      <c r="B3709" s="138" t="s">
        <v>1478</v>
      </c>
    </row>
    <row r="3710" spans="1:2" x14ac:dyDescent="0.25">
      <c r="A3710" s="20" t="s">
        <v>2517</v>
      </c>
      <c r="B3710" s="20" t="s">
        <v>1289</v>
      </c>
    </row>
    <row r="3711" spans="1:2" x14ac:dyDescent="0.25">
      <c r="A3711" s="138">
        <v>31</v>
      </c>
      <c r="B3711" s="138" t="s">
        <v>500</v>
      </c>
    </row>
    <row r="3712" spans="1:2" x14ac:dyDescent="0.25">
      <c r="A3712" s="20">
        <v>31</v>
      </c>
      <c r="B3712" s="20" t="s">
        <v>500</v>
      </c>
    </row>
    <row r="3713" spans="1:2" x14ac:dyDescent="0.25">
      <c r="A3713" s="138">
        <v>31</v>
      </c>
      <c r="B3713" s="138" t="s">
        <v>500</v>
      </c>
    </row>
    <row r="3714" spans="1:2" x14ac:dyDescent="0.25">
      <c r="A3714" s="20">
        <v>31</v>
      </c>
      <c r="B3714" s="20" t="s">
        <v>500</v>
      </c>
    </row>
    <row r="3715" spans="1:2" x14ac:dyDescent="0.25">
      <c r="A3715" s="138">
        <v>31</v>
      </c>
      <c r="B3715" s="138" t="s">
        <v>500</v>
      </c>
    </row>
    <row r="3716" spans="1:2" x14ac:dyDescent="0.25">
      <c r="A3716" s="20" t="s">
        <v>6221</v>
      </c>
      <c r="B3716" s="20" t="s">
        <v>337</v>
      </c>
    </row>
    <row r="3717" spans="1:2" x14ac:dyDescent="0.25">
      <c r="A3717" s="138" t="s">
        <v>6221</v>
      </c>
      <c r="B3717" s="138" t="s">
        <v>337</v>
      </c>
    </row>
    <row r="3718" spans="1:2" x14ac:dyDescent="0.25">
      <c r="A3718" s="20" t="s">
        <v>6221</v>
      </c>
      <c r="B3718" s="20" t="s">
        <v>337</v>
      </c>
    </row>
    <row r="3719" spans="1:2" x14ac:dyDescent="0.25">
      <c r="A3719" s="138" t="s">
        <v>6221</v>
      </c>
      <c r="B3719" s="138" t="s">
        <v>337</v>
      </c>
    </row>
    <row r="3720" spans="1:2" x14ac:dyDescent="0.25">
      <c r="A3720" s="20" t="s">
        <v>6221</v>
      </c>
      <c r="B3720" s="20" t="s">
        <v>337</v>
      </c>
    </row>
    <row r="3721" spans="1:2" x14ac:dyDescent="0.25">
      <c r="A3721" s="138" t="s">
        <v>6221</v>
      </c>
      <c r="B3721" s="138" t="s">
        <v>337</v>
      </c>
    </row>
    <row r="3722" spans="1:2" x14ac:dyDescent="0.25">
      <c r="A3722" s="20" t="s">
        <v>6221</v>
      </c>
      <c r="B3722" s="20" t="s">
        <v>337</v>
      </c>
    </row>
    <row r="3723" spans="1:2" x14ac:dyDescent="0.25">
      <c r="A3723" s="138">
        <v>252</v>
      </c>
      <c r="B3723" s="138" t="s">
        <v>615</v>
      </c>
    </row>
    <row r="3724" spans="1:2" x14ac:dyDescent="0.25">
      <c r="A3724" s="20">
        <v>16</v>
      </c>
      <c r="B3724" s="20" t="s">
        <v>417</v>
      </c>
    </row>
    <row r="3725" spans="1:2" x14ac:dyDescent="0.25">
      <c r="A3725" s="138">
        <v>252</v>
      </c>
      <c r="B3725" s="138" t="s">
        <v>615</v>
      </c>
    </row>
    <row r="3726" spans="1:2" x14ac:dyDescent="0.25">
      <c r="A3726" s="20">
        <v>252</v>
      </c>
      <c r="B3726" s="20" t="s">
        <v>615</v>
      </c>
    </row>
    <row r="3727" spans="1:2" x14ac:dyDescent="0.25">
      <c r="A3727" s="138">
        <v>252</v>
      </c>
      <c r="B3727" s="138" t="s">
        <v>615</v>
      </c>
    </row>
    <row r="3728" spans="1:2" x14ac:dyDescent="0.25">
      <c r="A3728" s="20">
        <v>252</v>
      </c>
      <c r="B3728" s="20" t="s">
        <v>615</v>
      </c>
    </row>
    <row r="3729" spans="1:2" x14ac:dyDescent="0.25">
      <c r="A3729" s="138">
        <v>252</v>
      </c>
      <c r="B3729" s="138" t="s">
        <v>615</v>
      </c>
    </row>
    <row r="3730" spans="1:2" x14ac:dyDescent="0.25">
      <c r="A3730" s="20">
        <v>23</v>
      </c>
      <c r="B3730" s="20">
        <v>275</v>
      </c>
    </row>
    <row r="3731" spans="1:2" x14ac:dyDescent="0.25">
      <c r="A3731" s="138">
        <v>115</v>
      </c>
      <c r="B3731" s="138" t="s">
        <v>2003</v>
      </c>
    </row>
    <row r="3732" spans="1:2" x14ac:dyDescent="0.25">
      <c r="A3732" s="20">
        <v>115</v>
      </c>
      <c r="B3732" s="20" t="s">
        <v>2003</v>
      </c>
    </row>
    <row r="3733" spans="1:2" x14ac:dyDescent="0.25">
      <c r="A3733" s="138">
        <v>115</v>
      </c>
      <c r="B3733" s="138" t="s">
        <v>2003</v>
      </c>
    </row>
    <row r="3734" spans="1:2" x14ac:dyDescent="0.25">
      <c r="A3734" s="20">
        <v>115</v>
      </c>
      <c r="B3734" s="20" t="s">
        <v>2003</v>
      </c>
    </row>
    <row r="3735" spans="1:2" x14ac:dyDescent="0.25">
      <c r="A3735" s="138">
        <v>115</v>
      </c>
      <c r="B3735" s="138" t="s">
        <v>2003</v>
      </c>
    </row>
    <row r="3736" spans="1:2" x14ac:dyDescent="0.25">
      <c r="A3736" s="20">
        <v>115</v>
      </c>
      <c r="B3736" s="20" t="s">
        <v>2003</v>
      </c>
    </row>
    <row r="3737" spans="1:2" x14ac:dyDescent="0.25">
      <c r="A3737" s="138">
        <v>115</v>
      </c>
      <c r="B3737" s="138" t="s">
        <v>2003</v>
      </c>
    </row>
    <row r="3738" spans="1:2" x14ac:dyDescent="0.25">
      <c r="A3738" s="20">
        <v>115</v>
      </c>
      <c r="B3738" s="20" t="s">
        <v>2003</v>
      </c>
    </row>
    <row r="3739" spans="1:2" x14ac:dyDescent="0.25">
      <c r="A3739" s="138">
        <v>115</v>
      </c>
      <c r="B3739" s="138" t="s">
        <v>2003</v>
      </c>
    </row>
    <row r="3740" spans="1:2" x14ac:dyDescent="0.25">
      <c r="A3740" s="20">
        <v>115</v>
      </c>
      <c r="B3740" s="20" t="s">
        <v>2003</v>
      </c>
    </row>
    <row r="3741" spans="1:2" x14ac:dyDescent="0.25">
      <c r="A3741" s="138">
        <v>115</v>
      </c>
      <c r="B3741" s="138" t="s">
        <v>2003</v>
      </c>
    </row>
    <row r="3742" spans="1:2" x14ac:dyDescent="0.25">
      <c r="A3742" s="20">
        <v>115</v>
      </c>
      <c r="B3742" s="20" t="s">
        <v>2003</v>
      </c>
    </row>
    <row r="3743" spans="1:2" x14ac:dyDescent="0.25">
      <c r="A3743" s="138">
        <v>115</v>
      </c>
      <c r="B3743" s="138" t="s">
        <v>2003</v>
      </c>
    </row>
    <row r="3744" spans="1:2" x14ac:dyDescent="0.25">
      <c r="A3744" s="20">
        <v>115</v>
      </c>
      <c r="B3744" s="20" t="s">
        <v>2003</v>
      </c>
    </row>
    <row r="3745" spans="1:2" x14ac:dyDescent="0.25">
      <c r="A3745" s="138">
        <v>115</v>
      </c>
      <c r="B3745" s="138" t="s">
        <v>2003</v>
      </c>
    </row>
    <row r="3746" spans="1:2" x14ac:dyDescent="0.25">
      <c r="A3746" s="20">
        <v>115</v>
      </c>
      <c r="B3746" s="20" t="s">
        <v>2003</v>
      </c>
    </row>
    <row r="3747" spans="1:2" x14ac:dyDescent="0.25">
      <c r="A3747" s="138">
        <v>115</v>
      </c>
      <c r="B3747" s="138" t="s">
        <v>2003</v>
      </c>
    </row>
    <row r="3748" spans="1:2" x14ac:dyDescent="0.25">
      <c r="A3748" s="20">
        <v>115</v>
      </c>
      <c r="B3748" s="20" t="s">
        <v>2003</v>
      </c>
    </row>
    <row r="3749" spans="1:2" x14ac:dyDescent="0.25">
      <c r="A3749" s="138">
        <v>115</v>
      </c>
      <c r="B3749" s="138" t="s">
        <v>2003</v>
      </c>
    </row>
    <row r="3750" spans="1:2" x14ac:dyDescent="0.25">
      <c r="A3750" s="20">
        <v>199</v>
      </c>
      <c r="B3750" s="20" t="s">
        <v>1275</v>
      </c>
    </row>
    <row r="3751" spans="1:2" x14ac:dyDescent="0.25">
      <c r="A3751" s="138">
        <v>199</v>
      </c>
      <c r="B3751" s="138" t="s">
        <v>1275</v>
      </c>
    </row>
    <row r="3752" spans="1:2" x14ac:dyDescent="0.25">
      <c r="A3752" s="20">
        <v>199</v>
      </c>
      <c r="B3752" s="20" t="s">
        <v>1275</v>
      </c>
    </row>
    <row r="3753" spans="1:2" x14ac:dyDescent="0.25">
      <c r="A3753" s="138">
        <v>199</v>
      </c>
      <c r="B3753" s="138" t="s">
        <v>1275</v>
      </c>
    </row>
    <row r="3754" spans="1:2" x14ac:dyDescent="0.25">
      <c r="A3754" s="20">
        <v>199</v>
      </c>
      <c r="B3754" s="20" t="s">
        <v>1275</v>
      </c>
    </row>
    <row r="3755" spans="1:2" x14ac:dyDescent="0.25">
      <c r="A3755" s="138">
        <v>199</v>
      </c>
      <c r="B3755" s="138" t="s">
        <v>1275</v>
      </c>
    </row>
    <row r="3756" spans="1:2" x14ac:dyDescent="0.25">
      <c r="A3756" s="20">
        <v>199</v>
      </c>
      <c r="B3756" s="20" t="s">
        <v>1275</v>
      </c>
    </row>
    <row r="3757" spans="1:2" x14ac:dyDescent="0.25">
      <c r="A3757" s="138">
        <v>234</v>
      </c>
      <c r="B3757" s="138" t="s">
        <v>206</v>
      </c>
    </row>
    <row r="3758" spans="1:2" x14ac:dyDescent="0.25">
      <c r="A3758" s="20">
        <v>234</v>
      </c>
      <c r="B3758" s="20" t="s">
        <v>206</v>
      </c>
    </row>
    <row r="3759" spans="1:2" x14ac:dyDescent="0.25">
      <c r="A3759" s="138">
        <v>234</v>
      </c>
      <c r="B3759" s="138" t="s">
        <v>206</v>
      </c>
    </row>
    <row r="3760" spans="1:2" x14ac:dyDescent="0.25">
      <c r="A3760" s="20">
        <v>234</v>
      </c>
      <c r="B3760" s="20" t="s">
        <v>206</v>
      </c>
    </row>
    <row r="3761" spans="1:2" x14ac:dyDescent="0.25">
      <c r="A3761" s="138">
        <v>234</v>
      </c>
      <c r="B3761" s="138" t="s">
        <v>206</v>
      </c>
    </row>
    <row r="3762" spans="1:2" x14ac:dyDescent="0.25">
      <c r="A3762" s="20">
        <v>234</v>
      </c>
      <c r="B3762" s="20" t="s">
        <v>206</v>
      </c>
    </row>
    <row r="3763" spans="1:2" x14ac:dyDescent="0.25">
      <c r="A3763" s="138">
        <v>109</v>
      </c>
      <c r="B3763" s="138" t="s">
        <v>1346</v>
      </c>
    </row>
    <row r="3764" spans="1:2" x14ac:dyDescent="0.25">
      <c r="A3764" s="20">
        <v>109</v>
      </c>
      <c r="B3764" s="20" t="s">
        <v>1346</v>
      </c>
    </row>
    <row r="3765" spans="1:2" x14ac:dyDescent="0.25">
      <c r="A3765" s="138">
        <v>109</v>
      </c>
      <c r="B3765" s="138" t="s">
        <v>1346</v>
      </c>
    </row>
    <row r="3766" spans="1:2" x14ac:dyDescent="0.25">
      <c r="A3766" s="20">
        <v>109</v>
      </c>
      <c r="B3766" s="20" t="s">
        <v>1346</v>
      </c>
    </row>
    <row r="3767" spans="1:2" x14ac:dyDescent="0.25">
      <c r="A3767" s="138">
        <v>109</v>
      </c>
      <c r="B3767" s="138" t="s">
        <v>1346</v>
      </c>
    </row>
    <row r="3768" spans="1:2" x14ac:dyDescent="0.25">
      <c r="A3768" s="20">
        <v>96</v>
      </c>
      <c r="B3768" s="20" t="s">
        <v>1275</v>
      </c>
    </row>
    <row r="3769" spans="1:2" x14ac:dyDescent="0.25">
      <c r="A3769" s="138">
        <v>96</v>
      </c>
      <c r="B3769" s="138" t="s">
        <v>1275</v>
      </c>
    </row>
    <row r="3770" spans="1:2" x14ac:dyDescent="0.25">
      <c r="A3770" s="20">
        <v>96</v>
      </c>
      <c r="B3770" s="20" t="s">
        <v>1275</v>
      </c>
    </row>
    <row r="3771" spans="1:2" x14ac:dyDescent="0.25">
      <c r="A3771" s="138">
        <v>96</v>
      </c>
      <c r="B3771" s="138" t="s">
        <v>1275</v>
      </c>
    </row>
    <row r="3772" spans="1:2" x14ac:dyDescent="0.25">
      <c r="A3772" s="20">
        <v>96</v>
      </c>
      <c r="B3772" s="20" t="s">
        <v>1275</v>
      </c>
    </row>
    <row r="3773" spans="1:2" x14ac:dyDescent="0.25">
      <c r="A3773" s="138">
        <v>96</v>
      </c>
      <c r="B3773" s="138" t="s">
        <v>1275</v>
      </c>
    </row>
    <row r="3774" spans="1:2" x14ac:dyDescent="0.25">
      <c r="A3774" s="20">
        <v>96</v>
      </c>
      <c r="B3774" s="20" t="s">
        <v>1275</v>
      </c>
    </row>
    <row r="3775" spans="1:2" x14ac:dyDescent="0.25">
      <c r="A3775" s="138">
        <v>96</v>
      </c>
      <c r="B3775" s="138" t="s">
        <v>1275</v>
      </c>
    </row>
    <row r="3776" spans="1:2" x14ac:dyDescent="0.25">
      <c r="A3776" s="20">
        <v>96</v>
      </c>
      <c r="B3776" s="20" t="s">
        <v>1275</v>
      </c>
    </row>
    <row r="3777" spans="1:2" x14ac:dyDescent="0.25">
      <c r="A3777" s="138">
        <v>96</v>
      </c>
      <c r="B3777" s="138" t="s">
        <v>1275</v>
      </c>
    </row>
    <row r="3778" spans="1:2" x14ac:dyDescent="0.25">
      <c r="A3778" s="20">
        <v>96</v>
      </c>
      <c r="B3778" s="20" t="s">
        <v>1275</v>
      </c>
    </row>
    <row r="3779" spans="1:2" x14ac:dyDescent="0.25">
      <c r="A3779" s="138">
        <v>96</v>
      </c>
      <c r="B3779" s="138" t="s">
        <v>1275</v>
      </c>
    </row>
    <row r="3780" spans="1:2" x14ac:dyDescent="0.25">
      <c r="A3780" s="20">
        <v>96</v>
      </c>
      <c r="B3780" s="20" t="s">
        <v>1275</v>
      </c>
    </row>
    <row r="3781" spans="1:2" x14ac:dyDescent="0.25">
      <c r="A3781" s="138">
        <v>96</v>
      </c>
      <c r="B3781" s="138" t="s">
        <v>1275</v>
      </c>
    </row>
    <row r="3782" spans="1:2" x14ac:dyDescent="0.25">
      <c r="A3782" s="20">
        <v>96</v>
      </c>
      <c r="B3782" s="20" t="s">
        <v>1275</v>
      </c>
    </row>
    <row r="3783" spans="1:2" x14ac:dyDescent="0.25">
      <c r="A3783" s="138">
        <v>96</v>
      </c>
      <c r="B3783" s="138" t="s">
        <v>1275</v>
      </c>
    </row>
    <row r="3784" spans="1:2" x14ac:dyDescent="0.25">
      <c r="A3784" s="20">
        <v>96</v>
      </c>
      <c r="B3784" s="20" t="s">
        <v>1275</v>
      </c>
    </row>
    <row r="3785" spans="1:2" x14ac:dyDescent="0.25">
      <c r="A3785" s="138">
        <v>96</v>
      </c>
      <c r="B3785" s="138" t="s">
        <v>1275</v>
      </c>
    </row>
    <row r="3786" spans="1:2" x14ac:dyDescent="0.25">
      <c r="A3786" s="20">
        <v>96</v>
      </c>
      <c r="B3786" s="20" t="s">
        <v>1275</v>
      </c>
    </row>
    <row r="3787" spans="1:2" x14ac:dyDescent="0.25">
      <c r="A3787" s="138">
        <v>96</v>
      </c>
      <c r="B3787" s="138" t="s">
        <v>1275</v>
      </c>
    </row>
    <row r="3788" spans="1:2" x14ac:dyDescent="0.25">
      <c r="A3788" s="20">
        <v>96</v>
      </c>
      <c r="B3788" s="20" t="s">
        <v>1275</v>
      </c>
    </row>
    <row r="3789" spans="1:2" x14ac:dyDescent="0.25">
      <c r="A3789" s="138">
        <v>96</v>
      </c>
      <c r="B3789" s="138" t="s">
        <v>1275</v>
      </c>
    </row>
    <row r="3790" spans="1:2" x14ac:dyDescent="0.25">
      <c r="A3790" s="20">
        <v>96</v>
      </c>
      <c r="B3790" s="20" t="s">
        <v>1275</v>
      </c>
    </row>
    <row r="3791" spans="1:2" x14ac:dyDescent="0.25">
      <c r="A3791" s="138">
        <v>96</v>
      </c>
      <c r="B3791" s="138" t="s">
        <v>1275</v>
      </c>
    </row>
    <row r="3792" spans="1:2" x14ac:dyDescent="0.25">
      <c r="A3792" s="20">
        <v>96</v>
      </c>
      <c r="B3792" s="20" t="s">
        <v>1275</v>
      </c>
    </row>
    <row r="3793" spans="1:2" x14ac:dyDescent="0.25">
      <c r="A3793" s="138">
        <v>96</v>
      </c>
      <c r="B3793" s="138" t="s">
        <v>1275</v>
      </c>
    </row>
    <row r="3794" spans="1:2" x14ac:dyDescent="0.25">
      <c r="A3794" s="20">
        <v>96</v>
      </c>
      <c r="B3794" s="20" t="s">
        <v>1275</v>
      </c>
    </row>
    <row r="3795" spans="1:2" x14ac:dyDescent="0.25">
      <c r="A3795" s="138">
        <v>96</v>
      </c>
      <c r="B3795" s="138" t="s">
        <v>1275</v>
      </c>
    </row>
    <row r="3796" spans="1:2" x14ac:dyDescent="0.25">
      <c r="A3796" s="20">
        <v>96</v>
      </c>
      <c r="B3796" s="20" t="s">
        <v>1275</v>
      </c>
    </row>
    <row r="3797" spans="1:2" x14ac:dyDescent="0.25">
      <c r="A3797" s="138">
        <v>96</v>
      </c>
      <c r="B3797" s="138" t="s">
        <v>1275</v>
      </c>
    </row>
    <row r="3798" spans="1:2" x14ac:dyDescent="0.25">
      <c r="A3798" s="20">
        <v>96</v>
      </c>
      <c r="B3798" s="20" t="s">
        <v>1275</v>
      </c>
    </row>
    <row r="3799" spans="1:2" x14ac:dyDescent="0.25">
      <c r="A3799" s="138">
        <v>96</v>
      </c>
      <c r="B3799" s="138" t="s">
        <v>1275</v>
      </c>
    </row>
    <row r="3800" spans="1:2" x14ac:dyDescent="0.25">
      <c r="A3800" s="20">
        <v>96</v>
      </c>
      <c r="B3800" s="20" t="s">
        <v>1275</v>
      </c>
    </row>
    <row r="3801" spans="1:2" x14ac:dyDescent="0.25">
      <c r="A3801" s="138">
        <v>96</v>
      </c>
      <c r="B3801" s="138" t="s">
        <v>1275</v>
      </c>
    </row>
    <row r="3802" spans="1:2" x14ac:dyDescent="0.25">
      <c r="A3802" s="20">
        <v>96</v>
      </c>
      <c r="B3802" s="20" t="s">
        <v>1275</v>
      </c>
    </row>
    <row r="3803" spans="1:2" x14ac:dyDescent="0.25">
      <c r="A3803" s="138">
        <v>96</v>
      </c>
      <c r="B3803" s="138" t="s">
        <v>1275</v>
      </c>
    </row>
    <row r="3804" spans="1:2" x14ac:dyDescent="0.25">
      <c r="A3804" s="20">
        <v>96</v>
      </c>
      <c r="B3804" s="20" t="s">
        <v>1275</v>
      </c>
    </row>
    <row r="3805" spans="1:2" x14ac:dyDescent="0.25">
      <c r="A3805" s="138">
        <v>96</v>
      </c>
      <c r="B3805" s="138" t="s">
        <v>1275</v>
      </c>
    </row>
    <row r="3806" spans="1:2" x14ac:dyDescent="0.25">
      <c r="A3806" s="20">
        <v>96</v>
      </c>
      <c r="B3806" s="20" t="s">
        <v>1275</v>
      </c>
    </row>
    <row r="3807" spans="1:2" x14ac:dyDescent="0.25">
      <c r="A3807" s="138">
        <v>96</v>
      </c>
      <c r="B3807" s="138" t="s">
        <v>1275</v>
      </c>
    </row>
    <row r="3808" spans="1:2" x14ac:dyDescent="0.25">
      <c r="A3808" s="20">
        <v>96</v>
      </c>
      <c r="B3808" s="20" t="s">
        <v>1275</v>
      </c>
    </row>
    <row r="3809" spans="1:2" x14ac:dyDescent="0.25">
      <c r="A3809" s="138">
        <v>96</v>
      </c>
      <c r="B3809" s="138" t="s">
        <v>1275</v>
      </c>
    </row>
    <row r="3810" spans="1:2" x14ac:dyDescent="0.25">
      <c r="A3810" s="20">
        <v>96</v>
      </c>
      <c r="B3810" s="20" t="s">
        <v>1275</v>
      </c>
    </row>
    <row r="3811" spans="1:2" x14ac:dyDescent="0.25">
      <c r="A3811" s="138">
        <v>96</v>
      </c>
      <c r="B3811" s="138" t="s">
        <v>1275</v>
      </c>
    </row>
    <row r="3812" spans="1:2" x14ac:dyDescent="0.25">
      <c r="A3812" s="20">
        <v>96</v>
      </c>
      <c r="B3812" s="20" t="s">
        <v>1275</v>
      </c>
    </row>
    <row r="3813" spans="1:2" x14ac:dyDescent="0.25">
      <c r="A3813" s="138">
        <v>96</v>
      </c>
      <c r="B3813" s="138" t="s">
        <v>1275</v>
      </c>
    </row>
    <row r="3814" spans="1:2" x14ac:dyDescent="0.25">
      <c r="A3814" s="20">
        <v>18</v>
      </c>
      <c r="B3814" s="20" t="s">
        <v>1289</v>
      </c>
    </row>
    <row r="3815" spans="1:2" x14ac:dyDescent="0.25">
      <c r="A3815" s="138" t="s">
        <v>6183</v>
      </c>
      <c r="B3815" s="138" t="s">
        <v>1161</v>
      </c>
    </row>
    <row r="3816" spans="1:2" x14ac:dyDescent="0.25">
      <c r="A3816" s="20" t="s">
        <v>6183</v>
      </c>
      <c r="B3816" s="20" t="s">
        <v>1161</v>
      </c>
    </row>
    <row r="3817" spans="1:2" x14ac:dyDescent="0.25">
      <c r="A3817" s="138">
        <v>26</v>
      </c>
      <c r="B3817" s="138" t="s">
        <v>655</v>
      </c>
    </row>
    <row r="3818" spans="1:2" x14ac:dyDescent="0.25">
      <c r="A3818" s="20">
        <v>26</v>
      </c>
      <c r="B3818" s="20" t="s">
        <v>655</v>
      </c>
    </row>
    <row r="3819" spans="1:2" x14ac:dyDescent="0.25">
      <c r="A3819" s="138">
        <v>26</v>
      </c>
      <c r="B3819" s="138" t="s">
        <v>655</v>
      </c>
    </row>
    <row r="3820" spans="1:2" x14ac:dyDescent="0.25">
      <c r="A3820" s="20">
        <v>26</v>
      </c>
      <c r="B3820" s="20" t="s">
        <v>655</v>
      </c>
    </row>
    <row r="3821" spans="1:2" x14ac:dyDescent="0.25">
      <c r="A3821" s="138">
        <v>26</v>
      </c>
      <c r="B3821" s="138" t="s">
        <v>655</v>
      </c>
    </row>
    <row r="3822" spans="1:2" x14ac:dyDescent="0.25">
      <c r="A3822" s="20">
        <v>26</v>
      </c>
      <c r="B3822" s="20" t="s">
        <v>655</v>
      </c>
    </row>
    <row r="3823" spans="1:2" x14ac:dyDescent="0.25">
      <c r="A3823" s="138">
        <v>26</v>
      </c>
      <c r="B3823" s="138" t="s">
        <v>655</v>
      </c>
    </row>
    <row r="3824" spans="1:2" x14ac:dyDescent="0.25">
      <c r="A3824" s="20">
        <v>26</v>
      </c>
      <c r="B3824" s="20" t="s">
        <v>655</v>
      </c>
    </row>
    <row r="3825" spans="1:2" x14ac:dyDescent="0.25">
      <c r="A3825" s="138" t="s">
        <v>3658</v>
      </c>
      <c r="B3825" s="138" t="s">
        <v>270</v>
      </c>
    </row>
    <row r="3826" spans="1:2" x14ac:dyDescent="0.25">
      <c r="A3826" s="20" t="s">
        <v>3658</v>
      </c>
      <c r="B3826" s="20" t="s">
        <v>270</v>
      </c>
    </row>
    <row r="3827" spans="1:2" x14ac:dyDescent="0.25">
      <c r="A3827" s="138" t="s">
        <v>3658</v>
      </c>
      <c r="B3827" s="138" t="s">
        <v>270</v>
      </c>
    </row>
    <row r="3828" spans="1:2" x14ac:dyDescent="0.25">
      <c r="A3828" s="20" t="s">
        <v>6194</v>
      </c>
      <c r="B3828" s="20" t="s">
        <v>450</v>
      </c>
    </row>
    <row r="3829" spans="1:2" x14ac:dyDescent="0.25">
      <c r="A3829" s="138" t="s">
        <v>6194</v>
      </c>
      <c r="B3829" s="138" t="s">
        <v>450</v>
      </c>
    </row>
    <row r="3830" spans="1:2" x14ac:dyDescent="0.25">
      <c r="A3830" s="20" t="s">
        <v>6194</v>
      </c>
      <c r="B3830" s="20" t="s">
        <v>450</v>
      </c>
    </row>
    <row r="3831" spans="1:2" x14ac:dyDescent="0.25">
      <c r="A3831" s="138" t="s">
        <v>6194</v>
      </c>
      <c r="B3831" s="138" t="s">
        <v>450</v>
      </c>
    </row>
    <row r="3832" spans="1:2" x14ac:dyDescent="0.25">
      <c r="A3832" s="20">
        <v>31</v>
      </c>
      <c r="B3832" s="20" t="s">
        <v>500</v>
      </c>
    </row>
    <row r="3833" spans="1:2" x14ac:dyDescent="0.25">
      <c r="A3833" s="138">
        <v>31</v>
      </c>
      <c r="B3833" s="138" t="s">
        <v>500</v>
      </c>
    </row>
    <row r="3834" spans="1:2" x14ac:dyDescent="0.25">
      <c r="A3834" s="20">
        <v>31</v>
      </c>
      <c r="B3834" s="20" t="s">
        <v>500</v>
      </c>
    </row>
    <row r="3835" spans="1:2" x14ac:dyDescent="0.25">
      <c r="A3835" s="138">
        <v>31</v>
      </c>
      <c r="B3835" s="138" t="s">
        <v>500</v>
      </c>
    </row>
    <row r="3836" spans="1:2" x14ac:dyDescent="0.25">
      <c r="A3836" s="20">
        <v>31</v>
      </c>
      <c r="B3836" s="20" t="s">
        <v>500</v>
      </c>
    </row>
    <row r="3837" spans="1:2" x14ac:dyDescent="0.25">
      <c r="A3837" s="138">
        <v>31</v>
      </c>
      <c r="B3837" s="138" t="s">
        <v>500</v>
      </c>
    </row>
    <row r="3838" spans="1:2" x14ac:dyDescent="0.25">
      <c r="A3838" s="20">
        <v>31</v>
      </c>
      <c r="B3838" s="20" t="s">
        <v>500</v>
      </c>
    </row>
    <row r="3839" spans="1:2" x14ac:dyDescent="0.25">
      <c r="A3839" s="138">
        <v>31</v>
      </c>
      <c r="B3839" s="138" t="s">
        <v>500</v>
      </c>
    </row>
    <row r="3840" spans="1:2" x14ac:dyDescent="0.25">
      <c r="A3840" s="20">
        <v>31</v>
      </c>
      <c r="B3840" s="20" t="s">
        <v>500</v>
      </c>
    </row>
    <row r="3841" spans="1:2" x14ac:dyDescent="0.25">
      <c r="A3841" s="138">
        <v>31</v>
      </c>
      <c r="B3841" s="138" t="s">
        <v>500</v>
      </c>
    </row>
    <row r="3842" spans="1:2" x14ac:dyDescent="0.25">
      <c r="A3842" s="20">
        <v>31</v>
      </c>
      <c r="B3842" s="20" t="s">
        <v>500</v>
      </c>
    </row>
    <row r="3843" spans="1:2" x14ac:dyDescent="0.25">
      <c r="A3843" s="138">
        <v>31</v>
      </c>
      <c r="B3843" s="138" t="s">
        <v>500</v>
      </c>
    </row>
    <row r="3844" spans="1:2" x14ac:dyDescent="0.25">
      <c r="A3844" s="20">
        <v>97</v>
      </c>
      <c r="B3844" s="20" t="s">
        <v>206</v>
      </c>
    </row>
    <row r="3845" spans="1:2" x14ac:dyDescent="0.25">
      <c r="A3845" s="138">
        <v>97</v>
      </c>
      <c r="B3845" s="138" t="s">
        <v>206</v>
      </c>
    </row>
    <row r="3846" spans="1:2" x14ac:dyDescent="0.25">
      <c r="A3846" s="20">
        <v>97</v>
      </c>
      <c r="B3846" s="20" t="s">
        <v>206</v>
      </c>
    </row>
    <row r="3847" spans="1:2" x14ac:dyDescent="0.25">
      <c r="A3847" s="138">
        <v>97</v>
      </c>
      <c r="B3847" s="138" t="s">
        <v>206</v>
      </c>
    </row>
    <row r="3848" spans="1:2" x14ac:dyDescent="0.25">
      <c r="A3848" s="20">
        <v>97</v>
      </c>
      <c r="B3848" s="20" t="s">
        <v>206</v>
      </c>
    </row>
    <row r="3849" spans="1:2" x14ac:dyDescent="0.25">
      <c r="A3849" s="138">
        <v>97</v>
      </c>
      <c r="B3849" s="138" t="s">
        <v>206</v>
      </c>
    </row>
    <row r="3850" spans="1:2" x14ac:dyDescent="0.25">
      <c r="A3850" s="20">
        <v>97</v>
      </c>
      <c r="B3850" s="20" t="s">
        <v>206</v>
      </c>
    </row>
    <row r="3851" spans="1:2" x14ac:dyDescent="0.25">
      <c r="A3851" s="138">
        <v>97</v>
      </c>
      <c r="B3851" s="138" t="s">
        <v>206</v>
      </c>
    </row>
    <row r="3852" spans="1:2" x14ac:dyDescent="0.25">
      <c r="A3852" s="20">
        <v>97</v>
      </c>
      <c r="B3852" s="20" t="s">
        <v>206</v>
      </c>
    </row>
    <row r="3853" spans="1:2" x14ac:dyDescent="0.25">
      <c r="A3853" s="138">
        <v>97</v>
      </c>
      <c r="B3853" s="138" t="s">
        <v>206</v>
      </c>
    </row>
    <row r="3854" spans="1:2" x14ac:dyDescent="0.25">
      <c r="A3854" s="20">
        <v>97</v>
      </c>
      <c r="B3854" s="20" t="s">
        <v>206</v>
      </c>
    </row>
    <row r="3855" spans="1:2" x14ac:dyDescent="0.25">
      <c r="A3855" s="138">
        <v>97</v>
      </c>
      <c r="B3855" s="138" t="s">
        <v>206</v>
      </c>
    </row>
    <row r="3856" spans="1:2" x14ac:dyDescent="0.25">
      <c r="A3856" s="20">
        <v>97</v>
      </c>
      <c r="B3856" s="20" t="s">
        <v>206</v>
      </c>
    </row>
    <row r="3857" spans="1:2" x14ac:dyDescent="0.25">
      <c r="A3857" s="138">
        <v>16</v>
      </c>
      <c r="B3857" s="138" t="s">
        <v>417</v>
      </c>
    </row>
    <row r="3858" spans="1:2" x14ac:dyDescent="0.25">
      <c r="A3858" s="20">
        <v>252</v>
      </c>
      <c r="B3858" s="20" t="s">
        <v>615</v>
      </c>
    </row>
    <row r="3859" spans="1:2" x14ac:dyDescent="0.25">
      <c r="A3859" s="138">
        <v>16</v>
      </c>
      <c r="B3859" s="138" t="s">
        <v>417</v>
      </c>
    </row>
    <row r="3860" spans="1:2" x14ac:dyDescent="0.25">
      <c r="A3860" s="20">
        <v>252</v>
      </c>
      <c r="B3860" s="20" t="s">
        <v>615</v>
      </c>
    </row>
    <row r="3861" spans="1:2" x14ac:dyDescent="0.25">
      <c r="A3861" s="138">
        <v>252</v>
      </c>
      <c r="B3861" s="138" t="s">
        <v>615</v>
      </c>
    </row>
    <row r="3862" spans="1:2" x14ac:dyDescent="0.25">
      <c r="A3862" s="20">
        <v>23</v>
      </c>
      <c r="B3862" s="20">
        <v>275</v>
      </c>
    </row>
    <row r="3863" spans="1:2" x14ac:dyDescent="0.25">
      <c r="A3863" s="138">
        <v>23</v>
      </c>
      <c r="B3863" s="138">
        <v>275</v>
      </c>
    </row>
    <row r="3864" spans="1:2" x14ac:dyDescent="0.25">
      <c r="A3864" s="20" t="s">
        <v>6229</v>
      </c>
      <c r="B3864" s="20" t="s">
        <v>1726</v>
      </c>
    </row>
    <row r="3865" spans="1:2" x14ac:dyDescent="0.25">
      <c r="A3865" s="138" t="s">
        <v>6229</v>
      </c>
      <c r="B3865" s="138" t="s">
        <v>1726</v>
      </c>
    </row>
    <row r="3866" spans="1:2" x14ac:dyDescent="0.25">
      <c r="A3866" s="20" t="s">
        <v>6229</v>
      </c>
      <c r="B3866" s="20" t="s">
        <v>1726</v>
      </c>
    </row>
    <row r="3867" spans="1:2" x14ac:dyDescent="0.25">
      <c r="A3867" s="138">
        <v>115</v>
      </c>
      <c r="B3867" s="138" t="s">
        <v>2003</v>
      </c>
    </row>
    <row r="3868" spans="1:2" x14ac:dyDescent="0.25">
      <c r="A3868" s="20">
        <v>115</v>
      </c>
      <c r="B3868" s="20" t="s">
        <v>2003</v>
      </c>
    </row>
    <row r="3869" spans="1:2" x14ac:dyDescent="0.25">
      <c r="A3869" s="138">
        <v>115</v>
      </c>
      <c r="B3869" s="138" t="s">
        <v>2003</v>
      </c>
    </row>
    <row r="3870" spans="1:2" x14ac:dyDescent="0.25">
      <c r="A3870" s="20">
        <v>115</v>
      </c>
      <c r="B3870" s="20" t="s">
        <v>2003</v>
      </c>
    </row>
    <row r="3871" spans="1:2" x14ac:dyDescent="0.25">
      <c r="A3871" s="138">
        <v>115</v>
      </c>
      <c r="B3871" s="138" t="s">
        <v>2003</v>
      </c>
    </row>
    <row r="3872" spans="1:2" x14ac:dyDescent="0.25">
      <c r="A3872" s="20">
        <v>115</v>
      </c>
      <c r="B3872" s="20" t="s">
        <v>2003</v>
      </c>
    </row>
    <row r="3873" spans="1:2" x14ac:dyDescent="0.25">
      <c r="A3873" s="138">
        <v>115</v>
      </c>
      <c r="B3873" s="138" t="s">
        <v>2003</v>
      </c>
    </row>
    <row r="3874" spans="1:2" x14ac:dyDescent="0.25">
      <c r="A3874" s="20">
        <v>115</v>
      </c>
      <c r="B3874" s="20" t="s">
        <v>2003</v>
      </c>
    </row>
    <row r="3875" spans="1:2" x14ac:dyDescent="0.25">
      <c r="A3875" s="138">
        <v>115</v>
      </c>
      <c r="B3875" s="138" t="s">
        <v>2003</v>
      </c>
    </row>
    <row r="3876" spans="1:2" x14ac:dyDescent="0.25">
      <c r="A3876" s="20">
        <v>115</v>
      </c>
      <c r="B3876" s="20" t="s">
        <v>2003</v>
      </c>
    </row>
    <row r="3877" spans="1:2" x14ac:dyDescent="0.25">
      <c r="A3877" s="138">
        <v>115</v>
      </c>
      <c r="B3877" s="138" t="s">
        <v>2003</v>
      </c>
    </row>
    <row r="3878" spans="1:2" x14ac:dyDescent="0.25">
      <c r="A3878" s="20">
        <v>115</v>
      </c>
      <c r="B3878" s="20" t="s">
        <v>2003</v>
      </c>
    </row>
    <row r="3879" spans="1:2" x14ac:dyDescent="0.25">
      <c r="A3879" s="138">
        <v>115</v>
      </c>
      <c r="B3879" s="138" t="s">
        <v>2003</v>
      </c>
    </row>
    <row r="3880" spans="1:2" x14ac:dyDescent="0.25">
      <c r="A3880" s="20">
        <v>115</v>
      </c>
      <c r="B3880" s="20" t="s">
        <v>2003</v>
      </c>
    </row>
    <row r="3881" spans="1:2" x14ac:dyDescent="0.25">
      <c r="A3881" s="138">
        <v>115</v>
      </c>
      <c r="B3881" s="138" t="s">
        <v>2003</v>
      </c>
    </row>
    <row r="3882" spans="1:2" x14ac:dyDescent="0.25">
      <c r="A3882" s="20">
        <v>115</v>
      </c>
      <c r="B3882" s="20" t="s">
        <v>2003</v>
      </c>
    </row>
    <row r="3883" spans="1:2" x14ac:dyDescent="0.25">
      <c r="A3883" s="138">
        <v>115</v>
      </c>
      <c r="B3883" s="138" t="s">
        <v>2003</v>
      </c>
    </row>
    <row r="3884" spans="1:2" x14ac:dyDescent="0.25">
      <c r="A3884" s="20">
        <v>115</v>
      </c>
      <c r="B3884" s="20" t="s">
        <v>2003</v>
      </c>
    </row>
    <row r="3885" spans="1:2" x14ac:dyDescent="0.25">
      <c r="A3885" s="138">
        <v>115</v>
      </c>
      <c r="B3885" s="138" t="s">
        <v>2003</v>
      </c>
    </row>
    <row r="3886" spans="1:2" x14ac:dyDescent="0.25">
      <c r="A3886" s="20">
        <v>115</v>
      </c>
      <c r="B3886" s="20" t="s">
        <v>2003</v>
      </c>
    </row>
    <row r="3887" spans="1:2" x14ac:dyDescent="0.25">
      <c r="A3887" s="138">
        <v>115</v>
      </c>
      <c r="B3887" s="138" t="s">
        <v>2003</v>
      </c>
    </row>
    <row r="3888" spans="1:2" x14ac:dyDescent="0.25">
      <c r="A3888" s="20">
        <v>115</v>
      </c>
      <c r="B3888" s="20" t="s">
        <v>2003</v>
      </c>
    </row>
    <row r="3889" spans="1:2" x14ac:dyDescent="0.25">
      <c r="A3889" s="138">
        <v>115</v>
      </c>
      <c r="B3889" s="138" t="s">
        <v>2003</v>
      </c>
    </row>
    <row r="3890" spans="1:2" x14ac:dyDescent="0.25">
      <c r="A3890" s="20">
        <v>115</v>
      </c>
      <c r="B3890" s="20" t="s">
        <v>2003</v>
      </c>
    </row>
    <row r="3891" spans="1:2" x14ac:dyDescent="0.25">
      <c r="A3891" s="138">
        <v>115</v>
      </c>
      <c r="B3891" s="138" t="s">
        <v>2003</v>
      </c>
    </row>
    <row r="3892" spans="1:2" x14ac:dyDescent="0.25">
      <c r="A3892" s="20">
        <v>115</v>
      </c>
      <c r="B3892" s="20" t="s">
        <v>2003</v>
      </c>
    </row>
    <row r="3893" spans="1:2" x14ac:dyDescent="0.25">
      <c r="A3893" s="138">
        <v>115</v>
      </c>
      <c r="B3893" s="138" t="s">
        <v>2003</v>
      </c>
    </row>
    <row r="3894" spans="1:2" x14ac:dyDescent="0.25">
      <c r="A3894" s="20">
        <v>115</v>
      </c>
      <c r="B3894" s="20" t="s">
        <v>2003</v>
      </c>
    </row>
    <row r="3895" spans="1:2" x14ac:dyDescent="0.25">
      <c r="A3895" s="138">
        <v>115</v>
      </c>
      <c r="B3895" s="138" t="s">
        <v>2003</v>
      </c>
    </row>
    <row r="3896" spans="1:2" x14ac:dyDescent="0.25">
      <c r="A3896" s="20">
        <v>115</v>
      </c>
      <c r="B3896" s="20" t="s">
        <v>2003</v>
      </c>
    </row>
    <row r="3897" spans="1:2" x14ac:dyDescent="0.25">
      <c r="A3897" s="138">
        <v>115</v>
      </c>
      <c r="B3897" s="138" t="s">
        <v>2003</v>
      </c>
    </row>
    <row r="3898" spans="1:2" x14ac:dyDescent="0.25">
      <c r="A3898" s="20">
        <v>115</v>
      </c>
      <c r="B3898" s="20" t="s">
        <v>2003</v>
      </c>
    </row>
    <row r="3899" spans="1:2" x14ac:dyDescent="0.25">
      <c r="A3899" s="138">
        <v>199</v>
      </c>
      <c r="B3899" s="138" t="s">
        <v>1275</v>
      </c>
    </row>
    <row r="3900" spans="1:2" x14ac:dyDescent="0.25">
      <c r="A3900" s="20">
        <v>109</v>
      </c>
      <c r="B3900" s="20" t="s">
        <v>1346</v>
      </c>
    </row>
    <row r="3901" spans="1:2" x14ac:dyDescent="0.25">
      <c r="A3901" s="138">
        <v>109</v>
      </c>
      <c r="B3901" s="138" t="s">
        <v>1346</v>
      </c>
    </row>
    <row r="3902" spans="1:2" x14ac:dyDescent="0.25">
      <c r="A3902" s="20">
        <v>109</v>
      </c>
      <c r="B3902" s="20" t="s">
        <v>1346</v>
      </c>
    </row>
    <row r="3903" spans="1:2" x14ac:dyDescent="0.25">
      <c r="A3903" s="138">
        <v>96</v>
      </c>
      <c r="B3903" s="138" t="s">
        <v>1275</v>
      </c>
    </row>
    <row r="3904" spans="1:2" x14ac:dyDescent="0.25">
      <c r="A3904" s="20">
        <v>96</v>
      </c>
      <c r="B3904" s="20" t="s">
        <v>1275</v>
      </c>
    </row>
    <row r="3905" spans="1:2" x14ac:dyDescent="0.25">
      <c r="A3905" s="138">
        <v>96</v>
      </c>
      <c r="B3905" s="138" t="s">
        <v>1275</v>
      </c>
    </row>
    <row r="3906" spans="1:2" x14ac:dyDescent="0.25">
      <c r="A3906" s="20">
        <v>96</v>
      </c>
      <c r="B3906" s="20" t="s">
        <v>1275</v>
      </c>
    </row>
    <row r="3907" spans="1:2" x14ac:dyDescent="0.25">
      <c r="A3907" s="138">
        <v>96</v>
      </c>
      <c r="B3907" s="138" t="s">
        <v>1275</v>
      </c>
    </row>
    <row r="3908" spans="1:2" x14ac:dyDescent="0.25">
      <c r="A3908" s="20">
        <v>96</v>
      </c>
      <c r="B3908" s="20" t="s">
        <v>1275</v>
      </c>
    </row>
    <row r="3909" spans="1:2" x14ac:dyDescent="0.25">
      <c r="A3909" s="138">
        <v>96</v>
      </c>
      <c r="B3909" s="138" t="s">
        <v>1275</v>
      </c>
    </row>
    <row r="3910" spans="1:2" x14ac:dyDescent="0.25">
      <c r="A3910" s="20">
        <v>96</v>
      </c>
      <c r="B3910" s="20" t="s">
        <v>1275</v>
      </c>
    </row>
    <row r="3911" spans="1:2" x14ac:dyDescent="0.25">
      <c r="A3911" s="138">
        <v>96</v>
      </c>
      <c r="B3911" s="138" t="s">
        <v>1275</v>
      </c>
    </row>
    <row r="3912" spans="1:2" x14ac:dyDescent="0.25">
      <c r="A3912" s="20">
        <v>96</v>
      </c>
      <c r="B3912" s="20" t="s">
        <v>1275</v>
      </c>
    </row>
    <row r="3913" spans="1:2" x14ac:dyDescent="0.25">
      <c r="A3913" s="138">
        <v>96</v>
      </c>
      <c r="B3913" s="138" t="s">
        <v>1275</v>
      </c>
    </row>
    <row r="3914" spans="1:2" x14ac:dyDescent="0.25">
      <c r="A3914" s="20">
        <v>96</v>
      </c>
      <c r="B3914" s="20" t="s">
        <v>1275</v>
      </c>
    </row>
    <row r="3915" spans="1:2" x14ac:dyDescent="0.25">
      <c r="A3915" s="138">
        <v>96</v>
      </c>
      <c r="B3915" s="138" t="s">
        <v>1275</v>
      </c>
    </row>
    <row r="3916" spans="1:2" x14ac:dyDescent="0.25">
      <c r="A3916" s="20">
        <v>96</v>
      </c>
      <c r="B3916" s="20" t="s">
        <v>1275</v>
      </c>
    </row>
    <row r="3917" spans="1:2" x14ac:dyDescent="0.25">
      <c r="A3917" s="138">
        <v>96</v>
      </c>
      <c r="B3917" s="138" t="s">
        <v>1275</v>
      </c>
    </row>
    <row r="3918" spans="1:2" x14ac:dyDescent="0.25">
      <c r="A3918" s="20">
        <v>96</v>
      </c>
      <c r="B3918" s="20" t="s">
        <v>1275</v>
      </c>
    </row>
    <row r="3919" spans="1:2" x14ac:dyDescent="0.25">
      <c r="A3919" s="138">
        <v>96</v>
      </c>
      <c r="B3919" s="138" t="s">
        <v>1275</v>
      </c>
    </row>
    <row r="3920" spans="1:2" x14ac:dyDescent="0.25">
      <c r="A3920" s="20">
        <v>96</v>
      </c>
      <c r="B3920" s="20" t="s">
        <v>1275</v>
      </c>
    </row>
    <row r="3921" spans="1:2" x14ac:dyDescent="0.25">
      <c r="A3921" s="138">
        <v>96</v>
      </c>
      <c r="B3921" s="138" t="s">
        <v>1275</v>
      </c>
    </row>
    <row r="3922" spans="1:2" x14ac:dyDescent="0.25">
      <c r="A3922" s="20">
        <v>96</v>
      </c>
      <c r="B3922" s="20" t="s">
        <v>1275</v>
      </c>
    </row>
    <row r="3923" spans="1:2" x14ac:dyDescent="0.25">
      <c r="A3923" s="138">
        <v>96</v>
      </c>
      <c r="B3923" s="138" t="s">
        <v>1275</v>
      </c>
    </row>
    <row r="3924" spans="1:2" x14ac:dyDescent="0.25">
      <c r="A3924" s="20">
        <v>96</v>
      </c>
      <c r="B3924" s="20" t="s">
        <v>1275</v>
      </c>
    </row>
    <row r="3925" spans="1:2" x14ac:dyDescent="0.25">
      <c r="A3925" s="138">
        <v>96</v>
      </c>
      <c r="B3925" s="138" t="s">
        <v>1275</v>
      </c>
    </row>
    <row r="3926" spans="1:2" x14ac:dyDescent="0.25">
      <c r="A3926" s="20">
        <v>96</v>
      </c>
      <c r="B3926" s="20" t="s">
        <v>1275</v>
      </c>
    </row>
    <row r="3927" spans="1:2" x14ac:dyDescent="0.25">
      <c r="A3927" s="138">
        <v>96</v>
      </c>
      <c r="B3927" s="138" t="s">
        <v>1275</v>
      </c>
    </row>
    <row r="3928" spans="1:2" x14ac:dyDescent="0.25">
      <c r="A3928" s="20">
        <v>96</v>
      </c>
      <c r="B3928" s="20" t="s">
        <v>1275</v>
      </c>
    </row>
    <row r="3929" spans="1:2" x14ac:dyDescent="0.25">
      <c r="A3929" s="138">
        <v>96</v>
      </c>
      <c r="B3929" s="138" t="s">
        <v>1275</v>
      </c>
    </row>
    <row r="3930" spans="1:2" x14ac:dyDescent="0.25">
      <c r="A3930" s="20">
        <v>96</v>
      </c>
      <c r="B3930" s="20" t="s">
        <v>1275</v>
      </c>
    </row>
    <row r="3931" spans="1:2" x14ac:dyDescent="0.25">
      <c r="A3931" s="138">
        <v>96</v>
      </c>
      <c r="B3931" s="138" t="s">
        <v>1275</v>
      </c>
    </row>
    <row r="3932" spans="1:2" x14ac:dyDescent="0.25">
      <c r="A3932" s="20">
        <v>96</v>
      </c>
      <c r="B3932" s="20" t="s">
        <v>1275</v>
      </c>
    </row>
    <row r="3933" spans="1:2" x14ac:dyDescent="0.25">
      <c r="A3933" s="138">
        <v>96</v>
      </c>
      <c r="B3933" s="138" t="s">
        <v>1275</v>
      </c>
    </row>
    <row r="3934" spans="1:2" x14ac:dyDescent="0.25">
      <c r="A3934" s="20">
        <v>96</v>
      </c>
      <c r="B3934" s="20" t="s">
        <v>1275</v>
      </c>
    </row>
    <row r="3935" spans="1:2" x14ac:dyDescent="0.25">
      <c r="A3935" s="138">
        <v>96</v>
      </c>
      <c r="B3935" s="138" t="s">
        <v>1275</v>
      </c>
    </row>
    <row r="3936" spans="1:2" x14ac:dyDescent="0.25">
      <c r="A3936" s="20">
        <v>96</v>
      </c>
      <c r="B3936" s="20" t="s">
        <v>1275</v>
      </c>
    </row>
    <row r="3937" spans="1:2" x14ac:dyDescent="0.25">
      <c r="A3937" s="138">
        <v>96</v>
      </c>
      <c r="B3937" s="138" t="s">
        <v>1275</v>
      </c>
    </row>
    <row r="3938" spans="1:2" x14ac:dyDescent="0.25">
      <c r="A3938" s="20">
        <v>96</v>
      </c>
      <c r="B3938" s="20" t="s">
        <v>1275</v>
      </c>
    </row>
    <row r="3939" spans="1:2" x14ac:dyDescent="0.25">
      <c r="A3939" s="138">
        <v>96</v>
      </c>
      <c r="B3939" s="138" t="s">
        <v>1275</v>
      </c>
    </row>
    <row r="3940" spans="1:2" x14ac:dyDescent="0.25">
      <c r="A3940" s="20">
        <v>96</v>
      </c>
      <c r="B3940" s="20" t="s">
        <v>1275</v>
      </c>
    </row>
    <row r="3941" spans="1:2" x14ac:dyDescent="0.25">
      <c r="A3941" s="138">
        <v>96</v>
      </c>
      <c r="B3941" s="138" t="s">
        <v>1275</v>
      </c>
    </row>
    <row r="3942" spans="1:2" x14ac:dyDescent="0.25">
      <c r="A3942" s="20">
        <v>96</v>
      </c>
      <c r="B3942" s="20" t="s">
        <v>1275</v>
      </c>
    </row>
    <row r="3943" spans="1:2" x14ac:dyDescent="0.25">
      <c r="A3943" s="138">
        <v>96</v>
      </c>
      <c r="B3943" s="138" t="s">
        <v>1275</v>
      </c>
    </row>
    <row r="3944" spans="1:2" x14ac:dyDescent="0.25">
      <c r="A3944" s="20">
        <v>96</v>
      </c>
      <c r="B3944" s="20" t="s">
        <v>1275</v>
      </c>
    </row>
    <row r="3945" spans="1:2" x14ac:dyDescent="0.25">
      <c r="A3945" s="138">
        <v>96</v>
      </c>
      <c r="B3945" s="138" t="s">
        <v>1275</v>
      </c>
    </row>
    <row r="3946" spans="1:2" x14ac:dyDescent="0.25">
      <c r="A3946" s="20">
        <v>96</v>
      </c>
      <c r="B3946" s="20" t="s">
        <v>1275</v>
      </c>
    </row>
    <row r="3947" spans="1:2" x14ac:dyDescent="0.25">
      <c r="A3947" s="138">
        <v>96</v>
      </c>
      <c r="B3947" s="138" t="s">
        <v>1275</v>
      </c>
    </row>
    <row r="3948" spans="1:2" x14ac:dyDescent="0.25">
      <c r="A3948" s="20" t="s">
        <v>2517</v>
      </c>
      <c r="B3948" s="20" t="s">
        <v>1289</v>
      </c>
    </row>
    <row r="3949" spans="1:2" x14ac:dyDescent="0.25">
      <c r="A3949" s="138">
        <v>27</v>
      </c>
      <c r="B3949" s="138" t="s">
        <v>655</v>
      </c>
    </row>
    <row r="3950" spans="1:2" x14ac:dyDescent="0.25">
      <c r="A3950" s="20">
        <v>27</v>
      </c>
      <c r="B3950" s="20" t="s">
        <v>655</v>
      </c>
    </row>
    <row r="3951" spans="1:2" x14ac:dyDescent="0.25">
      <c r="A3951" s="138">
        <v>27</v>
      </c>
      <c r="B3951" s="138" t="s">
        <v>655</v>
      </c>
    </row>
    <row r="3952" spans="1:2" x14ac:dyDescent="0.25">
      <c r="A3952" s="20">
        <v>27</v>
      </c>
      <c r="B3952" s="20" t="s">
        <v>655</v>
      </c>
    </row>
    <row r="3953" spans="1:2" x14ac:dyDescent="0.25">
      <c r="A3953" s="138">
        <v>27</v>
      </c>
      <c r="B3953" s="138" t="s">
        <v>655</v>
      </c>
    </row>
    <row r="3954" spans="1:2" x14ac:dyDescent="0.25">
      <c r="A3954" s="20">
        <v>27</v>
      </c>
      <c r="B3954" s="20" t="s">
        <v>655</v>
      </c>
    </row>
    <row r="3955" spans="1:2" x14ac:dyDescent="0.25">
      <c r="A3955" s="138">
        <v>27</v>
      </c>
      <c r="B3955" s="138" t="s">
        <v>655</v>
      </c>
    </row>
    <row r="3956" spans="1:2" x14ac:dyDescent="0.25">
      <c r="A3956" s="20">
        <v>27</v>
      </c>
      <c r="B3956" s="20" t="s">
        <v>655</v>
      </c>
    </row>
    <row r="3957" spans="1:2" x14ac:dyDescent="0.25">
      <c r="A3957" s="138">
        <v>27</v>
      </c>
      <c r="B3957" s="138" t="s">
        <v>655</v>
      </c>
    </row>
    <row r="3958" spans="1:2" x14ac:dyDescent="0.25">
      <c r="A3958" s="20">
        <v>27</v>
      </c>
      <c r="B3958" s="20" t="s">
        <v>655</v>
      </c>
    </row>
    <row r="3959" spans="1:2" x14ac:dyDescent="0.25">
      <c r="A3959" s="138">
        <v>27</v>
      </c>
      <c r="B3959" s="138" t="s">
        <v>655</v>
      </c>
    </row>
    <row r="3960" spans="1:2" x14ac:dyDescent="0.25">
      <c r="A3960" s="20">
        <v>26</v>
      </c>
      <c r="B3960" s="20" t="s">
        <v>655</v>
      </c>
    </row>
    <row r="3961" spans="1:2" x14ac:dyDescent="0.25">
      <c r="A3961" s="138">
        <v>26</v>
      </c>
      <c r="B3961" s="138" t="s">
        <v>655</v>
      </c>
    </row>
    <row r="3962" spans="1:2" x14ac:dyDescent="0.25">
      <c r="A3962" s="20">
        <v>26</v>
      </c>
      <c r="B3962" s="20" t="s">
        <v>655</v>
      </c>
    </row>
    <row r="3963" spans="1:2" x14ac:dyDescent="0.25">
      <c r="A3963" s="138">
        <v>26</v>
      </c>
      <c r="B3963" s="138" t="s">
        <v>655</v>
      </c>
    </row>
    <row r="3964" spans="1:2" x14ac:dyDescent="0.25">
      <c r="A3964" s="20">
        <v>16</v>
      </c>
      <c r="B3964" s="20" t="s">
        <v>2005</v>
      </c>
    </row>
    <row r="3965" spans="1:2" x14ac:dyDescent="0.25">
      <c r="A3965" s="138" t="s">
        <v>3658</v>
      </c>
      <c r="B3965" s="138" t="s">
        <v>270</v>
      </c>
    </row>
    <row r="3966" spans="1:2" x14ac:dyDescent="0.25">
      <c r="A3966" s="20">
        <v>96</v>
      </c>
      <c r="B3966" s="20" t="s">
        <v>1403</v>
      </c>
    </row>
    <row r="3967" spans="1:2" x14ac:dyDescent="0.25">
      <c r="A3967" s="138">
        <v>96</v>
      </c>
      <c r="B3967" s="138" t="s">
        <v>1403</v>
      </c>
    </row>
    <row r="3968" spans="1:2" x14ac:dyDescent="0.25">
      <c r="A3968" s="20">
        <v>96</v>
      </c>
      <c r="B3968" s="20" t="s">
        <v>1403</v>
      </c>
    </row>
    <row r="3969" spans="1:2" x14ac:dyDescent="0.25">
      <c r="A3969" s="138">
        <v>96</v>
      </c>
      <c r="B3969" s="138" t="s">
        <v>1403</v>
      </c>
    </row>
    <row r="3970" spans="1:2" x14ac:dyDescent="0.25">
      <c r="A3970" s="20">
        <v>96</v>
      </c>
      <c r="B3970" s="20" t="s">
        <v>1403</v>
      </c>
    </row>
    <row r="3971" spans="1:2" x14ac:dyDescent="0.25">
      <c r="A3971" s="138">
        <v>96</v>
      </c>
      <c r="B3971" s="138" t="s">
        <v>1403</v>
      </c>
    </row>
    <row r="3972" spans="1:2" x14ac:dyDescent="0.25">
      <c r="A3972" s="20">
        <v>50</v>
      </c>
      <c r="B3972" s="20" t="s">
        <v>1478</v>
      </c>
    </row>
    <row r="3973" spans="1:2" x14ac:dyDescent="0.25">
      <c r="A3973" s="138">
        <v>16</v>
      </c>
      <c r="B3973" s="138" t="s">
        <v>557</v>
      </c>
    </row>
    <row r="3974" spans="1:2" x14ac:dyDescent="0.25">
      <c r="A3974" s="20" t="s">
        <v>6256</v>
      </c>
      <c r="B3974" s="20" t="s">
        <v>1520</v>
      </c>
    </row>
    <row r="3975" spans="1:2" x14ac:dyDescent="0.25">
      <c r="A3975" s="138" t="s">
        <v>6256</v>
      </c>
      <c r="B3975" s="138" t="s">
        <v>1520</v>
      </c>
    </row>
    <row r="3976" spans="1:2" x14ac:dyDescent="0.25">
      <c r="A3976" s="20" t="s">
        <v>6256</v>
      </c>
      <c r="B3976" s="20" t="s">
        <v>1520</v>
      </c>
    </row>
    <row r="3977" spans="1:2" x14ac:dyDescent="0.25">
      <c r="A3977" s="138" t="s">
        <v>6256</v>
      </c>
      <c r="B3977" s="138" t="s">
        <v>1520</v>
      </c>
    </row>
    <row r="3978" spans="1:2" x14ac:dyDescent="0.25">
      <c r="A3978" s="20" t="s">
        <v>6256</v>
      </c>
      <c r="B3978" s="20" t="s">
        <v>1520</v>
      </c>
    </row>
    <row r="3979" spans="1:2" x14ac:dyDescent="0.25">
      <c r="A3979" s="138" t="s">
        <v>6256</v>
      </c>
      <c r="B3979" s="138" t="s">
        <v>1520</v>
      </c>
    </row>
    <row r="3980" spans="1:2" x14ac:dyDescent="0.25">
      <c r="A3980" s="20" t="s">
        <v>6256</v>
      </c>
      <c r="B3980" s="20" t="s">
        <v>1520</v>
      </c>
    </row>
    <row r="3981" spans="1:2" x14ac:dyDescent="0.25">
      <c r="A3981" s="138" t="s">
        <v>6256</v>
      </c>
      <c r="B3981" s="138" t="s">
        <v>1520</v>
      </c>
    </row>
    <row r="3982" spans="1:2" x14ac:dyDescent="0.25">
      <c r="A3982" s="20" t="s">
        <v>6256</v>
      </c>
      <c r="B3982" s="20" t="s">
        <v>1520</v>
      </c>
    </row>
    <row r="3983" spans="1:2" x14ac:dyDescent="0.25">
      <c r="A3983" s="138" t="s">
        <v>6256</v>
      </c>
      <c r="B3983" s="138" t="s">
        <v>1520</v>
      </c>
    </row>
    <row r="3984" spans="1:2" x14ac:dyDescent="0.25">
      <c r="A3984" s="20" t="s">
        <v>6256</v>
      </c>
      <c r="B3984" s="20" t="s">
        <v>1520</v>
      </c>
    </row>
    <row r="3985" spans="1:2" x14ac:dyDescent="0.25">
      <c r="A3985" s="138" t="s">
        <v>6256</v>
      </c>
      <c r="B3985" s="138" t="s">
        <v>1520</v>
      </c>
    </row>
    <row r="3986" spans="1:2" x14ac:dyDescent="0.25">
      <c r="A3986" s="20" t="s">
        <v>6229</v>
      </c>
      <c r="B3986" s="20" t="s">
        <v>1726</v>
      </c>
    </row>
    <row r="3987" spans="1:2" x14ac:dyDescent="0.25">
      <c r="A3987" s="138" t="s">
        <v>6229</v>
      </c>
      <c r="B3987" s="138" t="s">
        <v>1726</v>
      </c>
    </row>
    <row r="3988" spans="1:2" x14ac:dyDescent="0.25">
      <c r="A3988" s="20" t="s">
        <v>6229</v>
      </c>
      <c r="B3988" s="20" t="s">
        <v>1726</v>
      </c>
    </row>
    <row r="3989" spans="1:2" x14ac:dyDescent="0.25">
      <c r="A3989" s="138" t="s">
        <v>6229</v>
      </c>
      <c r="B3989" s="138" t="s">
        <v>1726</v>
      </c>
    </row>
    <row r="3990" spans="1:2" x14ac:dyDescent="0.25">
      <c r="A3990" s="20" t="s">
        <v>6229</v>
      </c>
      <c r="B3990" s="20" t="s">
        <v>1726</v>
      </c>
    </row>
    <row r="3991" spans="1:2" x14ac:dyDescent="0.25">
      <c r="A3991" s="138">
        <v>115</v>
      </c>
      <c r="B3991" s="138" t="s">
        <v>2003</v>
      </c>
    </row>
    <row r="3992" spans="1:2" x14ac:dyDescent="0.25">
      <c r="A3992" s="20">
        <v>115</v>
      </c>
      <c r="B3992" s="20" t="s">
        <v>2003</v>
      </c>
    </row>
    <row r="3993" spans="1:2" x14ac:dyDescent="0.25">
      <c r="A3993" s="138">
        <v>115</v>
      </c>
      <c r="B3993" s="138" t="s">
        <v>2003</v>
      </c>
    </row>
    <row r="3994" spans="1:2" x14ac:dyDescent="0.25">
      <c r="A3994" s="20">
        <v>115</v>
      </c>
      <c r="B3994" s="20" t="s">
        <v>2003</v>
      </c>
    </row>
    <row r="3995" spans="1:2" x14ac:dyDescent="0.25">
      <c r="A3995" s="138">
        <v>115</v>
      </c>
      <c r="B3995" s="138" t="s">
        <v>2003</v>
      </c>
    </row>
    <row r="3996" spans="1:2" x14ac:dyDescent="0.25">
      <c r="A3996" s="20">
        <v>115</v>
      </c>
      <c r="B3996" s="20" t="s">
        <v>2003</v>
      </c>
    </row>
    <row r="3997" spans="1:2" x14ac:dyDescent="0.25">
      <c r="A3997" s="138">
        <v>199</v>
      </c>
      <c r="B3997" s="138" t="s">
        <v>1275</v>
      </c>
    </row>
    <row r="3998" spans="1:2" x14ac:dyDescent="0.25">
      <c r="A3998" s="20">
        <v>199</v>
      </c>
      <c r="B3998" s="20" t="s">
        <v>1275</v>
      </c>
    </row>
    <row r="3999" spans="1:2" x14ac:dyDescent="0.25">
      <c r="A3999" s="138">
        <v>199</v>
      </c>
      <c r="B3999" s="138" t="s">
        <v>1275</v>
      </c>
    </row>
    <row r="4000" spans="1:2" x14ac:dyDescent="0.25">
      <c r="A4000" s="20">
        <v>199</v>
      </c>
      <c r="B4000" s="20" t="s">
        <v>1275</v>
      </c>
    </row>
    <row r="4001" spans="1:2" x14ac:dyDescent="0.25">
      <c r="A4001" s="138">
        <v>199</v>
      </c>
      <c r="B4001" s="138" t="s">
        <v>1275</v>
      </c>
    </row>
    <row r="4002" spans="1:2" x14ac:dyDescent="0.25">
      <c r="A4002" s="20">
        <v>199</v>
      </c>
      <c r="B4002" s="20" t="s">
        <v>1275</v>
      </c>
    </row>
    <row r="4003" spans="1:2" x14ac:dyDescent="0.25">
      <c r="A4003" s="138">
        <v>199</v>
      </c>
      <c r="B4003" s="138" t="s">
        <v>1275</v>
      </c>
    </row>
    <row r="4004" spans="1:2" x14ac:dyDescent="0.25">
      <c r="A4004" s="20">
        <v>199</v>
      </c>
      <c r="B4004" s="20" t="s">
        <v>1275</v>
      </c>
    </row>
    <row r="4005" spans="1:2" x14ac:dyDescent="0.25">
      <c r="A4005" s="138">
        <v>199</v>
      </c>
      <c r="B4005" s="138" t="s">
        <v>1275</v>
      </c>
    </row>
    <row r="4006" spans="1:2" x14ac:dyDescent="0.25">
      <c r="A4006" s="20">
        <v>199</v>
      </c>
      <c r="B4006" s="20" t="s">
        <v>1275</v>
      </c>
    </row>
    <row r="4007" spans="1:2" x14ac:dyDescent="0.25">
      <c r="A4007" s="138">
        <v>199</v>
      </c>
      <c r="B4007" s="138" t="s">
        <v>1275</v>
      </c>
    </row>
    <row r="4008" spans="1:2" x14ac:dyDescent="0.25">
      <c r="A4008" s="20">
        <v>199</v>
      </c>
      <c r="B4008" s="20" t="s">
        <v>1275</v>
      </c>
    </row>
    <row r="4009" spans="1:2" x14ac:dyDescent="0.25">
      <c r="A4009" s="138">
        <v>199</v>
      </c>
      <c r="B4009" s="138" t="s">
        <v>1275</v>
      </c>
    </row>
    <row r="4010" spans="1:2" x14ac:dyDescent="0.25">
      <c r="A4010" s="20">
        <v>199</v>
      </c>
      <c r="B4010" s="20" t="s">
        <v>1275</v>
      </c>
    </row>
    <row r="4011" spans="1:2" x14ac:dyDescent="0.25">
      <c r="A4011" s="20">
        <v>109</v>
      </c>
      <c r="B4011" s="20" t="s">
        <v>1346</v>
      </c>
    </row>
    <row r="4012" spans="1:2" x14ac:dyDescent="0.25">
      <c r="A4012" s="138">
        <v>109</v>
      </c>
      <c r="B4012" s="138" t="s">
        <v>1346</v>
      </c>
    </row>
    <row r="4013" spans="1:2" x14ac:dyDescent="0.25">
      <c r="A4013" s="20">
        <v>18</v>
      </c>
      <c r="B4013" s="20" t="s">
        <v>1289</v>
      </c>
    </row>
    <row r="4014" spans="1:2" x14ac:dyDescent="0.25">
      <c r="A4014" s="20">
        <v>18</v>
      </c>
      <c r="B4014" s="20" t="s">
        <v>1289</v>
      </c>
    </row>
    <row r="4015" spans="1:2" x14ac:dyDescent="0.25">
      <c r="A4015" s="138">
        <v>18</v>
      </c>
      <c r="B4015" s="138" t="s">
        <v>1289</v>
      </c>
    </row>
    <row r="4016" spans="1:2" x14ac:dyDescent="0.25">
      <c r="A4016" s="20" t="s">
        <v>2517</v>
      </c>
      <c r="B4016" s="20" t="s">
        <v>1289</v>
      </c>
    </row>
    <row r="4017" spans="1:2" x14ac:dyDescent="0.25">
      <c r="A4017" s="138" t="s">
        <v>2517</v>
      </c>
      <c r="B4017" s="138" t="s">
        <v>1289</v>
      </c>
    </row>
    <row r="4018" spans="1:2" x14ac:dyDescent="0.25">
      <c r="A4018" s="20">
        <v>18</v>
      </c>
      <c r="B4018" s="20" t="s">
        <v>1289</v>
      </c>
    </row>
    <row r="4019" spans="1:2" x14ac:dyDescent="0.25">
      <c r="A4019" s="138">
        <v>18</v>
      </c>
      <c r="B4019" s="138" t="s">
        <v>1289</v>
      </c>
    </row>
    <row r="4020" spans="1:2" x14ac:dyDescent="0.25">
      <c r="A4020" s="20" t="s">
        <v>3717</v>
      </c>
      <c r="B4020" s="20" t="s">
        <v>1244</v>
      </c>
    </row>
    <row r="4021" spans="1:2" x14ac:dyDescent="0.25">
      <c r="A4021" s="138" t="s">
        <v>3717</v>
      </c>
      <c r="B4021" s="138" t="s">
        <v>1244</v>
      </c>
    </row>
    <row r="4022" spans="1:2" x14ac:dyDescent="0.25">
      <c r="A4022" s="20" t="s">
        <v>3717</v>
      </c>
      <c r="B4022" s="20" t="s">
        <v>1244</v>
      </c>
    </row>
    <row r="4023" spans="1:2" x14ac:dyDescent="0.25">
      <c r="A4023" s="138">
        <v>16</v>
      </c>
      <c r="B4023" s="138" t="s">
        <v>2005</v>
      </c>
    </row>
    <row r="4024" spans="1:2" x14ac:dyDescent="0.25">
      <c r="A4024" s="20">
        <v>16</v>
      </c>
      <c r="B4024" s="20" t="s">
        <v>2005</v>
      </c>
    </row>
    <row r="4025" spans="1:2" x14ac:dyDescent="0.25">
      <c r="A4025" s="138">
        <v>16</v>
      </c>
      <c r="B4025" s="138" t="s">
        <v>2005</v>
      </c>
    </row>
    <row r="4026" spans="1:2" x14ac:dyDescent="0.25">
      <c r="A4026" s="20">
        <v>11</v>
      </c>
      <c r="B4026" s="20" t="s">
        <v>638</v>
      </c>
    </row>
    <row r="4027" spans="1:2" x14ac:dyDescent="0.25">
      <c r="A4027" s="138" t="s">
        <v>3658</v>
      </c>
      <c r="B4027" s="138" t="s">
        <v>270</v>
      </c>
    </row>
    <row r="4028" spans="1:2" x14ac:dyDescent="0.25">
      <c r="A4028" s="20" t="s">
        <v>3658</v>
      </c>
      <c r="B4028" s="20" t="s">
        <v>270</v>
      </c>
    </row>
    <row r="4029" spans="1:2" x14ac:dyDescent="0.25">
      <c r="A4029" s="138" t="s">
        <v>3658</v>
      </c>
      <c r="B4029" s="138" t="s">
        <v>270</v>
      </c>
    </row>
    <row r="4030" spans="1:2" x14ac:dyDescent="0.25">
      <c r="A4030" s="20" t="s">
        <v>3658</v>
      </c>
      <c r="B4030" s="20" t="s">
        <v>270</v>
      </c>
    </row>
    <row r="4031" spans="1:2" x14ac:dyDescent="0.25">
      <c r="A4031" s="138" t="s">
        <v>3658</v>
      </c>
      <c r="B4031" s="138" t="s">
        <v>270</v>
      </c>
    </row>
    <row r="4032" spans="1:2" x14ac:dyDescent="0.25">
      <c r="A4032" s="20" t="s">
        <v>3710</v>
      </c>
      <c r="B4032" s="20" t="s">
        <v>280</v>
      </c>
    </row>
    <row r="4033" spans="1:2" x14ac:dyDescent="0.25">
      <c r="A4033" s="138" t="s">
        <v>6194</v>
      </c>
      <c r="B4033" s="138" t="s">
        <v>450</v>
      </c>
    </row>
    <row r="4034" spans="1:2" x14ac:dyDescent="0.25">
      <c r="A4034" s="20" t="s">
        <v>6194</v>
      </c>
      <c r="B4034" s="20" t="s">
        <v>450</v>
      </c>
    </row>
    <row r="4035" spans="1:2" x14ac:dyDescent="0.25">
      <c r="A4035" s="138" t="s">
        <v>6194</v>
      </c>
      <c r="B4035" s="138" t="s">
        <v>450</v>
      </c>
    </row>
    <row r="4036" spans="1:2" x14ac:dyDescent="0.25">
      <c r="A4036" s="20" t="s">
        <v>6194</v>
      </c>
      <c r="B4036" s="20" t="s">
        <v>450</v>
      </c>
    </row>
    <row r="4037" spans="1:2" x14ac:dyDescent="0.25">
      <c r="A4037" s="138" t="s">
        <v>6194</v>
      </c>
      <c r="B4037" s="138" t="s">
        <v>450</v>
      </c>
    </row>
    <row r="4038" spans="1:2" x14ac:dyDescent="0.25">
      <c r="A4038" s="20" t="s">
        <v>6194</v>
      </c>
      <c r="B4038" s="20" t="s">
        <v>450</v>
      </c>
    </row>
    <row r="4039" spans="1:2" x14ac:dyDescent="0.25">
      <c r="A4039" s="138" t="s">
        <v>6194</v>
      </c>
      <c r="B4039" s="138" t="s">
        <v>450</v>
      </c>
    </row>
    <row r="4040" spans="1:2" x14ac:dyDescent="0.25">
      <c r="A4040" s="20" t="s">
        <v>6194</v>
      </c>
      <c r="B4040" s="20" t="s">
        <v>450</v>
      </c>
    </row>
    <row r="4041" spans="1:2" x14ac:dyDescent="0.25">
      <c r="A4041" s="138" t="s">
        <v>6194</v>
      </c>
      <c r="B4041" s="138" t="s">
        <v>450</v>
      </c>
    </row>
    <row r="4042" spans="1:2" x14ac:dyDescent="0.25">
      <c r="A4042" s="20">
        <v>96</v>
      </c>
      <c r="B4042" s="20" t="s">
        <v>1403</v>
      </c>
    </row>
    <row r="4043" spans="1:2" x14ac:dyDescent="0.25">
      <c r="A4043" s="138">
        <v>96</v>
      </c>
      <c r="B4043" s="138" t="s">
        <v>1403</v>
      </c>
    </row>
    <row r="4044" spans="1:2" x14ac:dyDescent="0.25">
      <c r="A4044" s="20">
        <v>96</v>
      </c>
      <c r="B4044" s="20" t="s">
        <v>1403</v>
      </c>
    </row>
    <row r="4045" spans="1:2" x14ac:dyDescent="0.25">
      <c r="A4045" s="138">
        <v>96</v>
      </c>
      <c r="B4045" s="138" t="s">
        <v>1403</v>
      </c>
    </row>
    <row r="4046" spans="1:2" x14ac:dyDescent="0.25">
      <c r="A4046" s="20">
        <v>96</v>
      </c>
      <c r="B4046" s="20" t="s">
        <v>1403</v>
      </c>
    </row>
    <row r="4047" spans="1:2" x14ac:dyDescent="0.25">
      <c r="A4047" s="138">
        <v>96</v>
      </c>
      <c r="B4047" s="138" t="s">
        <v>1403</v>
      </c>
    </row>
    <row r="4048" spans="1:2" x14ac:dyDescent="0.25">
      <c r="A4048" s="20">
        <v>96</v>
      </c>
      <c r="B4048" s="20" t="s">
        <v>1403</v>
      </c>
    </row>
    <row r="4049" spans="1:2" x14ac:dyDescent="0.25">
      <c r="A4049" s="138">
        <v>96</v>
      </c>
      <c r="B4049" s="138" t="s">
        <v>1403</v>
      </c>
    </row>
    <row r="4050" spans="1:2" x14ac:dyDescent="0.25">
      <c r="A4050" s="20">
        <v>96</v>
      </c>
      <c r="B4050" s="20" t="s">
        <v>1403</v>
      </c>
    </row>
    <row r="4051" spans="1:2" x14ac:dyDescent="0.25">
      <c r="A4051" s="138">
        <v>50</v>
      </c>
      <c r="B4051" s="138" t="s">
        <v>1478</v>
      </c>
    </row>
    <row r="4052" spans="1:2" x14ac:dyDescent="0.25">
      <c r="A4052" s="20">
        <v>50</v>
      </c>
      <c r="B4052" s="20" t="s">
        <v>1478</v>
      </c>
    </row>
    <row r="4053" spans="1:2" x14ac:dyDescent="0.25">
      <c r="A4053" s="138">
        <v>50</v>
      </c>
      <c r="B4053" s="138" t="s">
        <v>1478</v>
      </c>
    </row>
    <row r="4054" spans="1:2" x14ac:dyDescent="0.25">
      <c r="A4054" s="20">
        <v>50</v>
      </c>
      <c r="B4054" s="20" t="s">
        <v>1478</v>
      </c>
    </row>
    <row r="4055" spans="1:2" x14ac:dyDescent="0.25">
      <c r="A4055" s="138">
        <v>50</v>
      </c>
      <c r="B4055" s="138" t="s">
        <v>1478</v>
      </c>
    </row>
    <row r="4056" spans="1:2" x14ac:dyDescent="0.25">
      <c r="A4056" s="20">
        <v>50</v>
      </c>
      <c r="B4056" s="20" t="s">
        <v>1478</v>
      </c>
    </row>
    <row r="4057" spans="1:2" x14ac:dyDescent="0.25">
      <c r="A4057" s="138">
        <v>50</v>
      </c>
      <c r="B4057" s="138" t="s">
        <v>1478</v>
      </c>
    </row>
    <row r="4058" spans="1:2" x14ac:dyDescent="0.25">
      <c r="A4058" s="20" t="s">
        <v>6256</v>
      </c>
      <c r="B4058" s="20" t="s">
        <v>1520</v>
      </c>
    </row>
    <row r="4059" spans="1:2" x14ac:dyDescent="0.25">
      <c r="A4059" s="138" t="s">
        <v>6256</v>
      </c>
      <c r="B4059" s="138" t="s">
        <v>1520</v>
      </c>
    </row>
    <row r="4060" spans="1:2" x14ac:dyDescent="0.25">
      <c r="A4060" s="20">
        <v>97</v>
      </c>
      <c r="B4060" s="20" t="s">
        <v>206</v>
      </c>
    </row>
    <row r="4061" spans="1:2" x14ac:dyDescent="0.25">
      <c r="A4061" s="138">
        <v>97</v>
      </c>
      <c r="B4061" s="138" t="s">
        <v>206</v>
      </c>
    </row>
    <row r="4062" spans="1:2" x14ac:dyDescent="0.25">
      <c r="A4062" s="20" t="s">
        <v>6221</v>
      </c>
      <c r="B4062" s="20" t="s">
        <v>337</v>
      </c>
    </row>
    <row r="4063" spans="1:2" x14ac:dyDescent="0.25">
      <c r="A4063" s="138" t="s">
        <v>6229</v>
      </c>
      <c r="B4063" s="138" t="s">
        <v>1726</v>
      </c>
    </row>
    <row r="4064" spans="1:2" x14ac:dyDescent="0.25">
      <c r="A4064" s="20" t="s">
        <v>6229</v>
      </c>
      <c r="B4064" s="20" t="s">
        <v>1726</v>
      </c>
    </row>
    <row r="4065" spans="1:2" x14ac:dyDescent="0.25">
      <c r="A4065" s="138" t="s">
        <v>6229</v>
      </c>
      <c r="B4065" s="138" t="s">
        <v>1726</v>
      </c>
    </row>
    <row r="4066" spans="1:2" x14ac:dyDescent="0.25">
      <c r="A4066" s="20" t="s">
        <v>6229</v>
      </c>
      <c r="B4066" s="20" t="s">
        <v>1726</v>
      </c>
    </row>
    <row r="4067" spans="1:2" x14ac:dyDescent="0.25">
      <c r="A4067" s="138" t="s">
        <v>6229</v>
      </c>
      <c r="B4067" s="138" t="s">
        <v>1726</v>
      </c>
    </row>
    <row r="4068" spans="1:2" x14ac:dyDescent="0.25">
      <c r="A4068" s="20" t="s">
        <v>6229</v>
      </c>
      <c r="B4068" s="20" t="s">
        <v>1726</v>
      </c>
    </row>
    <row r="4069" spans="1:2" x14ac:dyDescent="0.25">
      <c r="A4069" s="138" t="s">
        <v>6229</v>
      </c>
      <c r="B4069" s="138" t="s">
        <v>1726</v>
      </c>
    </row>
    <row r="4070" spans="1:2" x14ac:dyDescent="0.25">
      <c r="A4070" s="20" t="s">
        <v>6229</v>
      </c>
      <c r="B4070" s="20" t="s">
        <v>1726</v>
      </c>
    </row>
    <row r="4071" spans="1:2" x14ac:dyDescent="0.25">
      <c r="A4071" s="138" t="s">
        <v>6229</v>
      </c>
      <c r="B4071" s="138" t="s">
        <v>1726</v>
      </c>
    </row>
    <row r="4072" spans="1:2" x14ac:dyDescent="0.25">
      <c r="A4072" s="20" t="s">
        <v>6229</v>
      </c>
      <c r="B4072" s="20" t="s">
        <v>1726</v>
      </c>
    </row>
    <row r="4073" spans="1:2" x14ac:dyDescent="0.25">
      <c r="A4073" s="138" t="s">
        <v>6229</v>
      </c>
      <c r="B4073" s="138" t="s">
        <v>1726</v>
      </c>
    </row>
    <row r="4074" spans="1:2" x14ac:dyDescent="0.25">
      <c r="A4074" s="20" t="s">
        <v>6229</v>
      </c>
      <c r="B4074" s="20" t="s">
        <v>1726</v>
      </c>
    </row>
    <row r="4075" spans="1:2" x14ac:dyDescent="0.25">
      <c r="A4075" s="138" t="s">
        <v>6229</v>
      </c>
      <c r="B4075" s="138" t="s">
        <v>1726</v>
      </c>
    </row>
    <row r="4076" spans="1:2" x14ac:dyDescent="0.25">
      <c r="A4076" s="20" t="s">
        <v>6229</v>
      </c>
      <c r="B4076" s="20" t="s">
        <v>1726</v>
      </c>
    </row>
    <row r="4077" spans="1:2" x14ac:dyDescent="0.25">
      <c r="A4077" s="138" t="s">
        <v>6229</v>
      </c>
      <c r="B4077" s="138" t="s">
        <v>1726</v>
      </c>
    </row>
    <row r="4078" spans="1:2" x14ac:dyDescent="0.25">
      <c r="A4078" s="20" t="s">
        <v>6229</v>
      </c>
      <c r="B4078" s="20" t="s">
        <v>1726</v>
      </c>
    </row>
    <row r="4079" spans="1:2" x14ac:dyDescent="0.25">
      <c r="A4079" s="138" t="s">
        <v>6229</v>
      </c>
      <c r="B4079" s="138" t="s">
        <v>1726</v>
      </c>
    </row>
    <row r="4080" spans="1:2" x14ac:dyDescent="0.25">
      <c r="A4080" s="20" t="s">
        <v>6229</v>
      </c>
      <c r="B4080" s="20" t="s">
        <v>1726</v>
      </c>
    </row>
    <row r="4081" spans="1:2" x14ac:dyDescent="0.25">
      <c r="A4081" s="138" t="s">
        <v>6229</v>
      </c>
      <c r="B4081" s="138" t="s">
        <v>1726</v>
      </c>
    </row>
    <row r="4082" spans="1:2" x14ac:dyDescent="0.25">
      <c r="A4082" s="20">
        <v>234</v>
      </c>
      <c r="B4082" s="20" t="s">
        <v>206</v>
      </c>
    </row>
    <row r="4083" spans="1:2" x14ac:dyDescent="0.25">
      <c r="A4083" s="138">
        <v>234</v>
      </c>
      <c r="B4083" s="138" t="s">
        <v>206</v>
      </c>
    </row>
    <row r="4084" spans="1:2" x14ac:dyDescent="0.25">
      <c r="A4084" s="20">
        <v>234</v>
      </c>
      <c r="B4084" s="20" t="s">
        <v>206</v>
      </c>
    </row>
    <row r="4085" spans="1:2" x14ac:dyDescent="0.25">
      <c r="A4085" s="138">
        <v>234</v>
      </c>
      <c r="B4085" s="138" t="s">
        <v>206</v>
      </c>
    </row>
    <row r="4086" spans="1:2" x14ac:dyDescent="0.25">
      <c r="A4086" s="20">
        <v>109</v>
      </c>
      <c r="B4086" s="20" t="s">
        <v>1346</v>
      </c>
    </row>
    <row r="4087" spans="1:2" x14ac:dyDescent="0.25">
      <c r="A4087" s="138">
        <v>109</v>
      </c>
      <c r="B4087" s="138" t="s">
        <v>1346</v>
      </c>
    </row>
    <row r="4088" spans="1:2" x14ac:dyDescent="0.25">
      <c r="A4088" s="20">
        <v>109</v>
      </c>
      <c r="B4088" s="20" t="s">
        <v>1346</v>
      </c>
    </row>
    <row r="4089" spans="1:2" x14ac:dyDescent="0.25">
      <c r="A4089" s="138">
        <v>109</v>
      </c>
      <c r="B4089" s="138" t="s">
        <v>1346</v>
      </c>
    </row>
    <row r="4090" spans="1:2" x14ac:dyDescent="0.25">
      <c r="A4090" s="20">
        <v>109</v>
      </c>
      <c r="B4090" s="20" t="s">
        <v>1346</v>
      </c>
    </row>
    <row r="4091" spans="1:2" x14ac:dyDescent="0.25">
      <c r="A4091" s="138">
        <v>109</v>
      </c>
      <c r="B4091" s="138" t="s">
        <v>1346</v>
      </c>
    </row>
    <row r="4092" spans="1:2" x14ac:dyDescent="0.25">
      <c r="A4092" s="20">
        <v>109</v>
      </c>
      <c r="B4092" s="20" t="s">
        <v>1346</v>
      </c>
    </row>
    <row r="4093" spans="1:2" x14ac:dyDescent="0.25">
      <c r="A4093" s="138">
        <v>109</v>
      </c>
      <c r="B4093" s="138" t="s">
        <v>1346</v>
      </c>
    </row>
    <row r="4094" spans="1:2" x14ac:dyDescent="0.25">
      <c r="A4094" s="20">
        <v>109</v>
      </c>
      <c r="B4094" s="20" t="s">
        <v>1346</v>
      </c>
    </row>
    <row r="4095" spans="1:2" x14ac:dyDescent="0.25">
      <c r="A4095" s="138">
        <v>109</v>
      </c>
      <c r="B4095" s="138" t="s">
        <v>1346</v>
      </c>
    </row>
    <row r="4096" spans="1:2" x14ac:dyDescent="0.25">
      <c r="A4096" s="20">
        <v>109</v>
      </c>
      <c r="B4096" s="20" t="s">
        <v>1346</v>
      </c>
    </row>
    <row r="4097" spans="1:2" x14ac:dyDescent="0.25">
      <c r="A4097" s="138">
        <v>109</v>
      </c>
      <c r="B4097" s="138" t="s">
        <v>1346</v>
      </c>
    </row>
    <row r="4098" spans="1:2" x14ac:dyDescent="0.25">
      <c r="A4098" s="20">
        <v>109</v>
      </c>
      <c r="B4098" s="20" t="s">
        <v>1346</v>
      </c>
    </row>
    <row r="4099" spans="1:2" x14ac:dyDescent="0.25">
      <c r="A4099" s="138">
        <v>109</v>
      </c>
      <c r="B4099" s="138" t="s">
        <v>1346</v>
      </c>
    </row>
    <row r="4100" spans="1:2" x14ac:dyDescent="0.25">
      <c r="A4100" s="20">
        <v>109</v>
      </c>
      <c r="B4100" s="20" t="s">
        <v>1346</v>
      </c>
    </row>
    <row r="4101" spans="1:2" x14ac:dyDescent="0.25">
      <c r="A4101" s="138">
        <v>109</v>
      </c>
      <c r="B4101" s="138" t="s">
        <v>1346</v>
      </c>
    </row>
    <row r="4102" spans="1:2" x14ac:dyDescent="0.25">
      <c r="A4102" s="20">
        <v>96</v>
      </c>
      <c r="B4102" s="20" t="s">
        <v>1275</v>
      </c>
    </row>
    <row r="4103" spans="1:2" x14ac:dyDescent="0.25">
      <c r="A4103" s="138">
        <v>96</v>
      </c>
      <c r="B4103" s="138" t="s">
        <v>1275</v>
      </c>
    </row>
    <row r="4104" spans="1:2" x14ac:dyDescent="0.25">
      <c r="A4104" s="20" t="s">
        <v>2517</v>
      </c>
      <c r="B4104" s="20" t="s">
        <v>1289</v>
      </c>
    </row>
    <row r="4105" spans="1:2" x14ac:dyDescent="0.25">
      <c r="A4105" s="138" t="s">
        <v>2517</v>
      </c>
      <c r="B4105" s="138" t="s">
        <v>1289</v>
      </c>
    </row>
    <row r="4106" spans="1:2" x14ac:dyDescent="0.25">
      <c r="A4106" s="20" t="s">
        <v>2517</v>
      </c>
      <c r="B4106" s="20" t="s">
        <v>1289</v>
      </c>
    </row>
    <row r="4107" spans="1:2" x14ac:dyDescent="0.25">
      <c r="A4107" s="138" t="s">
        <v>2517</v>
      </c>
      <c r="B4107" s="138" t="s">
        <v>1289</v>
      </c>
    </row>
    <row r="4108" spans="1:2" x14ac:dyDescent="0.25">
      <c r="A4108" s="20" t="s">
        <v>3717</v>
      </c>
      <c r="B4108" s="20" t="s">
        <v>1244</v>
      </c>
    </row>
    <row r="4109" spans="1:2" x14ac:dyDescent="0.25">
      <c r="A4109" s="138" t="s">
        <v>3717</v>
      </c>
      <c r="B4109" s="138" t="s">
        <v>1244</v>
      </c>
    </row>
    <row r="4110" spans="1:2" x14ac:dyDescent="0.25">
      <c r="A4110" s="20" t="s">
        <v>3717</v>
      </c>
      <c r="B4110" s="20" t="s">
        <v>1244</v>
      </c>
    </row>
    <row r="4111" spans="1:2" x14ac:dyDescent="0.25">
      <c r="A4111" s="138" t="s">
        <v>3717</v>
      </c>
      <c r="B4111" s="138" t="s">
        <v>1244</v>
      </c>
    </row>
    <row r="4112" spans="1:2" x14ac:dyDescent="0.25">
      <c r="A4112" s="20" t="s">
        <v>3717</v>
      </c>
      <c r="B4112" s="20" t="s">
        <v>1244</v>
      </c>
    </row>
    <row r="4113" spans="1:2" x14ac:dyDescent="0.25">
      <c r="A4113" s="138" t="s">
        <v>3717</v>
      </c>
      <c r="B4113" s="138" t="s">
        <v>1244</v>
      </c>
    </row>
    <row r="4114" spans="1:2" x14ac:dyDescent="0.25">
      <c r="A4114" s="20" t="s">
        <v>3717</v>
      </c>
      <c r="B4114" s="20" t="s">
        <v>1244</v>
      </c>
    </row>
    <row r="4115" spans="1:2" x14ac:dyDescent="0.25">
      <c r="A4115" s="138" t="s">
        <v>3717</v>
      </c>
      <c r="B4115" s="138" t="s">
        <v>1244</v>
      </c>
    </row>
    <row r="4116" spans="1:2" x14ac:dyDescent="0.25">
      <c r="A4116" s="20" t="s">
        <v>3717</v>
      </c>
      <c r="B4116" s="20" t="s">
        <v>1244</v>
      </c>
    </row>
    <row r="4117" spans="1:2" x14ac:dyDescent="0.25">
      <c r="A4117" s="138">
        <v>16</v>
      </c>
      <c r="B4117" s="138" t="s">
        <v>2005</v>
      </c>
    </row>
    <row r="4118" spans="1:2" x14ac:dyDescent="0.25">
      <c r="A4118" s="20">
        <v>16</v>
      </c>
      <c r="B4118" s="20" t="s">
        <v>2005</v>
      </c>
    </row>
    <row r="4119" spans="1:2" x14ac:dyDescent="0.25">
      <c r="A4119" s="138">
        <v>16</v>
      </c>
      <c r="B4119" s="138" t="s">
        <v>2005</v>
      </c>
    </row>
    <row r="4120" spans="1:2" x14ac:dyDescent="0.25">
      <c r="A4120" s="20">
        <v>16</v>
      </c>
      <c r="B4120" s="20" t="s">
        <v>2005</v>
      </c>
    </row>
    <row r="4121" spans="1:2" x14ac:dyDescent="0.25">
      <c r="A4121" s="138">
        <v>16</v>
      </c>
      <c r="B4121" s="138" t="s">
        <v>2005</v>
      </c>
    </row>
    <row r="4122" spans="1:2" x14ac:dyDescent="0.25">
      <c r="A4122" s="20">
        <v>16</v>
      </c>
      <c r="B4122" s="20" t="s">
        <v>2005</v>
      </c>
    </row>
    <row r="4123" spans="1:2" x14ac:dyDescent="0.25">
      <c r="A4123" s="138">
        <v>16</v>
      </c>
      <c r="B4123" s="138" t="s">
        <v>2005</v>
      </c>
    </row>
    <row r="4124" spans="1:2" x14ac:dyDescent="0.25">
      <c r="A4124" s="20">
        <v>16</v>
      </c>
      <c r="B4124" s="20" t="s">
        <v>2005</v>
      </c>
    </row>
    <row r="4125" spans="1:2" x14ac:dyDescent="0.25">
      <c r="A4125" s="138">
        <v>16</v>
      </c>
      <c r="B4125" s="138" t="s">
        <v>2005</v>
      </c>
    </row>
    <row r="4126" spans="1:2" x14ac:dyDescent="0.25">
      <c r="A4126" s="20">
        <v>16</v>
      </c>
      <c r="B4126" s="20" t="s">
        <v>2005</v>
      </c>
    </row>
    <row r="4127" spans="1:2" x14ac:dyDescent="0.25">
      <c r="A4127" s="138">
        <v>16</v>
      </c>
      <c r="B4127" s="138" t="s">
        <v>2005</v>
      </c>
    </row>
    <row r="4128" spans="1:2" x14ac:dyDescent="0.25">
      <c r="A4128" s="20">
        <v>16</v>
      </c>
      <c r="B4128" s="20" t="s">
        <v>2005</v>
      </c>
    </row>
    <row r="4129" spans="1:2" x14ac:dyDescent="0.25">
      <c r="A4129" s="138">
        <v>16</v>
      </c>
      <c r="B4129" s="138" t="s">
        <v>2005</v>
      </c>
    </row>
    <row r="4130" spans="1:2" x14ac:dyDescent="0.25">
      <c r="A4130" s="20">
        <v>16</v>
      </c>
      <c r="B4130" s="20" t="s">
        <v>2005</v>
      </c>
    </row>
    <row r="4131" spans="1:2" x14ac:dyDescent="0.25">
      <c r="A4131" s="138">
        <v>16</v>
      </c>
      <c r="B4131" s="138" t="s">
        <v>2005</v>
      </c>
    </row>
    <row r="4132" spans="1:2" x14ac:dyDescent="0.25">
      <c r="A4132" s="20">
        <v>16</v>
      </c>
      <c r="B4132" s="20" t="s">
        <v>2005</v>
      </c>
    </row>
    <row r="4133" spans="1:2" x14ac:dyDescent="0.25">
      <c r="A4133" s="138">
        <v>16</v>
      </c>
      <c r="B4133" s="138" t="s">
        <v>2005</v>
      </c>
    </row>
    <row r="4134" spans="1:2" x14ac:dyDescent="0.25">
      <c r="A4134" s="20">
        <v>11</v>
      </c>
      <c r="B4134" s="20" t="s">
        <v>638</v>
      </c>
    </row>
    <row r="4135" spans="1:2" x14ac:dyDescent="0.25">
      <c r="A4135" s="138" t="s">
        <v>3658</v>
      </c>
      <c r="B4135" s="138" t="s">
        <v>270</v>
      </c>
    </row>
    <row r="4136" spans="1:2" x14ac:dyDescent="0.25">
      <c r="A4136" s="20" t="s">
        <v>3658</v>
      </c>
      <c r="B4136" s="20" t="s">
        <v>270</v>
      </c>
    </row>
    <row r="4137" spans="1:2" x14ac:dyDescent="0.25">
      <c r="A4137" s="138" t="s">
        <v>3710</v>
      </c>
      <c r="B4137" s="138" t="s">
        <v>280</v>
      </c>
    </row>
    <row r="4138" spans="1:2" x14ac:dyDescent="0.25">
      <c r="A4138" s="20" t="s">
        <v>3710</v>
      </c>
      <c r="B4138" s="20" t="s">
        <v>280</v>
      </c>
    </row>
    <row r="4139" spans="1:2" x14ac:dyDescent="0.25">
      <c r="A4139" s="138">
        <v>151</v>
      </c>
      <c r="B4139" s="138" t="s">
        <v>1161</v>
      </c>
    </row>
    <row r="4140" spans="1:2" x14ac:dyDescent="0.25">
      <c r="A4140" s="20">
        <v>96</v>
      </c>
      <c r="B4140" s="20" t="s">
        <v>1403</v>
      </c>
    </row>
    <row r="4141" spans="1:2" x14ac:dyDescent="0.25">
      <c r="A4141" s="138">
        <v>96</v>
      </c>
      <c r="B4141" s="138" t="s">
        <v>1403</v>
      </c>
    </row>
    <row r="4142" spans="1:2" x14ac:dyDescent="0.25">
      <c r="A4142" s="20">
        <v>96</v>
      </c>
      <c r="B4142" s="20" t="s">
        <v>1403</v>
      </c>
    </row>
    <row r="4143" spans="1:2" x14ac:dyDescent="0.25">
      <c r="A4143" s="138">
        <v>96</v>
      </c>
      <c r="B4143" s="138" t="s">
        <v>1403</v>
      </c>
    </row>
    <row r="4144" spans="1:2" x14ac:dyDescent="0.25">
      <c r="A4144" s="20">
        <v>96</v>
      </c>
      <c r="B4144" s="20" t="s">
        <v>1403</v>
      </c>
    </row>
    <row r="4145" spans="1:2" x14ac:dyDescent="0.25">
      <c r="A4145" s="138">
        <v>96</v>
      </c>
      <c r="B4145" s="138" t="s">
        <v>1403</v>
      </c>
    </row>
    <row r="4146" spans="1:2" x14ac:dyDescent="0.25">
      <c r="A4146" s="138">
        <v>96</v>
      </c>
      <c r="B4146" s="138" t="s">
        <v>1403</v>
      </c>
    </row>
    <row r="4147" spans="1:2" x14ac:dyDescent="0.25">
      <c r="A4147" s="20">
        <v>31</v>
      </c>
      <c r="B4147" s="20" t="s">
        <v>500</v>
      </c>
    </row>
    <row r="4148" spans="1:2" x14ac:dyDescent="0.25">
      <c r="A4148" s="138">
        <v>31</v>
      </c>
      <c r="B4148" s="138" t="s">
        <v>500</v>
      </c>
    </row>
    <row r="4149" spans="1:2" x14ac:dyDescent="0.25">
      <c r="A4149" s="20">
        <v>31</v>
      </c>
      <c r="B4149" s="20" t="s">
        <v>500</v>
      </c>
    </row>
    <row r="4150" spans="1:2" x14ac:dyDescent="0.25">
      <c r="A4150" s="138">
        <v>31</v>
      </c>
      <c r="B4150" s="138" t="s">
        <v>500</v>
      </c>
    </row>
    <row r="4151" spans="1:2" x14ac:dyDescent="0.25">
      <c r="A4151" s="20">
        <v>31</v>
      </c>
      <c r="B4151" s="20" t="s">
        <v>500</v>
      </c>
    </row>
    <row r="4152" spans="1:2" x14ac:dyDescent="0.25">
      <c r="A4152" s="138">
        <v>31</v>
      </c>
      <c r="B4152" s="138" t="s">
        <v>500</v>
      </c>
    </row>
    <row r="4153" spans="1:2" x14ac:dyDescent="0.25">
      <c r="A4153" s="20">
        <v>31</v>
      </c>
      <c r="B4153" s="20" t="s">
        <v>500</v>
      </c>
    </row>
    <row r="4154" spans="1:2" x14ac:dyDescent="0.25">
      <c r="A4154" s="138">
        <v>31</v>
      </c>
      <c r="B4154" s="138" t="s">
        <v>500</v>
      </c>
    </row>
    <row r="4155" spans="1:2" x14ac:dyDescent="0.25">
      <c r="A4155" s="20">
        <v>31</v>
      </c>
      <c r="B4155" s="20" t="s">
        <v>500</v>
      </c>
    </row>
    <row r="4156" spans="1:2" x14ac:dyDescent="0.25">
      <c r="A4156" s="138">
        <v>31</v>
      </c>
      <c r="B4156" s="138" t="s">
        <v>500</v>
      </c>
    </row>
    <row r="4157" spans="1:2" x14ac:dyDescent="0.25">
      <c r="A4157" s="20">
        <v>31</v>
      </c>
      <c r="B4157" s="20" t="s">
        <v>500</v>
      </c>
    </row>
    <row r="4158" spans="1:2" x14ac:dyDescent="0.25">
      <c r="A4158" s="138">
        <v>31</v>
      </c>
      <c r="B4158" s="138" t="s">
        <v>500</v>
      </c>
    </row>
    <row r="4159" spans="1:2" x14ac:dyDescent="0.25">
      <c r="A4159" s="20">
        <v>31</v>
      </c>
      <c r="B4159" s="20" t="s">
        <v>500</v>
      </c>
    </row>
    <row r="4160" spans="1:2" x14ac:dyDescent="0.25">
      <c r="A4160" s="138">
        <v>31</v>
      </c>
      <c r="B4160" s="138" t="s">
        <v>500</v>
      </c>
    </row>
    <row r="4161" spans="1:2" x14ac:dyDescent="0.25">
      <c r="A4161" s="20" t="s">
        <v>6221</v>
      </c>
      <c r="B4161" s="20" t="s">
        <v>337</v>
      </c>
    </row>
    <row r="4162" spans="1:2" x14ac:dyDescent="0.25">
      <c r="A4162" s="138" t="s">
        <v>6221</v>
      </c>
      <c r="B4162" s="138" t="s">
        <v>337</v>
      </c>
    </row>
    <row r="4163" spans="1:2" x14ac:dyDescent="0.25">
      <c r="A4163" s="20" t="s">
        <v>6221</v>
      </c>
      <c r="B4163" s="20" t="s">
        <v>337</v>
      </c>
    </row>
    <row r="4164" spans="1:2" x14ac:dyDescent="0.25">
      <c r="A4164" s="138" t="s">
        <v>6221</v>
      </c>
      <c r="B4164" s="138" t="s">
        <v>337</v>
      </c>
    </row>
    <row r="4165" spans="1:2" x14ac:dyDescent="0.25">
      <c r="A4165" s="20" t="s">
        <v>6221</v>
      </c>
      <c r="B4165" s="20" t="s">
        <v>337</v>
      </c>
    </row>
    <row r="4166" spans="1:2" x14ac:dyDescent="0.25">
      <c r="A4166" s="138" t="s">
        <v>6221</v>
      </c>
      <c r="B4166" s="138" t="s">
        <v>337</v>
      </c>
    </row>
    <row r="4167" spans="1:2" x14ac:dyDescent="0.25">
      <c r="A4167" s="20" t="s">
        <v>6221</v>
      </c>
      <c r="B4167" s="20" t="s">
        <v>337</v>
      </c>
    </row>
    <row r="4168" spans="1:2" x14ac:dyDescent="0.25">
      <c r="A4168" s="138" t="s">
        <v>6221</v>
      </c>
      <c r="B4168" s="138" t="s">
        <v>337</v>
      </c>
    </row>
    <row r="4169" spans="1:2" x14ac:dyDescent="0.25">
      <c r="A4169" s="20" t="s">
        <v>6221</v>
      </c>
      <c r="B4169" s="20" t="s">
        <v>337</v>
      </c>
    </row>
    <row r="4170" spans="1:2" x14ac:dyDescent="0.25">
      <c r="A4170" s="138" t="s">
        <v>6221</v>
      </c>
      <c r="B4170" s="138" t="s">
        <v>337</v>
      </c>
    </row>
    <row r="4171" spans="1:2" x14ac:dyDescent="0.25">
      <c r="A4171" s="20" t="s">
        <v>6221</v>
      </c>
      <c r="B4171" s="20" t="s">
        <v>337</v>
      </c>
    </row>
    <row r="4172" spans="1:2" x14ac:dyDescent="0.25">
      <c r="A4172" s="138" t="s">
        <v>6221</v>
      </c>
      <c r="B4172" s="138" t="s">
        <v>337</v>
      </c>
    </row>
    <row r="4173" spans="1:2" x14ac:dyDescent="0.25">
      <c r="A4173" s="20" t="s">
        <v>6221</v>
      </c>
      <c r="B4173" s="20" t="s">
        <v>337</v>
      </c>
    </row>
    <row r="4174" spans="1:2" x14ac:dyDescent="0.25">
      <c r="A4174" s="138" t="s">
        <v>6221</v>
      </c>
      <c r="B4174" s="138" t="s">
        <v>337</v>
      </c>
    </row>
    <row r="4175" spans="1:2" x14ac:dyDescent="0.25">
      <c r="A4175" s="20" t="s">
        <v>6221</v>
      </c>
      <c r="B4175" s="20" t="s">
        <v>337</v>
      </c>
    </row>
    <row r="4176" spans="1:2" x14ac:dyDescent="0.25">
      <c r="A4176" s="138" t="s">
        <v>6221</v>
      </c>
      <c r="B4176" s="138" t="s">
        <v>337</v>
      </c>
    </row>
    <row r="4177" spans="1:2" x14ac:dyDescent="0.25">
      <c r="A4177" s="20" t="s">
        <v>6221</v>
      </c>
      <c r="B4177" s="20" t="s">
        <v>337</v>
      </c>
    </row>
    <row r="4178" spans="1:2" x14ac:dyDescent="0.25">
      <c r="A4178" s="138">
        <v>23</v>
      </c>
      <c r="B4178" s="138">
        <v>275</v>
      </c>
    </row>
    <row r="4179" spans="1:2" x14ac:dyDescent="0.25">
      <c r="A4179" s="20">
        <v>23</v>
      </c>
      <c r="B4179" s="20">
        <v>275</v>
      </c>
    </row>
    <row r="4180" spans="1:2" x14ac:dyDescent="0.25">
      <c r="A4180" s="138">
        <v>23</v>
      </c>
      <c r="B4180" s="138">
        <v>275</v>
      </c>
    </row>
    <row r="4181" spans="1:2" x14ac:dyDescent="0.25">
      <c r="A4181" s="20">
        <v>115</v>
      </c>
      <c r="B4181" s="20" t="s">
        <v>2003</v>
      </c>
    </row>
    <row r="4182" spans="1:2" x14ac:dyDescent="0.25">
      <c r="A4182" s="138">
        <v>115</v>
      </c>
      <c r="B4182" s="138" t="s">
        <v>2003</v>
      </c>
    </row>
    <row r="4183" spans="1:2" x14ac:dyDescent="0.25">
      <c r="A4183" s="20">
        <v>115</v>
      </c>
      <c r="B4183" s="20" t="s">
        <v>2003</v>
      </c>
    </row>
    <row r="4184" spans="1:2" x14ac:dyDescent="0.25">
      <c r="A4184" s="138">
        <v>115</v>
      </c>
      <c r="B4184" s="138" t="s">
        <v>2003</v>
      </c>
    </row>
    <row r="4185" spans="1:2" x14ac:dyDescent="0.25">
      <c r="A4185" s="20">
        <v>115</v>
      </c>
      <c r="B4185" s="20" t="s">
        <v>2003</v>
      </c>
    </row>
    <row r="4186" spans="1:2" x14ac:dyDescent="0.25">
      <c r="A4186" s="138">
        <v>115</v>
      </c>
      <c r="B4186" s="138" t="s">
        <v>2003</v>
      </c>
    </row>
    <row r="4187" spans="1:2" x14ac:dyDescent="0.25">
      <c r="A4187" s="20">
        <v>115</v>
      </c>
      <c r="B4187" s="20" t="s">
        <v>2003</v>
      </c>
    </row>
    <row r="4188" spans="1:2" x14ac:dyDescent="0.25">
      <c r="A4188" s="138">
        <v>115</v>
      </c>
      <c r="B4188" s="138" t="s">
        <v>2003</v>
      </c>
    </row>
    <row r="4189" spans="1:2" x14ac:dyDescent="0.25">
      <c r="A4189" s="20">
        <v>115</v>
      </c>
      <c r="B4189" s="20" t="s">
        <v>2003</v>
      </c>
    </row>
    <row r="4190" spans="1:2" x14ac:dyDescent="0.25">
      <c r="A4190" s="138">
        <v>115</v>
      </c>
      <c r="B4190" s="138" t="s">
        <v>2003</v>
      </c>
    </row>
    <row r="4191" spans="1:2" x14ac:dyDescent="0.25">
      <c r="A4191" s="20">
        <v>115</v>
      </c>
      <c r="B4191" s="20" t="s">
        <v>2003</v>
      </c>
    </row>
    <row r="4192" spans="1:2" x14ac:dyDescent="0.25">
      <c r="A4192" s="138">
        <v>115</v>
      </c>
      <c r="B4192" s="138" t="s">
        <v>2003</v>
      </c>
    </row>
    <row r="4193" spans="1:2" x14ac:dyDescent="0.25">
      <c r="A4193" s="20">
        <v>115</v>
      </c>
      <c r="B4193" s="20" t="s">
        <v>2003</v>
      </c>
    </row>
    <row r="4194" spans="1:2" x14ac:dyDescent="0.25">
      <c r="A4194" s="138">
        <v>115</v>
      </c>
      <c r="B4194" s="138" t="s">
        <v>2003</v>
      </c>
    </row>
    <row r="4195" spans="1:2" x14ac:dyDescent="0.25">
      <c r="A4195" s="20">
        <v>115</v>
      </c>
      <c r="B4195" s="20" t="s">
        <v>2003</v>
      </c>
    </row>
    <row r="4196" spans="1:2" x14ac:dyDescent="0.25">
      <c r="A4196" s="138">
        <v>115</v>
      </c>
      <c r="B4196" s="138" t="s">
        <v>2003</v>
      </c>
    </row>
    <row r="4197" spans="1:2" x14ac:dyDescent="0.25">
      <c r="A4197" s="20">
        <v>115</v>
      </c>
      <c r="B4197" s="20" t="s">
        <v>2003</v>
      </c>
    </row>
    <row r="4198" spans="1:2" x14ac:dyDescent="0.25">
      <c r="A4198" s="138">
        <v>115</v>
      </c>
      <c r="B4198" s="138" t="s">
        <v>2003</v>
      </c>
    </row>
    <row r="4199" spans="1:2" x14ac:dyDescent="0.25">
      <c r="A4199" s="20">
        <v>115</v>
      </c>
      <c r="B4199" s="20" t="s">
        <v>2003</v>
      </c>
    </row>
    <row r="4200" spans="1:2" x14ac:dyDescent="0.25">
      <c r="A4200" s="138">
        <v>96</v>
      </c>
      <c r="B4200" s="138" t="s">
        <v>1275</v>
      </c>
    </row>
    <row r="4201" spans="1:2" x14ac:dyDescent="0.25">
      <c r="A4201" s="20">
        <v>96</v>
      </c>
      <c r="B4201" s="20" t="s">
        <v>1275</v>
      </c>
    </row>
    <row r="4202" spans="1:2" x14ac:dyDescent="0.25">
      <c r="A4202" s="138">
        <v>96</v>
      </c>
      <c r="B4202" s="138" t="s">
        <v>1275</v>
      </c>
    </row>
    <row r="4203" spans="1:2" x14ac:dyDescent="0.25">
      <c r="A4203" s="20">
        <v>96</v>
      </c>
      <c r="B4203" s="20" t="s">
        <v>1275</v>
      </c>
    </row>
    <row r="4204" spans="1:2" x14ac:dyDescent="0.25">
      <c r="A4204" s="138">
        <v>96</v>
      </c>
      <c r="B4204" s="138" t="s">
        <v>1275</v>
      </c>
    </row>
    <row r="4205" spans="1:2" x14ac:dyDescent="0.25">
      <c r="A4205" s="20">
        <v>96</v>
      </c>
      <c r="B4205" s="20" t="s">
        <v>1275</v>
      </c>
    </row>
    <row r="4206" spans="1:2" x14ac:dyDescent="0.25">
      <c r="A4206" s="138">
        <v>96</v>
      </c>
      <c r="B4206" s="138" t="s">
        <v>1275</v>
      </c>
    </row>
    <row r="4207" spans="1:2" x14ac:dyDescent="0.25">
      <c r="A4207" s="20">
        <v>96</v>
      </c>
      <c r="B4207" s="20" t="s">
        <v>1275</v>
      </c>
    </row>
    <row r="4208" spans="1:2" x14ac:dyDescent="0.25">
      <c r="A4208" s="138">
        <v>96</v>
      </c>
      <c r="B4208" s="138" t="s">
        <v>1275</v>
      </c>
    </row>
    <row r="4209" spans="1:2" x14ac:dyDescent="0.25">
      <c r="A4209" s="20">
        <v>96</v>
      </c>
      <c r="B4209" s="20" t="s">
        <v>1275</v>
      </c>
    </row>
    <row r="4210" spans="1:2" x14ac:dyDescent="0.25">
      <c r="A4210" s="138">
        <v>96</v>
      </c>
      <c r="B4210" s="138" t="s">
        <v>1275</v>
      </c>
    </row>
    <row r="4211" spans="1:2" x14ac:dyDescent="0.25">
      <c r="A4211" s="20">
        <v>96</v>
      </c>
      <c r="B4211" s="20" t="s">
        <v>1275</v>
      </c>
    </row>
    <row r="4212" spans="1:2" x14ac:dyDescent="0.25">
      <c r="A4212" s="138">
        <v>96</v>
      </c>
      <c r="B4212" s="138" t="s">
        <v>1275</v>
      </c>
    </row>
    <row r="4213" spans="1:2" x14ac:dyDescent="0.25">
      <c r="A4213" s="20">
        <v>96</v>
      </c>
      <c r="B4213" s="20" t="s">
        <v>1275</v>
      </c>
    </row>
    <row r="4214" spans="1:2" x14ac:dyDescent="0.25">
      <c r="A4214" s="138">
        <v>96</v>
      </c>
      <c r="B4214" s="138" t="s">
        <v>1275</v>
      </c>
    </row>
    <row r="4215" spans="1:2" x14ac:dyDescent="0.25">
      <c r="A4215" s="20">
        <v>96</v>
      </c>
      <c r="B4215" s="20" t="s">
        <v>1275</v>
      </c>
    </row>
    <row r="4216" spans="1:2" x14ac:dyDescent="0.25">
      <c r="A4216" s="138">
        <v>96</v>
      </c>
      <c r="B4216" s="138" t="s">
        <v>1275</v>
      </c>
    </row>
    <row r="4217" spans="1:2" x14ac:dyDescent="0.25">
      <c r="A4217" s="20">
        <v>96</v>
      </c>
      <c r="B4217" s="20" t="s">
        <v>1275</v>
      </c>
    </row>
    <row r="4218" spans="1:2" x14ac:dyDescent="0.25">
      <c r="A4218" s="138">
        <v>96</v>
      </c>
      <c r="B4218" s="138" t="s">
        <v>1275</v>
      </c>
    </row>
    <row r="4219" spans="1:2" x14ac:dyDescent="0.25">
      <c r="A4219" s="20">
        <v>96</v>
      </c>
      <c r="B4219" s="20" t="s">
        <v>1275</v>
      </c>
    </row>
    <row r="4220" spans="1:2" x14ac:dyDescent="0.25">
      <c r="A4220" s="138">
        <v>96</v>
      </c>
      <c r="B4220" s="138" t="s">
        <v>1275</v>
      </c>
    </row>
    <row r="4221" spans="1:2" x14ac:dyDescent="0.25">
      <c r="A4221" s="20">
        <v>96</v>
      </c>
      <c r="B4221" s="20" t="s">
        <v>1275</v>
      </c>
    </row>
    <row r="4222" spans="1:2" x14ac:dyDescent="0.25">
      <c r="A4222" s="138">
        <v>96</v>
      </c>
      <c r="B4222" s="138" t="s">
        <v>1275</v>
      </c>
    </row>
    <row r="4223" spans="1:2" x14ac:dyDescent="0.25">
      <c r="A4223" s="20">
        <v>96</v>
      </c>
      <c r="B4223" s="20" t="s">
        <v>1275</v>
      </c>
    </row>
    <row r="4224" spans="1:2" x14ac:dyDescent="0.25">
      <c r="A4224" s="138">
        <v>96</v>
      </c>
      <c r="B4224" s="138" t="s">
        <v>1275</v>
      </c>
    </row>
    <row r="4225" spans="1:2" x14ac:dyDescent="0.25">
      <c r="A4225" s="20" t="s">
        <v>2517</v>
      </c>
      <c r="B4225" s="20" t="s">
        <v>1289</v>
      </c>
    </row>
    <row r="4226" spans="1:2" x14ac:dyDescent="0.25">
      <c r="A4226" s="138">
        <v>18</v>
      </c>
      <c r="B4226" s="138" t="s">
        <v>1289</v>
      </c>
    </row>
    <row r="4227" spans="1:2" x14ac:dyDescent="0.25">
      <c r="A4227" s="20" t="s">
        <v>2517</v>
      </c>
      <c r="B4227" s="20" t="s">
        <v>1289</v>
      </c>
    </row>
    <row r="4228" spans="1:2" x14ac:dyDescent="0.25">
      <c r="A4228" s="138" t="s">
        <v>2517</v>
      </c>
      <c r="B4228" s="138" t="s">
        <v>1289</v>
      </c>
    </row>
    <row r="4229" spans="1:2" x14ac:dyDescent="0.25">
      <c r="A4229" s="20" t="s">
        <v>2517</v>
      </c>
      <c r="B4229" s="20" t="s">
        <v>1289</v>
      </c>
    </row>
    <row r="4230" spans="1:2" x14ac:dyDescent="0.25">
      <c r="A4230" s="138" t="s">
        <v>2517</v>
      </c>
      <c r="B4230" s="138" t="s">
        <v>1289</v>
      </c>
    </row>
    <row r="4231" spans="1:2" x14ac:dyDescent="0.25">
      <c r="A4231" s="20" t="s">
        <v>2517</v>
      </c>
      <c r="B4231" s="20" t="s">
        <v>1289</v>
      </c>
    </row>
    <row r="4232" spans="1:2" x14ac:dyDescent="0.25">
      <c r="A4232" s="138" t="s">
        <v>2517</v>
      </c>
      <c r="B4232" s="138" t="s">
        <v>1289</v>
      </c>
    </row>
    <row r="4233" spans="1:2" x14ac:dyDescent="0.25">
      <c r="A4233" s="20" t="s">
        <v>2517</v>
      </c>
      <c r="B4233" s="20" t="s">
        <v>1289</v>
      </c>
    </row>
    <row r="4234" spans="1:2" x14ac:dyDescent="0.25">
      <c r="A4234" s="20">
        <v>27</v>
      </c>
      <c r="B4234" s="20" t="s">
        <v>655</v>
      </c>
    </row>
    <row r="4235" spans="1:2" x14ac:dyDescent="0.25">
      <c r="A4235" s="138">
        <v>27</v>
      </c>
      <c r="B4235" s="138" t="s">
        <v>655</v>
      </c>
    </row>
    <row r="4236" spans="1:2" x14ac:dyDescent="0.25">
      <c r="A4236" s="20">
        <v>27</v>
      </c>
      <c r="B4236" s="20" t="s">
        <v>655</v>
      </c>
    </row>
    <row r="4237" spans="1:2" x14ac:dyDescent="0.25">
      <c r="A4237" s="138">
        <v>27</v>
      </c>
      <c r="B4237" s="138" t="s">
        <v>655</v>
      </c>
    </row>
    <row r="4238" spans="1:2" x14ac:dyDescent="0.25">
      <c r="A4238" s="20">
        <v>27</v>
      </c>
      <c r="B4238" s="20" t="s">
        <v>655</v>
      </c>
    </row>
    <row r="4239" spans="1:2" x14ac:dyDescent="0.25">
      <c r="A4239" s="138">
        <v>27</v>
      </c>
      <c r="B4239" s="138" t="s">
        <v>655</v>
      </c>
    </row>
    <row r="4240" spans="1:2" x14ac:dyDescent="0.25">
      <c r="A4240" s="20">
        <v>27</v>
      </c>
      <c r="B4240" s="20" t="s">
        <v>655</v>
      </c>
    </row>
    <row r="4241" spans="1:2" x14ac:dyDescent="0.25">
      <c r="A4241" s="138">
        <v>27</v>
      </c>
      <c r="B4241" s="138" t="s">
        <v>655</v>
      </c>
    </row>
    <row r="4242" spans="1:2" x14ac:dyDescent="0.25">
      <c r="A4242" s="20">
        <v>27</v>
      </c>
      <c r="B4242" s="20" t="s">
        <v>655</v>
      </c>
    </row>
    <row r="4243" spans="1:2" x14ac:dyDescent="0.25">
      <c r="A4243" s="138">
        <v>27</v>
      </c>
      <c r="B4243" s="138" t="s">
        <v>655</v>
      </c>
    </row>
    <row r="4244" spans="1:2" x14ac:dyDescent="0.25">
      <c r="A4244" s="20">
        <v>27</v>
      </c>
      <c r="B4244" s="20" t="s">
        <v>655</v>
      </c>
    </row>
    <row r="4245" spans="1:2" x14ac:dyDescent="0.25">
      <c r="A4245" s="138">
        <v>27</v>
      </c>
      <c r="B4245" s="138" t="s">
        <v>655</v>
      </c>
    </row>
    <row r="4246" spans="1:2" x14ac:dyDescent="0.25">
      <c r="A4246" s="20">
        <v>27</v>
      </c>
      <c r="B4246" s="20" t="s">
        <v>655</v>
      </c>
    </row>
    <row r="4247" spans="1:2" x14ac:dyDescent="0.25">
      <c r="A4247" s="138">
        <v>11</v>
      </c>
      <c r="B4247" s="138" t="s">
        <v>638</v>
      </c>
    </row>
    <row r="4248" spans="1:2" x14ac:dyDescent="0.25">
      <c r="A4248" s="20">
        <v>11</v>
      </c>
      <c r="B4248" s="20" t="s">
        <v>638</v>
      </c>
    </row>
    <row r="4249" spans="1:2" x14ac:dyDescent="0.25">
      <c r="A4249" s="138">
        <v>11</v>
      </c>
      <c r="B4249" s="138" t="s">
        <v>638</v>
      </c>
    </row>
    <row r="4250" spans="1:2" x14ac:dyDescent="0.25">
      <c r="A4250" s="20">
        <v>11</v>
      </c>
      <c r="B4250" s="20" t="s">
        <v>638</v>
      </c>
    </row>
    <row r="4251" spans="1:2" x14ac:dyDescent="0.25">
      <c r="A4251" s="138">
        <v>11</v>
      </c>
      <c r="B4251" s="138" t="s">
        <v>638</v>
      </c>
    </row>
    <row r="4252" spans="1:2" x14ac:dyDescent="0.25">
      <c r="A4252" s="20">
        <v>11</v>
      </c>
      <c r="B4252" s="20" t="s">
        <v>638</v>
      </c>
    </row>
    <row r="4253" spans="1:2" x14ac:dyDescent="0.25">
      <c r="A4253" s="138">
        <v>11</v>
      </c>
      <c r="B4253" s="138" t="s">
        <v>638</v>
      </c>
    </row>
    <row r="4254" spans="1:2" x14ac:dyDescent="0.25">
      <c r="A4254" s="20" t="s">
        <v>6194</v>
      </c>
      <c r="B4254" s="20" t="s">
        <v>450</v>
      </c>
    </row>
    <row r="4255" spans="1:2" x14ac:dyDescent="0.25">
      <c r="A4255" s="138" t="s">
        <v>6194</v>
      </c>
      <c r="B4255" s="138" t="s">
        <v>450</v>
      </c>
    </row>
    <row r="4256" spans="1:2" x14ac:dyDescent="0.25">
      <c r="A4256" s="20" t="s">
        <v>6194</v>
      </c>
      <c r="B4256" s="20" t="s">
        <v>450</v>
      </c>
    </row>
    <row r="4257" spans="1:2" x14ac:dyDescent="0.25">
      <c r="A4257" s="138">
        <v>96</v>
      </c>
      <c r="B4257" s="138" t="s">
        <v>1403</v>
      </c>
    </row>
    <row r="4258" spans="1:2" x14ac:dyDescent="0.25">
      <c r="A4258" s="20">
        <v>96</v>
      </c>
      <c r="B4258" s="20" t="s">
        <v>1403</v>
      </c>
    </row>
    <row r="4259" spans="1:2" x14ac:dyDescent="0.25">
      <c r="A4259" s="138">
        <v>96</v>
      </c>
      <c r="B4259" s="138" t="s">
        <v>1403</v>
      </c>
    </row>
    <row r="4260" spans="1:2" x14ac:dyDescent="0.25">
      <c r="A4260" s="20">
        <v>96</v>
      </c>
      <c r="B4260" s="20" t="s">
        <v>1403</v>
      </c>
    </row>
    <row r="4261" spans="1:2" x14ac:dyDescent="0.25">
      <c r="A4261" s="138">
        <v>96</v>
      </c>
      <c r="B4261" s="138" t="s">
        <v>1403</v>
      </c>
    </row>
    <row r="4262" spans="1:2" x14ac:dyDescent="0.25">
      <c r="A4262" s="20">
        <v>96</v>
      </c>
      <c r="B4262" s="20" t="s">
        <v>1403</v>
      </c>
    </row>
    <row r="4263" spans="1:2" x14ac:dyDescent="0.25">
      <c r="A4263" s="20">
        <v>96</v>
      </c>
      <c r="B4263" s="20" t="s">
        <v>1403</v>
      </c>
    </row>
    <row r="4264" spans="1:2" x14ac:dyDescent="0.25">
      <c r="A4264" s="138">
        <v>96</v>
      </c>
      <c r="B4264" s="138" t="s">
        <v>1403</v>
      </c>
    </row>
    <row r="4265" spans="1:2" x14ac:dyDescent="0.25">
      <c r="A4265" s="20">
        <v>96</v>
      </c>
      <c r="B4265" s="20" t="s">
        <v>1403</v>
      </c>
    </row>
    <row r="4266" spans="1:2" x14ac:dyDescent="0.25">
      <c r="A4266" s="138">
        <v>96</v>
      </c>
      <c r="B4266" s="138" t="s">
        <v>1403</v>
      </c>
    </row>
    <row r="4267" spans="1:2" x14ac:dyDescent="0.25">
      <c r="A4267" s="20">
        <v>96</v>
      </c>
      <c r="B4267" s="20" t="s">
        <v>1403</v>
      </c>
    </row>
    <row r="4268" spans="1:2" x14ac:dyDescent="0.25">
      <c r="A4268" s="138">
        <v>50</v>
      </c>
      <c r="B4268" s="138" t="s">
        <v>1478</v>
      </c>
    </row>
    <row r="4269" spans="1:2" x14ac:dyDescent="0.25">
      <c r="A4269" s="20">
        <v>50</v>
      </c>
      <c r="B4269" s="20" t="s">
        <v>1478</v>
      </c>
    </row>
    <row r="4270" spans="1:2" x14ac:dyDescent="0.25">
      <c r="A4270" s="138">
        <v>50</v>
      </c>
      <c r="B4270" s="138" t="s">
        <v>1478</v>
      </c>
    </row>
    <row r="4271" spans="1:2" x14ac:dyDescent="0.25">
      <c r="A4271" s="20">
        <v>50</v>
      </c>
      <c r="B4271" s="20" t="s">
        <v>1478</v>
      </c>
    </row>
    <row r="4272" spans="1:2" x14ac:dyDescent="0.25">
      <c r="A4272" s="138">
        <v>50</v>
      </c>
      <c r="B4272" s="138" t="s">
        <v>1478</v>
      </c>
    </row>
    <row r="4273" spans="1:2" x14ac:dyDescent="0.25">
      <c r="A4273" s="20">
        <v>50</v>
      </c>
      <c r="B4273" s="20" t="s">
        <v>1478</v>
      </c>
    </row>
    <row r="4274" spans="1:2" x14ac:dyDescent="0.25">
      <c r="A4274" s="138">
        <v>50</v>
      </c>
      <c r="B4274" s="138" t="s">
        <v>1478</v>
      </c>
    </row>
    <row r="4275" spans="1:2" x14ac:dyDescent="0.25">
      <c r="A4275" s="20">
        <v>50</v>
      </c>
      <c r="B4275" s="20" t="s">
        <v>1478</v>
      </c>
    </row>
    <row r="4276" spans="1:2" x14ac:dyDescent="0.25">
      <c r="A4276" s="138">
        <v>50</v>
      </c>
      <c r="B4276" s="138" t="s">
        <v>1478</v>
      </c>
    </row>
    <row r="4277" spans="1:2" x14ac:dyDescent="0.25">
      <c r="A4277" s="20">
        <v>50</v>
      </c>
      <c r="B4277" s="20" t="s">
        <v>1478</v>
      </c>
    </row>
    <row r="4278" spans="1:2" x14ac:dyDescent="0.25">
      <c r="A4278" s="138">
        <v>50</v>
      </c>
      <c r="B4278" s="138" t="s">
        <v>1478</v>
      </c>
    </row>
    <row r="4279" spans="1:2" x14ac:dyDescent="0.25">
      <c r="A4279" s="20">
        <v>50</v>
      </c>
      <c r="B4279" s="20" t="s">
        <v>1478</v>
      </c>
    </row>
    <row r="4280" spans="1:2" x14ac:dyDescent="0.25">
      <c r="A4280" s="138">
        <v>50</v>
      </c>
      <c r="B4280" s="138" t="s">
        <v>1478</v>
      </c>
    </row>
    <row r="4281" spans="1:2" x14ac:dyDescent="0.25">
      <c r="A4281" s="20">
        <v>50</v>
      </c>
      <c r="B4281" s="20" t="s">
        <v>1478</v>
      </c>
    </row>
    <row r="4282" spans="1:2" x14ac:dyDescent="0.25">
      <c r="A4282" s="138">
        <v>50</v>
      </c>
      <c r="B4282" s="138" t="s">
        <v>1478</v>
      </c>
    </row>
    <row r="4283" spans="1:2" x14ac:dyDescent="0.25">
      <c r="A4283" s="20" t="s">
        <v>6256</v>
      </c>
      <c r="B4283" s="20" t="s">
        <v>1520</v>
      </c>
    </row>
    <row r="4284" spans="1:2" x14ac:dyDescent="0.25">
      <c r="A4284" s="138" t="s">
        <v>6256</v>
      </c>
      <c r="B4284" s="138" t="s">
        <v>1520</v>
      </c>
    </row>
    <row r="4285" spans="1:2" x14ac:dyDescent="0.25">
      <c r="A4285" s="20" t="s">
        <v>6256</v>
      </c>
      <c r="B4285" s="20" t="s">
        <v>1520</v>
      </c>
    </row>
    <row r="4286" spans="1:2" x14ac:dyDescent="0.25">
      <c r="A4286" s="138">
        <v>252</v>
      </c>
      <c r="B4286" s="138" t="s">
        <v>615</v>
      </c>
    </row>
    <row r="4287" spans="1:2" x14ac:dyDescent="0.25">
      <c r="A4287" s="20">
        <v>252</v>
      </c>
      <c r="B4287" s="20" t="s">
        <v>615</v>
      </c>
    </row>
    <row r="4288" spans="1:2" x14ac:dyDescent="0.25">
      <c r="A4288" s="138">
        <v>252</v>
      </c>
      <c r="B4288" s="138" t="s">
        <v>615</v>
      </c>
    </row>
    <row r="4289" spans="1:2" x14ac:dyDescent="0.25">
      <c r="A4289" s="20">
        <v>252</v>
      </c>
      <c r="B4289" s="20" t="s">
        <v>615</v>
      </c>
    </row>
    <row r="4290" spans="1:2" x14ac:dyDescent="0.25">
      <c r="A4290" s="138">
        <v>115</v>
      </c>
      <c r="B4290" s="138" t="s">
        <v>2003</v>
      </c>
    </row>
    <row r="4291" spans="1:2" x14ac:dyDescent="0.25">
      <c r="A4291" s="20">
        <v>115</v>
      </c>
      <c r="B4291" s="20" t="s">
        <v>2003</v>
      </c>
    </row>
    <row r="4292" spans="1:2" x14ac:dyDescent="0.25">
      <c r="A4292" s="138">
        <v>115</v>
      </c>
      <c r="B4292" s="138" t="s">
        <v>2003</v>
      </c>
    </row>
    <row r="4293" spans="1:2" x14ac:dyDescent="0.25">
      <c r="A4293" s="20">
        <v>115</v>
      </c>
      <c r="B4293" s="20" t="s">
        <v>2003</v>
      </c>
    </row>
    <row r="4294" spans="1:2" x14ac:dyDescent="0.25">
      <c r="A4294" s="138">
        <v>115</v>
      </c>
      <c r="B4294" s="138" t="s">
        <v>2003</v>
      </c>
    </row>
    <row r="4295" spans="1:2" x14ac:dyDescent="0.25">
      <c r="A4295" s="20">
        <v>115</v>
      </c>
      <c r="B4295" s="20" t="s">
        <v>2003</v>
      </c>
    </row>
    <row r="4296" spans="1:2" x14ac:dyDescent="0.25">
      <c r="A4296" s="138">
        <v>115</v>
      </c>
      <c r="B4296" s="138" t="s">
        <v>2003</v>
      </c>
    </row>
    <row r="4297" spans="1:2" x14ac:dyDescent="0.25">
      <c r="A4297" s="20">
        <v>109</v>
      </c>
      <c r="B4297" s="20" t="s">
        <v>1346</v>
      </c>
    </row>
    <row r="4298" spans="1:2" x14ac:dyDescent="0.25">
      <c r="A4298" s="138">
        <v>109</v>
      </c>
      <c r="B4298" s="138" t="s">
        <v>1346</v>
      </c>
    </row>
    <row r="4299" spans="1:2" x14ac:dyDescent="0.25">
      <c r="A4299" s="20">
        <v>109</v>
      </c>
      <c r="B4299" s="20" t="s">
        <v>1346</v>
      </c>
    </row>
    <row r="4300" spans="1:2" x14ac:dyDescent="0.25">
      <c r="A4300" s="138">
        <v>109</v>
      </c>
      <c r="B4300" s="138" t="s">
        <v>1346</v>
      </c>
    </row>
    <row r="4301" spans="1:2" x14ac:dyDescent="0.25">
      <c r="A4301" s="20">
        <v>109</v>
      </c>
      <c r="B4301" s="20" t="s">
        <v>1346</v>
      </c>
    </row>
    <row r="4302" spans="1:2" x14ac:dyDescent="0.25">
      <c r="A4302" s="138">
        <v>109</v>
      </c>
      <c r="B4302" s="138" t="s">
        <v>1346</v>
      </c>
    </row>
    <row r="4303" spans="1:2" x14ac:dyDescent="0.25">
      <c r="A4303" s="20">
        <v>109</v>
      </c>
      <c r="B4303" s="20" t="s">
        <v>1346</v>
      </c>
    </row>
    <row r="4304" spans="1:2" x14ac:dyDescent="0.25">
      <c r="A4304" s="138">
        <v>109</v>
      </c>
      <c r="B4304" s="138" t="s">
        <v>1346</v>
      </c>
    </row>
    <row r="4305" spans="1:2" x14ac:dyDescent="0.25">
      <c r="A4305" s="20">
        <v>109</v>
      </c>
      <c r="B4305" s="20" t="s">
        <v>1346</v>
      </c>
    </row>
    <row r="4306" spans="1:2" x14ac:dyDescent="0.25">
      <c r="A4306" s="138">
        <v>109</v>
      </c>
      <c r="B4306" s="138" t="s">
        <v>1346</v>
      </c>
    </row>
    <row r="4307" spans="1:2" x14ac:dyDescent="0.25">
      <c r="A4307" s="20">
        <v>109</v>
      </c>
      <c r="B4307" s="20" t="s">
        <v>1346</v>
      </c>
    </row>
    <row r="4308" spans="1:2" x14ac:dyDescent="0.25">
      <c r="A4308" s="138">
        <v>109</v>
      </c>
      <c r="B4308" s="138" t="s">
        <v>1346</v>
      </c>
    </row>
    <row r="4309" spans="1:2" x14ac:dyDescent="0.25">
      <c r="A4309" s="20">
        <v>109</v>
      </c>
      <c r="B4309" s="20" t="s">
        <v>1346</v>
      </c>
    </row>
    <row r="4310" spans="1:2" x14ac:dyDescent="0.25">
      <c r="A4310" s="138">
        <v>109</v>
      </c>
      <c r="B4310" s="138" t="s">
        <v>1346</v>
      </c>
    </row>
    <row r="4311" spans="1:2" x14ac:dyDescent="0.25">
      <c r="A4311" s="20">
        <v>109</v>
      </c>
      <c r="B4311" s="20" t="s">
        <v>1346</v>
      </c>
    </row>
    <row r="4312" spans="1:2" x14ac:dyDescent="0.25">
      <c r="A4312" s="138">
        <v>109</v>
      </c>
      <c r="B4312" s="138" t="s">
        <v>1346</v>
      </c>
    </row>
    <row r="4313" spans="1:2" x14ac:dyDescent="0.25">
      <c r="A4313" s="20">
        <v>109</v>
      </c>
      <c r="B4313" s="20" t="s">
        <v>1346</v>
      </c>
    </row>
    <row r="4314" spans="1:2" x14ac:dyDescent="0.25">
      <c r="A4314" s="138">
        <v>109</v>
      </c>
      <c r="B4314" s="138" t="s">
        <v>1346</v>
      </c>
    </row>
    <row r="4315" spans="1:2" x14ac:dyDescent="0.25">
      <c r="A4315" s="20">
        <v>109</v>
      </c>
      <c r="B4315" s="20" t="s">
        <v>1346</v>
      </c>
    </row>
    <row r="4316" spans="1:2" x14ac:dyDescent="0.25">
      <c r="A4316" s="138">
        <v>109</v>
      </c>
      <c r="B4316" s="138" t="s">
        <v>1346</v>
      </c>
    </row>
    <row r="4317" spans="1:2" x14ac:dyDescent="0.25">
      <c r="A4317" s="20">
        <v>109</v>
      </c>
      <c r="B4317" s="20" t="s">
        <v>1346</v>
      </c>
    </row>
    <row r="4318" spans="1:2" x14ac:dyDescent="0.25">
      <c r="A4318" s="138">
        <v>109</v>
      </c>
      <c r="B4318" s="138" t="s">
        <v>1346</v>
      </c>
    </row>
    <row r="4319" spans="1:2" x14ac:dyDescent="0.25">
      <c r="A4319" s="20">
        <v>109</v>
      </c>
      <c r="B4319" s="20" t="s">
        <v>1346</v>
      </c>
    </row>
    <row r="4320" spans="1:2" x14ac:dyDescent="0.25">
      <c r="A4320" s="138">
        <v>109</v>
      </c>
      <c r="B4320" s="138" t="s">
        <v>1346</v>
      </c>
    </row>
    <row r="4321" spans="1:2" x14ac:dyDescent="0.25">
      <c r="A4321" s="20">
        <v>109</v>
      </c>
      <c r="B4321" s="20" t="s">
        <v>1346</v>
      </c>
    </row>
    <row r="4322" spans="1:2" x14ac:dyDescent="0.25">
      <c r="A4322" s="138">
        <v>109</v>
      </c>
      <c r="B4322" s="138" t="s">
        <v>1346</v>
      </c>
    </row>
    <row r="4323" spans="1:2" x14ac:dyDescent="0.25">
      <c r="A4323" s="20">
        <v>109</v>
      </c>
      <c r="B4323" s="20" t="s">
        <v>1346</v>
      </c>
    </row>
    <row r="4324" spans="1:2" x14ac:dyDescent="0.25">
      <c r="A4324" s="138">
        <v>109</v>
      </c>
      <c r="B4324" s="138" t="s">
        <v>1346</v>
      </c>
    </row>
    <row r="4325" spans="1:2" x14ac:dyDescent="0.25">
      <c r="A4325" s="20">
        <v>109</v>
      </c>
      <c r="B4325" s="20" t="s">
        <v>1346</v>
      </c>
    </row>
    <row r="4326" spans="1:2" x14ac:dyDescent="0.25">
      <c r="A4326" s="138">
        <v>109</v>
      </c>
      <c r="B4326" s="138" t="s">
        <v>1346</v>
      </c>
    </row>
    <row r="4327" spans="1:2" x14ac:dyDescent="0.25">
      <c r="A4327" s="20">
        <v>96</v>
      </c>
      <c r="B4327" s="20" t="s">
        <v>1275</v>
      </c>
    </row>
    <row r="4328" spans="1:2" x14ac:dyDescent="0.25">
      <c r="A4328" s="138">
        <v>96</v>
      </c>
      <c r="B4328" s="138" t="s">
        <v>1275</v>
      </c>
    </row>
    <row r="4329" spans="1:2" x14ac:dyDescent="0.25">
      <c r="A4329" s="20">
        <v>96</v>
      </c>
      <c r="B4329" s="20" t="s">
        <v>1275</v>
      </c>
    </row>
    <row r="4330" spans="1:2" x14ac:dyDescent="0.25">
      <c r="A4330" s="138">
        <v>96</v>
      </c>
      <c r="B4330" s="138" t="s">
        <v>1275</v>
      </c>
    </row>
    <row r="4331" spans="1:2" x14ac:dyDescent="0.25">
      <c r="A4331" s="20">
        <v>96</v>
      </c>
      <c r="B4331" s="20" t="s">
        <v>1275</v>
      </c>
    </row>
    <row r="4332" spans="1:2" x14ac:dyDescent="0.25">
      <c r="A4332" s="138">
        <v>96</v>
      </c>
      <c r="B4332" s="138" t="s">
        <v>1275</v>
      </c>
    </row>
    <row r="4333" spans="1:2" x14ac:dyDescent="0.25">
      <c r="A4333" s="20">
        <v>96</v>
      </c>
      <c r="B4333" s="20" t="s">
        <v>1275</v>
      </c>
    </row>
    <row r="4334" spans="1:2" x14ac:dyDescent="0.25">
      <c r="A4334" s="138">
        <v>96</v>
      </c>
      <c r="B4334" s="138" t="s">
        <v>1275</v>
      </c>
    </row>
    <row r="4335" spans="1:2" x14ac:dyDescent="0.25">
      <c r="A4335" s="20">
        <v>96</v>
      </c>
      <c r="B4335" s="20" t="s">
        <v>1275</v>
      </c>
    </row>
    <row r="4336" spans="1:2" x14ac:dyDescent="0.25">
      <c r="A4336" s="138">
        <v>96</v>
      </c>
      <c r="B4336" s="138" t="s">
        <v>1275</v>
      </c>
    </row>
    <row r="4337" spans="1:2" x14ac:dyDescent="0.25">
      <c r="A4337" s="20">
        <v>96</v>
      </c>
      <c r="B4337" s="20" t="s">
        <v>1275</v>
      </c>
    </row>
    <row r="4338" spans="1:2" x14ac:dyDescent="0.25">
      <c r="A4338" s="138">
        <v>96</v>
      </c>
      <c r="B4338" s="138" t="s">
        <v>1275</v>
      </c>
    </row>
    <row r="4339" spans="1:2" x14ac:dyDescent="0.25">
      <c r="A4339" s="20">
        <v>96</v>
      </c>
      <c r="B4339" s="20" t="s">
        <v>1275</v>
      </c>
    </row>
    <row r="4340" spans="1:2" x14ac:dyDescent="0.25">
      <c r="A4340" s="138">
        <v>96</v>
      </c>
      <c r="B4340" s="138" t="s">
        <v>1275</v>
      </c>
    </row>
    <row r="4341" spans="1:2" x14ac:dyDescent="0.25">
      <c r="A4341" s="20">
        <v>96</v>
      </c>
      <c r="B4341" s="20" t="s">
        <v>1275</v>
      </c>
    </row>
    <row r="4342" spans="1:2" x14ac:dyDescent="0.25">
      <c r="A4342" s="138">
        <v>96</v>
      </c>
      <c r="B4342" s="138" t="s">
        <v>1275</v>
      </c>
    </row>
    <row r="4343" spans="1:2" x14ac:dyDescent="0.25">
      <c r="A4343" s="20">
        <v>96</v>
      </c>
      <c r="B4343" s="20" t="s">
        <v>1275</v>
      </c>
    </row>
    <row r="4344" spans="1:2" x14ac:dyDescent="0.25">
      <c r="A4344" s="138">
        <v>96</v>
      </c>
      <c r="B4344" s="138" t="s">
        <v>1275</v>
      </c>
    </row>
    <row r="4345" spans="1:2" x14ac:dyDescent="0.25">
      <c r="A4345" s="20">
        <v>96</v>
      </c>
      <c r="B4345" s="20" t="s">
        <v>1275</v>
      </c>
    </row>
    <row r="4346" spans="1:2" x14ac:dyDescent="0.25">
      <c r="A4346" s="138">
        <v>96</v>
      </c>
      <c r="B4346" s="138" t="s">
        <v>1275</v>
      </c>
    </row>
    <row r="4347" spans="1:2" x14ac:dyDescent="0.25">
      <c r="A4347" s="20">
        <v>96</v>
      </c>
      <c r="B4347" s="20" t="s">
        <v>1275</v>
      </c>
    </row>
    <row r="4348" spans="1:2" x14ac:dyDescent="0.25">
      <c r="A4348" s="138">
        <v>96</v>
      </c>
      <c r="B4348" s="138" t="s">
        <v>1275</v>
      </c>
    </row>
    <row r="4349" spans="1:2" x14ac:dyDescent="0.25">
      <c r="A4349" s="20">
        <v>96</v>
      </c>
      <c r="B4349" s="20" t="s">
        <v>1275</v>
      </c>
    </row>
    <row r="4350" spans="1:2" x14ac:dyDescent="0.25">
      <c r="A4350" s="138">
        <v>96</v>
      </c>
      <c r="B4350" s="138" t="s">
        <v>1275</v>
      </c>
    </row>
    <row r="4351" spans="1:2" x14ac:dyDescent="0.25">
      <c r="A4351" s="20">
        <v>96</v>
      </c>
      <c r="B4351" s="20" t="s">
        <v>1275</v>
      </c>
    </row>
    <row r="4352" spans="1:2" x14ac:dyDescent="0.25">
      <c r="A4352" s="138">
        <v>96</v>
      </c>
      <c r="B4352" s="138" t="s">
        <v>1275</v>
      </c>
    </row>
    <row r="4353" spans="1:2" x14ac:dyDescent="0.25">
      <c r="A4353" s="20">
        <v>96</v>
      </c>
      <c r="B4353" s="20" t="s">
        <v>1275</v>
      </c>
    </row>
    <row r="4354" spans="1:2" x14ac:dyDescent="0.25">
      <c r="A4354" s="138">
        <v>96</v>
      </c>
      <c r="B4354" s="138" t="s">
        <v>1275</v>
      </c>
    </row>
    <row r="4355" spans="1:2" x14ac:dyDescent="0.25">
      <c r="A4355" s="20">
        <v>96</v>
      </c>
      <c r="B4355" s="20" t="s">
        <v>1275</v>
      </c>
    </row>
    <row r="4356" spans="1:2" x14ac:dyDescent="0.25">
      <c r="A4356" s="138">
        <v>96</v>
      </c>
      <c r="B4356" s="138" t="s">
        <v>1275</v>
      </c>
    </row>
    <row r="4357" spans="1:2" x14ac:dyDescent="0.25">
      <c r="A4357" s="20">
        <v>96</v>
      </c>
      <c r="B4357" s="20" t="s">
        <v>1275</v>
      </c>
    </row>
    <row r="4358" spans="1:2" x14ac:dyDescent="0.25">
      <c r="A4358" s="138">
        <v>96</v>
      </c>
      <c r="B4358" s="138" t="s">
        <v>1275</v>
      </c>
    </row>
    <row r="4359" spans="1:2" x14ac:dyDescent="0.25">
      <c r="A4359" s="20">
        <v>96</v>
      </c>
      <c r="B4359" s="20" t="s">
        <v>1275</v>
      </c>
    </row>
    <row r="4360" spans="1:2" x14ac:dyDescent="0.25">
      <c r="A4360" s="138">
        <v>96</v>
      </c>
      <c r="B4360" s="138" t="s">
        <v>1275</v>
      </c>
    </row>
    <row r="4361" spans="1:2" x14ac:dyDescent="0.25">
      <c r="A4361" s="20">
        <v>96</v>
      </c>
      <c r="B4361" s="20" t="s">
        <v>1275</v>
      </c>
    </row>
    <row r="4362" spans="1:2" x14ac:dyDescent="0.25">
      <c r="A4362" s="138">
        <v>96</v>
      </c>
      <c r="B4362" s="138" t="s">
        <v>1275</v>
      </c>
    </row>
    <row r="4363" spans="1:2" x14ac:dyDescent="0.25">
      <c r="A4363" s="20">
        <v>96</v>
      </c>
      <c r="B4363" s="20" t="s">
        <v>1275</v>
      </c>
    </row>
    <row r="4364" spans="1:2" x14ac:dyDescent="0.25">
      <c r="A4364" s="138">
        <v>96</v>
      </c>
      <c r="B4364" s="138" t="s">
        <v>1275</v>
      </c>
    </row>
    <row r="4365" spans="1:2" x14ac:dyDescent="0.25">
      <c r="A4365" s="20">
        <v>96</v>
      </c>
      <c r="B4365" s="20" t="s">
        <v>1275</v>
      </c>
    </row>
    <row r="4366" spans="1:2" x14ac:dyDescent="0.25">
      <c r="A4366" s="138">
        <v>96</v>
      </c>
      <c r="B4366" s="138" t="s">
        <v>1275</v>
      </c>
    </row>
    <row r="4367" spans="1:2" x14ac:dyDescent="0.25">
      <c r="A4367" s="20">
        <v>96</v>
      </c>
      <c r="B4367" s="20" t="s">
        <v>1275</v>
      </c>
    </row>
    <row r="4368" spans="1:2" x14ac:dyDescent="0.25">
      <c r="A4368" s="138">
        <v>96</v>
      </c>
      <c r="B4368" s="138" t="s">
        <v>1275</v>
      </c>
    </row>
    <row r="4369" spans="1:2" x14ac:dyDescent="0.25">
      <c r="A4369" s="20">
        <v>32</v>
      </c>
      <c r="B4369" s="20" t="s">
        <v>693</v>
      </c>
    </row>
    <row r="4370" spans="1:2" x14ac:dyDescent="0.25">
      <c r="A4370" s="138">
        <v>32</v>
      </c>
      <c r="B4370" s="138" t="s">
        <v>693</v>
      </c>
    </row>
    <row r="4371" spans="1:2" x14ac:dyDescent="0.25">
      <c r="A4371" s="20">
        <v>27</v>
      </c>
      <c r="B4371" s="20" t="s">
        <v>655</v>
      </c>
    </row>
    <row r="4372" spans="1:2" x14ac:dyDescent="0.25">
      <c r="A4372" s="138">
        <v>27</v>
      </c>
      <c r="B4372" s="138" t="s">
        <v>655</v>
      </c>
    </row>
    <row r="4373" spans="1:2" x14ac:dyDescent="0.25">
      <c r="A4373" s="20">
        <v>27</v>
      </c>
      <c r="B4373" s="20" t="s">
        <v>655</v>
      </c>
    </row>
    <row r="4374" spans="1:2" x14ac:dyDescent="0.25">
      <c r="A4374" s="138">
        <v>27</v>
      </c>
      <c r="B4374" s="138" t="s">
        <v>655</v>
      </c>
    </row>
    <row r="4375" spans="1:2" x14ac:dyDescent="0.25">
      <c r="A4375" s="20">
        <v>27</v>
      </c>
      <c r="B4375" s="20" t="s">
        <v>655</v>
      </c>
    </row>
    <row r="4376" spans="1:2" x14ac:dyDescent="0.25">
      <c r="A4376" s="138">
        <v>27</v>
      </c>
      <c r="B4376" s="138" t="s">
        <v>655</v>
      </c>
    </row>
    <row r="4377" spans="1:2" x14ac:dyDescent="0.25">
      <c r="A4377" s="20">
        <v>27</v>
      </c>
      <c r="B4377" s="20" t="s">
        <v>655</v>
      </c>
    </row>
    <row r="4378" spans="1:2" x14ac:dyDescent="0.25">
      <c r="A4378" s="138">
        <v>11</v>
      </c>
      <c r="B4378" s="138" t="s">
        <v>638</v>
      </c>
    </row>
    <row r="4379" spans="1:2" x14ac:dyDescent="0.25">
      <c r="A4379" s="20" t="s">
        <v>3658</v>
      </c>
      <c r="B4379" s="20" t="s">
        <v>270</v>
      </c>
    </row>
    <row r="4380" spans="1:2" x14ac:dyDescent="0.25">
      <c r="A4380" s="138" t="s">
        <v>3658</v>
      </c>
      <c r="B4380" s="138" t="s">
        <v>270</v>
      </c>
    </row>
    <row r="4381" spans="1:2" x14ac:dyDescent="0.25">
      <c r="A4381" s="20" t="s">
        <v>3658</v>
      </c>
      <c r="B4381" s="20" t="s">
        <v>270</v>
      </c>
    </row>
    <row r="4382" spans="1:2" x14ac:dyDescent="0.25">
      <c r="A4382" s="138" t="s">
        <v>3710</v>
      </c>
      <c r="B4382" s="138" t="s">
        <v>280</v>
      </c>
    </row>
    <row r="4383" spans="1:2" x14ac:dyDescent="0.25">
      <c r="A4383" s="20">
        <v>231</v>
      </c>
      <c r="B4383" s="20" t="s">
        <v>886</v>
      </c>
    </row>
    <row r="4384" spans="1:2" x14ac:dyDescent="0.25">
      <c r="A4384" s="138">
        <v>231</v>
      </c>
      <c r="B4384" s="138" t="s">
        <v>886</v>
      </c>
    </row>
    <row r="4385" spans="1:2" x14ac:dyDescent="0.25">
      <c r="A4385" s="138">
        <v>96</v>
      </c>
      <c r="B4385" s="138" t="s">
        <v>1403</v>
      </c>
    </row>
    <row r="4386" spans="1:2" x14ac:dyDescent="0.25">
      <c r="A4386" s="20">
        <v>50</v>
      </c>
      <c r="B4386" s="20" t="s">
        <v>1478</v>
      </c>
    </row>
    <row r="4387" spans="1:2" x14ac:dyDescent="0.25">
      <c r="A4387" s="138">
        <v>50</v>
      </c>
      <c r="B4387" s="138" t="s">
        <v>1478</v>
      </c>
    </row>
    <row r="4388" spans="1:2" x14ac:dyDescent="0.25">
      <c r="A4388" s="20">
        <v>50</v>
      </c>
      <c r="B4388" s="20" t="s">
        <v>1478</v>
      </c>
    </row>
    <row r="4389" spans="1:2" x14ac:dyDescent="0.25">
      <c r="A4389" s="138">
        <v>50</v>
      </c>
      <c r="B4389" s="138" t="s">
        <v>1478</v>
      </c>
    </row>
    <row r="4390" spans="1:2" x14ac:dyDescent="0.25">
      <c r="A4390" s="20">
        <v>50</v>
      </c>
      <c r="B4390" s="20" t="s">
        <v>1478</v>
      </c>
    </row>
    <row r="4391" spans="1:2" x14ac:dyDescent="0.25">
      <c r="A4391" s="138">
        <v>31</v>
      </c>
      <c r="B4391" s="138" t="s">
        <v>500</v>
      </c>
    </row>
    <row r="4392" spans="1:2" x14ac:dyDescent="0.25">
      <c r="A4392" s="20">
        <v>97</v>
      </c>
      <c r="B4392" s="20" t="s">
        <v>206</v>
      </c>
    </row>
    <row r="4393" spans="1:2" x14ac:dyDescent="0.25">
      <c r="A4393" s="138">
        <v>97</v>
      </c>
      <c r="B4393" s="138" t="s">
        <v>206</v>
      </c>
    </row>
    <row r="4394" spans="1:2" x14ac:dyDescent="0.25">
      <c r="A4394" s="20">
        <v>97</v>
      </c>
      <c r="B4394" s="20" t="s">
        <v>206</v>
      </c>
    </row>
    <row r="4395" spans="1:2" x14ac:dyDescent="0.25">
      <c r="A4395" s="138">
        <v>97</v>
      </c>
      <c r="B4395" s="138" t="s">
        <v>206</v>
      </c>
    </row>
    <row r="4396" spans="1:2" x14ac:dyDescent="0.25">
      <c r="A4396" s="20">
        <v>97</v>
      </c>
      <c r="B4396" s="20" t="s">
        <v>206</v>
      </c>
    </row>
    <row r="4397" spans="1:2" x14ac:dyDescent="0.25">
      <c r="A4397" s="138">
        <v>97</v>
      </c>
      <c r="B4397" s="138" t="s">
        <v>206</v>
      </c>
    </row>
    <row r="4398" spans="1:2" x14ac:dyDescent="0.25">
      <c r="A4398" s="20">
        <v>97</v>
      </c>
      <c r="B4398" s="20" t="s">
        <v>206</v>
      </c>
    </row>
    <row r="4399" spans="1:2" x14ac:dyDescent="0.25">
      <c r="A4399" s="138">
        <v>97</v>
      </c>
      <c r="B4399" s="138" t="s">
        <v>206</v>
      </c>
    </row>
    <row r="4400" spans="1:2" x14ac:dyDescent="0.25">
      <c r="A4400" s="20">
        <v>97</v>
      </c>
      <c r="B4400" s="20" t="s">
        <v>206</v>
      </c>
    </row>
    <row r="4401" spans="1:2" x14ac:dyDescent="0.25">
      <c r="A4401" s="138" t="s">
        <v>6221</v>
      </c>
      <c r="B4401" s="138" t="s">
        <v>337</v>
      </c>
    </row>
    <row r="4402" spans="1:2" x14ac:dyDescent="0.25">
      <c r="A4402" s="20" t="s">
        <v>6221</v>
      </c>
      <c r="B4402" s="20" t="s">
        <v>337</v>
      </c>
    </row>
    <row r="4403" spans="1:2" x14ac:dyDescent="0.25">
      <c r="A4403" s="138" t="s">
        <v>6221</v>
      </c>
      <c r="B4403" s="138" t="s">
        <v>337</v>
      </c>
    </row>
    <row r="4404" spans="1:2" x14ac:dyDescent="0.25">
      <c r="A4404" s="20">
        <v>252</v>
      </c>
      <c r="B4404" s="20" t="s">
        <v>615</v>
      </c>
    </row>
    <row r="4405" spans="1:2" x14ac:dyDescent="0.25">
      <c r="A4405" s="138">
        <v>252</v>
      </c>
      <c r="B4405" s="138" t="s">
        <v>615</v>
      </c>
    </row>
    <row r="4406" spans="1:2" x14ac:dyDescent="0.25">
      <c r="A4406" s="20">
        <v>252</v>
      </c>
      <c r="B4406" s="20" t="s">
        <v>615</v>
      </c>
    </row>
    <row r="4407" spans="1:2" x14ac:dyDescent="0.25">
      <c r="A4407" s="138">
        <v>252</v>
      </c>
      <c r="B4407" s="138" t="s">
        <v>615</v>
      </c>
    </row>
    <row r="4408" spans="1:2" x14ac:dyDescent="0.25">
      <c r="A4408" s="20">
        <v>115</v>
      </c>
      <c r="B4408" s="20" t="s">
        <v>2003</v>
      </c>
    </row>
    <row r="4409" spans="1:2" x14ac:dyDescent="0.25">
      <c r="A4409" s="138">
        <v>115</v>
      </c>
      <c r="B4409" s="138" t="s">
        <v>2003</v>
      </c>
    </row>
    <row r="4410" spans="1:2" x14ac:dyDescent="0.25">
      <c r="A4410" s="20">
        <v>115</v>
      </c>
      <c r="B4410" s="20" t="s">
        <v>2003</v>
      </c>
    </row>
    <row r="4411" spans="1:2" x14ac:dyDescent="0.25">
      <c r="A4411" s="138">
        <v>115</v>
      </c>
      <c r="B4411" s="138" t="s">
        <v>2003</v>
      </c>
    </row>
    <row r="4412" spans="1:2" x14ac:dyDescent="0.25">
      <c r="A4412" s="20">
        <v>115</v>
      </c>
      <c r="B4412" s="20" t="s">
        <v>2003</v>
      </c>
    </row>
    <row r="4413" spans="1:2" x14ac:dyDescent="0.25">
      <c r="A4413" s="138">
        <v>115</v>
      </c>
      <c r="B4413" s="138" t="s">
        <v>2003</v>
      </c>
    </row>
    <row r="4414" spans="1:2" x14ac:dyDescent="0.25">
      <c r="A4414" s="20">
        <v>115</v>
      </c>
      <c r="B4414" s="20" t="s">
        <v>2003</v>
      </c>
    </row>
    <row r="4415" spans="1:2" x14ac:dyDescent="0.25">
      <c r="A4415" s="138">
        <v>115</v>
      </c>
      <c r="B4415" s="138" t="s">
        <v>2003</v>
      </c>
    </row>
    <row r="4416" spans="1:2" x14ac:dyDescent="0.25">
      <c r="A4416" s="20">
        <v>115</v>
      </c>
      <c r="B4416" s="20" t="s">
        <v>2003</v>
      </c>
    </row>
    <row r="4417" spans="1:2" x14ac:dyDescent="0.25">
      <c r="A4417" s="138">
        <v>115</v>
      </c>
      <c r="B4417" s="138" t="s">
        <v>2003</v>
      </c>
    </row>
    <row r="4418" spans="1:2" x14ac:dyDescent="0.25">
      <c r="A4418" s="20">
        <v>115</v>
      </c>
      <c r="B4418" s="20" t="s">
        <v>2003</v>
      </c>
    </row>
    <row r="4419" spans="1:2" x14ac:dyDescent="0.25">
      <c r="A4419" s="138">
        <v>115</v>
      </c>
      <c r="B4419" s="138" t="s">
        <v>2003</v>
      </c>
    </row>
    <row r="4420" spans="1:2" x14ac:dyDescent="0.25">
      <c r="A4420" s="20">
        <v>115</v>
      </c>
      <c r="B4420" s="20" t="s">
        <v>2003</v>
      </c>
    </row>
    <row r="4421" spans="1:2" x14ac:dyDescent="0.25">
      <c r="A4421" s="138">
        <v>115</v>
      </c>
      <c r="B4421" s="138" t="s">
        <v>2003</v>
      </c>
    </row>
    <row r="4422" spans="1:2" x14ac:dyDescent="0.25">
      <c r="A4422" s="20">
        <v>115</v>
      </c>
      <c r="B4422" s="20" t="s">
        <v>2003</v>
      </c>
    </row>
    <row r="4423" spans="1:2" x14ac:dyDescent="0.25">
      <c r="A4423" s="138">
        <v>115</v>
      </c>
      <c r="B4423" s="138" t="s">
        <v>2003</v>
      </c>
    </row>
    <row r="4424" spans="1:2" x14ac:dyDescent="0.25">
      <c r="A4424" s="20">
        <v>115</v>
      </c>
      <c r="B4424" s="20" t="s">
        <v>2003</v>
      </c>
    </row>
    <row r="4425" spans="1:2" x14ac:dyDescent="0.25">
      <c r="A4425" s="138">
        <v>115</v>
      </c>
      <c r="B4425" s="138" t="s">
        <v>2003</v>
      </c>
    </row>
    <row r="4426" spans="1:2" x14ac:dyDescent="0.25">
      <c r="A4426" s="20">
        <v>109</v>
      </c>
      <c r="B4426" s="20" t="s">
        <v>1346</v>
      </c>
    </row>
    <row r="4427" spans="1:2" x14ac:dyDescent="0.25">
      <c r="A4427" s="138">
        <v>109</v>
      </c>
      <c r="B4427" s="138" t="s">
        <v>1346</v>
      </c>
    </row>
    <row r="4428" spans="1:2" x14ac:dyDescent="0.25">
      <c r="A4428" s="20">
        <v>109</v>
      </c>
      <c r="B4428" s="20" t="s">
        <v>1346</v>
      </c>
    </row>
    <row r="4429" spans="1:2" x14ac:dyDescent="0.25">
      <c r="A4429" s="138">
        <v>109</v>
      </c>
      <c r="B4429" s="138" t="s">
        <v>1346</v>
      </c>
    </row>
    <row r="4430" spans="1:2" x14ac:dyDescent="0.25">
      <c r="A4430" s="20">
        <v>96</v>
      </c>
      <c r="B4430" s="20" t="s">
        <v>1275</v>
      </c>
    </row>
    <row r="4431" spans="1:2" x14ac:dyDescent="0.25">
      <c r="A4431" s="138">
        <v>96</v>
      </c>
      <c r="B4431" s="138" t="s">
        <v>1275</v>
      </c>
    </row>
    <row r="4432" spans="1:2" x14ac:dyDescent="0.25">
      <c r="A4432" s="20">
        <v>96</v>
      </c>
      <c r="B4432" s="20" t="s">
        <v>1275</v>
      </c>
    </row>
    <row r="4433" spans="1:2" x14ac:dyDescent="0.25">
      <c r="A4433" s="138">
        <v>96</v>
      </c>
      <c r="B4433" s="138" t="s">
        <v>1275</v>
      </c>
    </row>
    <row r="4434" spans="1:2" x14ac:dyDescent="0.25">
      <c r="A4434" s="20">
        <v>96</v>
      </c>
      <c r="B4434" s="20" t="s">
        <v>1275</v>
      </c>
    </row>
    <row r="4435" spans="1:2" x14ac:dyDescent="0.25">
      <c r="A4435" s="138">
        <v>96</v>
      </c>
      <c r="B4435" s="138" t="s">
        <v>1275</v>
      </c>
    </row>
    <row r="4436" spans="1:2" x14ac:dyDescent="0.25">
      <c r="A4436" s="20">
        <v>96</v>
      </c>
      <c r="B4436" s="20" t="s">
        <v>1275</v>
      </c>
    </row>
    <row r="4437" spans="1:2" x14ac:dyDescent="0.25">
      <c r="A4437" s="138">
        <v>96</v>
      </c>
      <c r="B4437" s="138" t="s">
        <v>1275</v>
      </c>
    </row>
    <row r="4438" spans="1:2" x14ac:dyDescent="0.25">
      <c r="A4438" s="20">
        <v>96</v>
      </c>
      <c r="B4438" s="20" t="s">
        <v>1275</v>
      </c>
    </row>
    <row r="4439" spans="1:2" x14ac:dyDescent="0.25">
      <c r="A4439" s="138">
        <v>96</v>
      </c>
      <c r="B4439" s="138" t="s">
        <v>1275</v>
      </c>
    </row>
    <row r="4440" spans="1:2" x14ac:dyDescent="0.25">
      <c r="A4440" s="20">
        <v>96</v>
      </c>
      <c r="B4440" s="20" t="s">
        <v>1275</v>
      </c>
    </row>
    <row r="4441" spans="1:2" x14ac:dyDescent="0.25">
      <c r="A4441" s="138">
        <v>96</v>
      </c>
      <c r="B4441" s="138" t="s">
        <v>1275</v>
      </c>
    </row>
    <row r="4442" spans="1:2" x14ac:dyDescent="0.25">
      <c r="A4442" s="20">
        <v>96</v>
      </c>
      <c r="B4442" s="20" t="s">
        <v>1275</v>
      </c>
    </row>
    <row r="4443" spans="1:2" x14ac:dyDescent="0.25">
      <c r="A4443" s="138">
        <v>96</v>
      </c>
      <c r="B4443" s="138" t="s">
        <v>1275</v>
      </c>
    </row>
    <row r="4444" spans="1:2" x14ac:dyDescent="0.25">
      <c r="A4444" s="20">
        <v>96</v>
      </c>
      <c r="B4444" s="20" t="s">
        <v>1275</v>
      </c>
    </row>
    <row r="4445" spans="1:2" x14ac:dyDescent="0.25">
      <c r="A4445" s="138">
        <v>96</v>
      </c>
      <c r="B4445" s="138" t="s">
        <v>1275</v>
      </c>
    </row>
    <row r="4446" spans="1:2" x14ac:dyDescent="0.25">
      <c r="A4446" s="20">
        <v>96</v>
      </c>
      <c r="B4446" s="20" t="s">
        <v>1275</v>
      </c>
    </row>
    <row r="4447" spans="1:2" x14ac:dyDescent="0.25">
      <c r="A4447" s="138">
        <v>96</v>
      </c>
      <c r="B4447" s="138" t="s">
        <v>1275</v>
      </c>
    </row>
    <row r="4448" spans="1:2" x14ac:dyDescent="0.25">
      <c r="A4448" s="20">
        <v>96</v>
      </c>
      <c r="B4448" s="20" t="s">
        <v>1275</v>
      </c>
    </row>
    <row r="4449" spans="1:2" x14ac:dyDescent="0.25">
      <c r="A4449" s="138">
        <v>18</v>
      </c>
      <c r="B4449" s="138" t="s">
        <v>1289</v>
      </c>
    </row>
    <row r="4450" spans="1:2" x14ac:dyDescent="0.25">
      <c r="A4450" s="20">
        <v>27</v>
      </c>
      <c r="B4450" s="20" t="s">
        <v>655</v>
      </c>
    </row>
    <row r="4451" spans="1:2" x14ac:dyDescent="0.25">
      <c r="A4451" s="138">
        <v>27</v>
      </c>
      <c r="B4451" s="138" t="s">
        <v>655</v>
      </c>
    </row>
    <row r="4452" spans="1:2" x14ac:dyDescent="0.25">
      <c r="A4452" s="20">
        <v>27</v>
      </c>
      <c r="B4452" s="20" t="s">
        <v>655</v>
      </c>
    </row>
    <row r="4453" spans="1:2" x14ac:dyDescent="0.25">
      <c r="A4453" s="138">
        <v>27</v>
      </c>
      <c r="B4453" s="138" t="s">
        <v>655</v>
      </c>
    </row>
    <row r="4454" spans="1:2" x14ac:dyDescent="0.25">
      <c r="A4454" s="20">
        <v>26</v>
      </c>
      <c r="B4454" s="20" t="s">
        <v>655</v>
      </c>
    </row>
    <row r="4455" spans="1:2" x14ac:dyDescent="0.25">
      <c r="A4455" s="138">
        <v>16</v>
      </c>
      <c r="B4455" s="138" t="s">
        <v>2005</v>
      </c>
    </row>
    <row r="4456" spans="1:2" x14ac:dyDescent="0.25">
      <c r="A4456" s="20">
        <v>11</v>
      </c>
      <c r="B4456" s="20" t="s">
        <v>638</v>
      </c>
    </row>
    <row r="4457" spans="1:2" x14ac:dyDescent="0.25">
      <c r="A4457" s="138">
        <v>11</v>
      </c>
      <c r="B4457" s="138" t="s">
        <v>638</v>
      </c>
    </row>
    <row r="4458" spans="1:2" x14ac:dyDescent="0.25">
      <c r="A4458" s="20">
        <v>11</v>
      </c>
      <c r="B4458" s="20" t="s">
        <v>638</v>
      </c>
    </row>
    <row r="4459" spans="1:2" x14ac:dyDescent="0.25">
      <c r="A4459" s="138">
        <v>11</v>
      </c>
      <c r="B4459" s="138" t="s">
        <v>638</v>
      </c>
    </row>
    <row r="4460" spans="1:2" x14ac:dyDescent="0.25">
      <c r="A4460" s="20">
        <v>11</v>
      </c>
      <c r="B4460" s="20" t="s">
        <v>638</v>
      </c>
    </row>
    <row r="4461" spans="1:2" x14ac:dyDescent="0.25">
      <c r="A4461" s="138">
        <v>151</v>
      </c>
      <c r="B4461" s="138" t="s">
        <v>1161</v>
      </c>
    </row>
    <row r="4462" spans="1:2" x14ac:dyDescent="0.25">
      <c r="A4462" s="20">
        <v>151</v>
      </c>
      <c r="B4462" s="20" t="s">
        <v>1161</v>
      </c>
    </row>
    <row r="4463" spans="1:2" x14ac:dyDescent="0.25">
      <c r="A4463" s="138">
        <v>151</v>
      </c>
      <c r="B4463" s="138" t="s">
        <v>1161</v>
      </c>
    </row>
    <row r="4464" spans="1:2" x14ac:dyDescent="0.25">
      <c r="A4464" s="20">
        <v>151</v>
      </c>
      <c r="B4464" s="20" t="s">
        <v>1161</v>
      </c>
    </row>
    <row r="4465" spans="1:2" x14ac:dyDescent="0.25">
      <c r="A4465" s="138">
        <v>151</v>
      </c>
      <c r="B4465" s="138" t="s">
        <v>1161</v>
      </c>
    </row>
    <row r="4466" spans="1:2" x14ac:dyDescent="0.25">
      <c r="A4466" s="20">
        <v>151</v>
      </c>
      <c r="B4466" s="20" t="s">
        <v>1161</v>
      </c>
    </row>
    <row r="4467" spans="1:2" x14ac:dyDescent="0.25">
      <c r="A4467" s="138">
        <v>96</v>
      </c>
      <c r="B4467" s="138" t="s">
        <v>1403</v>
      </c>
    </row>
    <row r="4468" spans="1:2" x14ac:dyDescent="0.25">
      <c r="A4468" s="20">
        <v>96</v>
      </c>
      <c r="B4468" s="20" t="s">
        <v>1403</v>
      </c>
    </row>
    <row r="4469" spans="1:2" x14ac:dyDescent="0.25">
      <c r="A4469" s="138">
        <v>96</v>
      </c>
      <c r="B4469" s="138" t="s">
        <v>1403</v>
      </c>
    </row>
    <row r="4470" spans="1:2" x14ac:dyDescent="0.25">
      <c r="A4470" s="20">
        <v>96</v>
      </c>
      <c r="B4470" s="20" t="s">
        <v>1403</v>
      </c>
    </row>
    <row r="4471" spans="1:2" x14ac:dyDescent="0.25">
      <c r="A4471" s="138">
        <v>96</v>
      </c>
      <c r="B4471" s="138" t="s">
        <v>1403</v>
      </c>
    </row>
    <row r="4472" spans="1:2" x14ac:dyDescent="0.25">
      <c r="A4472" s="20">
        <v>96</v>
      </c>
      <c r="B4472" s="20" t="s">
        <v>1403</v>
      </c>
    </row>
    <row r="4473" spans="1:2" x14ac:dyDescent="0.25">
      <c r="A4473" s="138">
        <v>96</v>
      </c>
      <c r="B4473" s="138" t="s">
        <v>1403</v>
      </c>
    </row>
    <row r="4474" spans="1:2" x14ac:dyDescent="0.25">
      <c r="A4474" s="20">
        <v>96</v>
      </c>
      <c r="B4474" s="20" t="s">
        <v>1403</v>
      </c>
    </row>
    <row r="4475" spans="1:2" x14ac:dyDescent="0.25">
      <c r="A4475" s="138">
        <v>96</v>
      </c>
      <c r="B4475" s="138" t="s">
        <v>1403</v>
      </c>
    </row>
    <row r="4476" spans="1:2" x14ac:dyDescent="0.25">
      <c r="A4476" s="20">
        <v>96</v>
      </c>
      <c r="B4476" s="20" t="s">
        <v>1403</v>
      </c>
    </row>
    <row r="4477" spans="1:2" x14ac:dyDescent="0.25">
      <c r="A4477" s="138">
        <v>96</v>
      </c>
      <c r="B4477" s="138" t="s">
        <v>1403</v>
      </c>
    </row>
    <row r="4478" spans="1:2" x14ac:dyDescent="0.25">
      <c r="A4478" s="20">
        <v>96</v>
      </c>
      <c r="B4478" s="20" t="s">
        <v>1403</v>
      </c>
    </row>
    <row r="4479" spans="1:2" x14ac:dyDescent="0.25">
      <c r="A4479" s="138">
        <v>96</v>
      </c>
      <c r="B4479" s="138" t="s">
        <v>1403</v>
      </c>
    </row>
    <row r="4480" spans="1:2" x14ac:dyDescent="0.25">
      <c r="A4480" s="20">
        <v>96</v>
      </c>
      <c r="B4480" s="20" t="s">
        <v>1403</v>
      </c>
    </row>
    <row r="4481" spans="1:2" x14ac:dyDescent="0.25">
      <c r="A4481" s="138">
        <v>96</v>
      </c>
      <c r="B4481" s="138" t="s">
        <v>1403</v>
      </c>
    </row>
    <row r="4482" spans="1:2" x14ac:dyDescent="0.25">
      <c r="A4482" s="20">
        <v>96</v>
      </c>
      <c r="B4482" s="20" t="s">
        <v>1403</v>
      </c>
    </row>
    <row r="4483" spans="1:2" x14ac:dyDescent="0.25">
      <c r="A4483" s="138">
        <v>96</v>
      </c>
      <c r="B4483" s="138" t="s">
        <v>1403</v>
      </c>
    </row>
    <row r="4484" spans="1:2" x14ac:dyDescent="0.25">
      <c r="A4484" s="20">
        <v>96</v>
      </c>
      <c r="B4484" s="20" t="s">
        <v>1403</v>
      </c>
    </row>
    <row r="4485" spans="1:2" x14ac:dyDescent="0.25">
      <c r="A4485" s="138">
        <v>50</v>
      </c>
      <c r="B4485" s="138" t="s">
        <v>1478</v>
      </c>
    </row>
    <row r="4486" spans="1:2" x14ac:dyDescent="0.25">
      <c r="A4486" s="20">
        <v>50</v>
      </c>
      <c r="B4486" s="20" t="s">
        <v>1478</v>
      </c>
    </row>
    <row r="4487" spans="1:2" x14ac:dyDescent="0.25">
      <c r="A4487" s="138">
        <v>97</v>
      </c>
      <c r="B4487" s="138" t="s">
        <v>206</v>
      </c>
    </row>
    <row r="4488" spans="1:2" x14ac:dyDescent="0.25">
      <c r="A4488" s="20">
        <v>97</v>
      </c>
      <c r="B4488" s="20" t="s">
        <v>206</v>
      </c>
    </row>
    <row r="4489" spans="1:2" x14ac:dyDescent="0.25">
      <c r="A4489" s="138">
        <v>97</v>
      </c>
      <c r="B4489" s="138" t="s">
        <v>206</v>
      </c>
    </row>
    <row r="4490" spans="1:2" x14ac:dyDescent="0.25">
      <c r="A4490" s="20">
        <v>252</v>
      </c>
      <c r="B4490" s="20" t="s">
        <v>615</v>
      </c>
    </row>
    <row r="4491" spans="1:2" x14ac:dyDescent="0.25">
      <c r="A4491" s="138">
        <v>115</v>
      </c>
      <c r="B4491" s="138" t="s">
        <v>2003</v>
      </c>
    </row>
    <row r="4492" spans="1:2" x14ac:dyDescent="0.25">
      <c r="A4492" s="20">
        <v>115</v>
      </c>
      <c r="B4492" s="20" t="s">
        <v>2003</v>
      </c>
    </row>
    <row r="4493" spans="1:2" x14ac:dyDescent="0.25">
      <c r="A4493" s="138">
        <v>115</v>
      </c>
      <c r="B4493" s="138" t="s">
        <v>2003</v>
      </c>
    </row>
    <row r="4494" spans="1:2" x14ac:dyDescent="0.25">
      <c r="A4494" s="20">
        <v>115</v>
      </c>
      <c r="B4494" s="20" t="s">
        <v>2003</v>
      </c>
    </row>
    <row r="4495" spans="1:2" x14ac:dyDescent="0.25">
      <c r="A4495" s="138">
        <v>115</v>
      </c>
      <c r="B4495" s="138" t="s">
        <v>2003</v>
      </c>
    </row>
    <row r="4496" spans="1:2" x14ac:dyDescent="0.25">
      <c r="A4496" s="20">
        <v>115</v>
      </c>
      <c r="B4496" s="20" t="s">
        <v>2003</v>
      </c>
    </row>
    <row r="4497" spans="1:2" x14ac:dyDescent="0.25">
      <c r="A4497" s="138">
        <v>115</v>
      </c>
      <c r="B4497" s="138" t="s">
        <v>2003</v>
      </c>
    </row>
    <row r="4498" spans="1:2" x14ac:dyDescent="0.25">
      <c r="A4498" s="20">
        <v>115</v>
      </c>
      <c r="B4498" s="20" t="s">
        <v>2003</v>
      </c>
    </row>
    <row r="4499" spans="1:2" x14ac:dyDescent="0.25">
      <c r="A4499" s="138">
        <v>115</v>
      </c>
      <c r="B4499" s="138" t="s">
        <v>2003</v>
      </c>
    </row>
    <row r="4500" spans="1:2" x14ac:dyDescent="0.25">
      <c r="A4500" s="20">
        <v>115</v>
      </c>
      <c r="B4500" s="20" t="s">
        <v>2003</v>
      </c>
    </row>
    <row r="4501" spans="1:2" x14ac:dyDescent="0.25">
      <c r="A4501" s="138">
        <v>115</v>
      </c>
      <c r="B4501" s="138" t="s">
        <v>2003</v>
      </c>
    </row>
    <row r="4502" spans="1:2" x14ac:dyDescent="0.25">
      <c r="A4502" s="20">
        <v>199</v>
      </c>
      <c r="B4502" s="20" t="s">
        <v>1275</v>
      </c>
    </row>
    <row r="4503" spans="1:2" x14ac:dyDescent="0.25">
      <c r="A4503" s="138">
        <v>199</v>
      </c>
      <c r="B4503" s="138" t="s">
        <v>1275</v>
      </c>
    </row>
    <row r="4504" spans="1:2" x14ac:dyDescent="0.25">
      <c r="A4504" s="20">
        <v>199</v>
      </c>
      <c r="B4504" s="20" t="s">
        <v>1275</v>
      </c>
    </row>
    <row r="4505" spans="1:2" x14ac:dyDescent="0.25">
      <c r="A4505" s="138">
        <v>199</v>
      </c>
      <c r="B4505" s="138" t="s">
        <v>1275</v>
      </c>
    </row>
    <row r="4506" spans="1:2" x14ac:dyDescent="0.25">
      <c r="A4506" s="20">
        <v>199</v>
      </c>
      <c r="B4506" s="20" t="s">
        <v>1275</v>
      </c>
    </row>
    <row r="4507" spans="1:2" x14ac:dyDescent="0.25">
      <c r="A4507" s="138">
        <v>199</v>
      </c>
      <c r="B4507" s="138" t="s">
        <v>1275</v>
      </c>
    </row>
    <row r="4508" spans="1:2" x14ac:dyDescent="0.25">
      <c r="A4508" s="20">
        <v>199</v>
      </c>
      <c r="B4508" s="20" t="s">
        <v>1275</v>
      </c>
    </row>
    <row r="4509" spans="1:2" x14ac:dyDescent="0.25">
      <c r="A4509" s="138">
        <v>199</v>
      </c>
      <c r="B4509" s="138" t="s">
        <v>1275</v>
      </c>
    </row>
    <row r="4510" spans="1:2" x14ac:dyDescent="0.25">
      <c r="A4510" s="20">
        <v>199</v>
      </c>
      <c r="B4510" s="20" t="s">
        <v>1275</v>
      </c>
    </row>
    <row r="4511" spans="1:2" x14ac:dyDescent="0.25">
      <c r="A4511" s="138">
        <v>199</v>
      </c>
      <c r="B4511" s="138" t="s">
        <v>1275</v>
      </c>
    </row>
    <row r="4512" spans="1:2" x14ac:dyDescent="0.25">
      <c r="A4512" s="20">
        <v>199</v>
      </c>
      <c r="B4512" s="20" t="s">
        <v>1275</v>
      </c>
    </row>
    <row r="4513" spans="1:2" x14ac:dyDescent="0.25">
      <c r="A4513" s="138">
        <v>199</v>
      </c>
      <c r="B4513" s="138" t="s">
        <v>1275</v>
      </c>
    </row>
    <row r="4514" spans="1:2" x14ac:dyDescent="0.25">
      <c r="A4514" s="20">
        <v>199</v>
      </c>
      <c r="B4514" s="20" t="s">
        <v>1275</v>
      </c>
    </row>
    <row r="4515" spans="1:2" x14ac:dyDescent="0.25">
      <c r="A4515" s="138">
        <v>199</v>
      </c>
      <c r="B4515" s="138" t="s">
        <v>1275</v>
      </c>
    </row>
    <row r="4516" spans="1:2" x14ac:dyDescent="0.25">
      <c r="A4516" s="20">
        <v>199</v>
      </c>
      <c r="B4516" s="20" t="s">
        <v>1275</v>
      </c>
    </row>
    <row r="4517" spans="1:2" x14ac:dyDescent="0.25">
      <c r="A4517" s="138">
        <v>199</v>
      </c>
      <c r="B4517" s="138" t="s">
        <v>1275</v>
      </c>
    </row>
    <row r="4518" spans="1:2" x14ac:dyDescent="0.25">
      <c r="A4518" s="20">
        <v>199</v>
      </c>
      <c r="B4518" s="20" t="s">
        <v>1275</v>
      </c>
    </row>
    <row r="4519" spans="1:2" x14ac:dyDescent="0.25">
      <c r="A4519" s="138">
        <v>199</v>
      </c>
      <c r="B4519" s="138" t="s">
        <v>1275</v>
      </c>
    </row>
    <row r="4520" spans="1:2" x14ac:dyDescent="0.25">
      <c r="A4520" s="20">
        <v>199</v>
      </c>
      <c r="B4520" s="20" t="s">
        <v>1275</v>
      </c>
    </row>
    <row r="4521" spans="1:2" x14ac:dyDescent="0.25">
      <c r="A4521" s="138">
        <v>199</v>
      </c>
      <c r="B4521" s="138" t="s">
        <v>1275</v>
      </c>
    </row>
    <row r="4522" spans="1:2" x14ac:dyDescent="0.25">
      <c r="A4522" s="20">
        <v>234</v>
      </c>
      <c r="B4522" s="20" t="s">
        <v>206</v>
      </c>
    </row>
    <row r="4523" spans="1:2" x14ac:dyDescent="0.25">
      <c r="A4523" s="138">
        <v>234</v>
      </c>
      <c r="B4523" s="138" t="s">
        <v>206</v>
      </c>
    </row>
    <row r="4524" spans="1:2" x14ac:dyDescent="0.25">
      <c r="A4524" s="20">
        <v>109</v>
      </c>
      <c r="B4524" s="20" t="s">
        <v>1346</v>
      </c>
    </row>
    <row r="4525" spans="1:2" x14ac:dyDescent="0.25">
      <c r="A4525" s="138">
        <v>109</v>
      </c>
      <c r="B4525" s="138" t="s">
        <v>1346</v>
      </c>
    </row>
    <row r="4526" spans="1:2" x14ac:dyDescent="0.25">
      <c r="A4526" s="20" t="s">
        <v>2517</v>
      </c>
      <c r="B4526" s="20" t="s">
        <v>1289</v>
      </c>
    </row>
    <row r="4527" spans="1:2" x14ac:dyDescent="0.25">
      <c r="A4527" s="138" t="s">
        <v>2517</v>
      </c>
      <c r="B4527" s="138" t="s">
        <v>1289</v>
      </c>
    </row>
    <row r="4528" spans="1:2" x14ac:dyDescent="0.25">
      <c r="A4528" s="20" t="s">
        <v>2517</v>
      </c>
      <c r="B4528" s="20" t="s">
        <v>1289</v>
      </c>
    </row>
    <row r="4529" spans="1:2" x14ac:dyDescent="0.25">
      <c r="A4529" s="138" t="s">
        <v>2517</v>
      </c>
      <c r="B4529" s="138" t="s">
        <v>1289</v>
      </c>
    </row>
    <row r="4530" spans="1:2" x14ac:dyDescent="0.25">
      <c r="A4530" s="20" t="s">
        <v>2517</v>
      </c>
      <c r="B4530" s="20" t="s">
        <v>1289</v>
      </c>
    </row>
    <row r="4531" spans="1:2" x14ac:dyDescent="0.25">
      <c r="A4531" s="138" t="s">
        <v>2517</v>
      </c>
      <c r="B4531" s="138" t="s">
        <v>1289</v>
      </c>
    </row>
    <row r="4532" spans="1:2" x14ac:dyDescent="0.25">
      <c r="A4532" s="20" t="s">
        <v>2517</v>
      </c>
      <c r="B4532" s="20" t="s">
        <v>1289</v>
      </c>
    </row>
    <row r="4533" spans="1:2" x14ac:dyDescent="0.25">
      <c r="A4533" s="138">
        <v>16</v>
      </c>
      <c r="B4533" s="138" t="s">
        <v>2005</v>
      </c>
    </row>
    <row r="4534" spans="1:2" x14ac:dyDescent="0.25">
      <c r="A4534" s="20">
        <v>16</v>
      </c>
      <c r="B4534" s="20" t="s">
        <v>2005</v>
      </c>
    </row>
    <row r="4535" spans="1:2" x14ac:dyDescent="0.25">
      <c r="A4535" s="138">
        <v>16</v>
      </c>
      <c r="B4535" s="138" t="s">
        <v>2005</v>
      </c>
    </row>
    <row r="4536" spans="1:2" x14ac:dyDescent="0.25">
      <c r="A4536" s="20">
        <v>16</v>
      </c>
      <c r="B4536" s="20" t="s">
        <v>2005</v>
      </c>
    </row>
    <row r="4537" spans="1:2" x14ac:dyDescent="0.25">
      <c r="A4537" s="138">
        <v>16</v>
      </c>
      <c r="B4537" s="138" t="s">
        <v>2005</v>
      </c>
    </row>
    <row r="4538" spans="1:2" x14ac:dyDescent="0.25">
      <c r="A4538" s="20">
        <v>16</v>
      </c>
      <c r="B4538" s="20" t="s">
        <v>2005</v>
      </c>
    </row>
    <row r="4539" spans="1:2" x14ac:dyDescent="0.25">
      <c r="A4539" s="138">
        <v>16</v>
      </c>
      <c r="B4539" s="138" t="s">
        <v>2005</v>
      </c>
    </row>
    <row r="4540" spans="1:2" x14ac:dyDescent="0.25">
      <c r="A4540" s="20">
        <v>16</v>
      </c>
      <c r="B4540" s="20" t="s">
        <v>2005</v>
      </c>
    </row>
    <row r="4541" spans="1:2" x14ac:dyDescent="0.25">
      <c r="A4541" s="138">
        <v>16</v>
      </c>
      <c r="B4541" s="138" t="s">
        <v>2005</v>
      </c>
    </row>
    <row r="4542" spans="1:2" x14ac:dyDescent="0.25">
      <c r="A4542" s="20">
        <v>16</v>
      </c>
      <c r="B4542" s="20" t="s">
        <v>2005</v>
      </c>
    </row>
    <row r="4543" spans="1:2" x14ac:dyDescent="0.25">
      <c r="A4543" s="138">
        <v>16</v>
      </c>
      <c r="B4543" s="138" t="s">
        <v>2005</v>
      </c>
    </row>
    <row r="4544" spans="1:2" x14ac:dyDescent="0.25">
      <c r="A4544" s="20">
        <v>11</v>
      </c>
      <c r="B4544" s="20" t="s">
        <v>638</v>
      </c>
    </row>
    <row r="4545" spans="1:2" x14ac:dyDescent="0.25">
      <c r="A4545" s="138">
        <v>11</v>
      </c>
      <c r="B4545" s="138" t="s">
        <v>638</v>
      </c>
    </row>
    <row r="4546" spans="1:2" x14ac:dyDescent="0.25">
      <c r="A4546" s="20" t="s">
        <v>3658</v>
      </c>
      <c r="B4546" s="20" t="s">
        <v>270</v>
      </c>
    </row>
    <row r="4547" spans="1:2" x14ac:dyDescent="0.25">
      <c r="A4547" s="138" t="s">
        <v>3658</v>
      </c>
      <c r="B4547" s="138" t="s">
        <v>270</v>
      </c>
    </row>
    <row r="4548" spans="1:2" x14ac:dyDescent="0.25">
      <c r="A4548" s="20" t="s">
        <v>3658</v>
      </c>
      <c r="B4548" s="20" t="s">
        <v>270</v>
      </c>
    </row>
    <row r="4549" spans="1:2" x14ac:dyDescent="0.25">
      <c r="A4549" s="138" t="s">
        <v>3658</v>
      </c>
      <c r="B4549" s="138" t="s">
        <v>270</v>
      </c>
    </row>
    <row r="4550" spans="1:2" x14ac:dyDescent="0.25">
      <c r="A4550" s="20" t="s">
        <v>3710</v>
      </c>
      <c r="B4550" s="20" t="s">
        <v>280</v>
      </c>
    </row>
    <row r="4551" spans="1:2" x14ac:dyDescent="0.25">
      <c r="A4551" s="138">
        <v>11</v>
      </c>
      <c r="B4551" s="138" t="s">
        <v>638</v>
      </c>
    </row>
    <row r="4552" spans="1:2" x14ac:dyDescent="0.25">
      <c r="A4552" s="20">
        <v>16</v>
      </c>
      <c r="B4552" s="20" t="s">
        <v>170</v>
      </c>
    </row>
    <row r="4553" spans="1:2" x14ac:dyDescent="0.25">
      <c r="A4553" s="138">
        <v>16</v>
      </c>
      <c r="B4553" s="138" t="s">
        <v>170</v>
      </c>
    </row>
    <row r="4554" spans="1:2" x14ac:dyDescent="0.25">
      <c r="A4554" s="20">
        <v>16</v>
      </c>
      <c r="B4554" s="20" t="s">
        <v>170</v>
      </c>
    </row>
    <row r="4555" spans="1:2" x14ac:dyDescent="0.25">
      <c r="A4555" s="138">
        <v>96</v>
      </c>
      <c r="B4555" s="138" t="s">
        <v>1403</v>
      </c>
    </row>
    <row r="4556" spans="1:2" x14ac:dyDescent="0.25">
      <c r="A4556" s="20">
        <v>96</v>
      </c>
      <c r="B4556" s="20" t="s">
        <v>1403</v>
      </c>
    </row>
    <row r="4557" spans="1:2" x14ac:dyDescent="0.25">
      <c r="A4557" s="138">
        <v>96</v>
      </c>
      <c r="B4557" s="138" t="s">
        <v>1403</v>
      </c>
    </row>
    <row r="4558" spans="1:2" x14ac:dyDescent="0.25">
      <c r="A4558" s="20">
        <v>96</v>
      </c>
      <c r="B4558" s="20" t="s">
        <v>1403</v>
      </c>
    </row>
    <row r="4559" spans="1:2" x14ac:dyDescent="0.25">
      <c r="A4559" s="138">
        <v>96</v>
      </c>
      <c r="B4559" s="138" t="s">
        <v>1403</v>
      </c>
    </row>
    <row r="4560" spans="1:2" x14ac:dyDescent="0.25">
      <c r="A4560" s="20">
        <v>96</v>
      </c>
      <c r="B4560" s="20" t="s">
        <v>1403</v>
      </c>
    </row>
    <row r="4561" spans="1:2" x14ac:dyDescent="0.25">
      <c r="A4561" s="138">
        <v>96</v>
      </c>
      <c r="B4561" s="138" t="s">
        <v>1403</v>
      </c>
    </row>
    <row r="4562" spans="1:2" x14ac:dyDescent="0.25">
      <c r="A4562" s="20">
        <v>96</v>
      </c>
      <c r="B4562" s="20" t="s">
        <v>1403</v>
      </c>
    </row>
    <row r="4563" spans="1:2" x14ac:dyDescent="0.25">
      <c r="A4563" s="138">
        <v>96</v>
      </c>
      <c r="B4563" s="138" t="s">
        <v>1403</v>
      </c>
    </row>
    <row r="4564" spans="1:2" x14ac:dyDescent="0.25">
      <c r="A4564" s="20">
        <v>96</v>
      </c>
      <c r="B4564" s="20" t="s">
        <v>1403</v>
      </c>
    </row>
    <row r="4565" spans="1:2" x14ac:dyDescent="0.25">
      <c r="A4565" s="138">
        <v>50</v>
      </c>
      <c r="B4565" s="138" t="s">
        <v>1478</v>
      </c>
    </row>
    <row r="4566" spans="1:2" x14ac:dyDescent="0.25">
      <c r="A4566" s="20">
        <v>50</v>
      </c>
      <c r="B4566" s="20" t="s">
        <v>1478</v>
      </c>
    </row>
    <row r="4567" spans="1:2" x14ac:dyDescent="0.25">
      <c r="A4567" s="138" t="s">
        <v>2517</v>
      </c>
      <c r="B4567" s="138" t="s">
        <v>1289</v>
      </c>
    </row>
    <row r="4568" spans="1:2" x14ac:dyDescent="0.25">
      <c r="A4568" s="20" t="s">
        <v>6221</v>
      </c>
      <c r="B4568" s="20" t="s">
        <v>337</v>
      </c>
    </row>
    <row r="4569" spans="1:2" x14ac:dyDescent="0.25">
      <c r="A4569" s="138" t="s">
        <v>6221</v>
      </c>
      <c r="B4569" s="138" t="s">
        <v>337</v>
      </c>
    </row>
    <row r="4570" spans="1:2" x14ac:dyDescent="0.25">
      <c r="A4570" s="20" t="s">
        <v>6221</v>
      </c>
      <c r="B4570" s="20" t="s">
        <v>337</v>
      </c>
    </row>
    <row r="4571" spans="1:2" x14ac:dyDescent="0.25">
      <c r="A4571" s="138" t="s">
        <v>6221</v>
      </c>
      <c r="B4571" s="138" t="s">
        <v>337</v>
      </c>
    </row>
    <row r="4572" spans="1:2" x14ac:dyDescent="0.25">
      <c r="A4572" s="20" t="s">
        <v>6229</v>
      </c>
      <c r="B4572" s="20" t="s">
        <v>1726</v>
      </c>
    </row>
    <row r="4573" spans="1:2" x14ac:dyDescent="0.25">
      <c r="A4573" s="138" t="s">
        <v>6229</v>
      </c>
      <c r="B4573" s="138" t="s">
        <v>1726</v>
      </c>
    </row>
    <row r="4574" spans="1:2" x14ac:dyDescent="0.25">
      <c r="A4574" s="20" t="s">
        <v>6229</v>
      </c>
      <c r="B4574" s="20" t="s">
        <v>1726</v>
      </c>
    </row>
    <row r="4575" spans="1:2" x14ac:dyDescent="0.25">
      <c r="A4575" s="138" t="s">
        <v>6229</v>
      </c>
      <c r="B4575" s="138" t="s">
        <v>1726</v>
      </c>
    </row>
    <row r="4576" spans="1:2" x14ac:dyDescent="0.25">
      <c r="A4576" s="20" t="s">
        <v>6229</v>
      </c>
      <c r="B4576" s="20" t="s">
        <v>1726</v>
      </c>
    </row>
    <row r="4577" spans="1:2" x14ac:dyDescent="0.25">
      <c r="A4577" s="138">
        <v>115</v>
      </c>
      <c r="B4577" s="138" t="s">
        <v>2003</v>
      </c>
    </row>
    <row r="4578" spans="1:2" x14ac:dyDescent="0.25">
      <c r="A4578" s="20">
        <v>115</v>
      </c>
      <c r="B4578" s="20" t="s">
        <v>2003</v>
      </c>
    </row>
    <row r="4579" spans="1:2" x14ac:dyDescent="0.25">
      <c r="A4579" s="138">
        <v>115</v>
      </c>
      <c r="B4579" s="138" t="s">
        <v>2003</v>
      </c>
    </row>
    <row r="4580" spans="1:2" x14ac:dyDescent="0.25">
      <c r="A4580" s="20">
        <v>115</v>
      </c>
      <c r="B4580" s="20" t="s">
        <v>2003</v>
      </c>
    </row>
    <row r="4581" spans="1:2" x14ac:dyDescent="0.25">
      <c r="A4581" s="138">
        <v>115</v>
      </c>
      <c r="B4581" s="138" t="s">
        <v>2003</v>
      </c>
    </row>
    <row r="4582" spans="1:2" x14ac:dyDescent="0.25">
      <c r="A4582" s="20">
        <v>115</v>
      </c>
      <c r="B4582" s="20" t="s">
        <v>2003</v>
      </c>
    </row>
    <row r="4583" spans="1:2" x14ac:dyDescent="0.25">
      <c r="A4583" s="138">
        <v>115</v>
      </c>
      <c r="B4583" s="138" t="s">
        <v>2003</v>
      </c>
    </row>
    <row r="4584" spans="1:2" x14ac:dyDescent="0.25">
      <c r="A4584" s="20">
        <v>115</v>
      </c>
      <c r="B4584" s="20" t="s">
        <v>2003</v>
      </c>
    </row>
    <row r="4585" spans="1:2" x14ac:dyDescent="0.25">
      <c r="A4585" s="138">
        <v>115</v>
      </c>
      <c r="B4585" s="138" t="s">
        <v>2003</v>
      </c>
    </row>
    <row r="4586" spans="1:2" x14ac:dyDescent="0.25">
      <c r="A4586" s="20">
        <v>115</v>
      </c>
      <c r="B4586" s="20" t="s">
        <v>2003</v>
      </c>
    </row>
    <row r="4587" spans="1:2" x14ac:dyDescent="0.25">
      <c r="A4587" s="138">
        <v>115</v>
      </c>
      <c r="B4587" s="138" t="s">
        <v>2003</v>
      </c>
    </row>
    <row r="4588" spans="1:2" x14ac:dyDescent="0.25">
      <c r="A4588" s="20">
        <v>109</v>
      </c>
      <c r="B4588" s="20" t="s">
        <v>1346</v>
      </c>
    </row>
    <row r="4589" spans="1:2" x14ac:dyDescent="0.25">
      <c r="A4589" s="138">
        <v>109</v>
      </c>
      <c r="B4589" s="138" t="s">
        <v>1346</v>
      </c>
    </row>
    <row r="4590" spans="1:2" x14ac:dyDescent="0.25">
      <c r="A4590" s="20">
        <v>32</v>
      </c>
      <c r="B4590" s="20" t="s">
        <v>693</v>
      </c>
    </row>
    <row r="4591" spans="1:2" x14ac:dyDescent="0.25">
      <c r="A4591" s="138">
        <v>27</v>
      </c>
      <c r="B4591" s="138" t="s">
        <v>655</v>
      </c>
    </row>
    <row r="4592" spans="1:2" x14ac:dyDescent="0.25">
      <c r="A4592" s="20">
        <v>27</v>
      </c>
      <c r="B4592" s="20" t="s">
        <v>655</v>
      </c>
    </row>
    <row r="4593" spans="1:2" x14ac:dyDescent="0.25">
      <c r="A4593" s="138">
        <v>27</v>
      </c>
      <c r="B4593" s="138" t="s">
        <v>655</v>
      </c>
    </row>
    <row r="4594" spans="1:2" x14ac:dyDescent="0.25">
      <c r="A4594" s="20">
        <v>27</v>
      </c>
      <c r="B4594" s="20" t="s">
        <v>655</v>
      </c>
    </row>
    <row r="4595" spans="1:2" x14ac:dyDescent="0.25">
      <c r="A4595" s="138">
        <v>27</v>
      </c>
      <c r="B4595" s="138" t="s">
        <v>655</v>
      </c>
    </row>
    <row r="4596" spans="1:2" x14ac:dyDescent="0.25">
      <c r="A4596" s="20">
        <v>27</v>
      </c>
      <c r="B4596" s="20" t="s">
        <v>655</v>
      </c>
    </row>
    <row r="4597" spans="1:2" x14ac:dyDescent="0.25">
      <c r="A4597" s="138">
        <v>11</v>
      </c>
      <c r="B4597" s="138" t="s">
        <v>638</v>
      </c>
    </row>
    <row r="4598" spans="1:2" x14ac:dyDescent="0.25">
      <c r="A4598" s="20">
        <v>11</v>
      </c>
      <c r="B4598" s="20" t="s">
        <v>638</v>
      </c>
    </row>
    <row r="4599" spans="1:2" x14ac:dyDescent="0.25">
      <c r="A4599" s="138" t="s">
        <v>3658</v>
      </c>
      <c r="B4599" s="138" t="s">
        <v>270</v>
      </c>
    </row>
    <row r="4600" spans="1:2" x14ac:dyDescent="0.25">
      <c r="A4600" s="20" t="s">
        <v>3658</v>
      </c>
      <c r="B4600" s="20" t="s">
        <v>270</v>
      </c>
    </row>
    <row r="4601" spans="1:2" x14ac:dyDescent="0.25">
      <c r="A4601" s="138" t="s">
        <v>6256</v>
      </c>
      <c r="B4601" s="138" t="s">
        <v>1520</v>
      </c>
    </row>
    <row r="4602" spans="1:2" x14ac:dyDescent="0.25">
      <c r="A4602" s="20" t="s">
        <v>6256</v>
      </c>
      <c r="B4602" s="20" t="s">
        <v>1520</v>
      </c>
    </row>
    <row r="4603" spans="1:2" x14ac:dyDescent="0.25">
      <c r="A4603" s="138" t="s">
        <v>6256</v>
      </c>
      <c r="B4603" s="138" t="s">
        <v>1520</v>
      </c>
    </row>
    <row r="4604" spans="1:2" x14ac:dyDescent="0.25">
      <c r="A4604" s="20" t="s">
        <v>6256</v>
      </c>
      <c r="B4604" s="20" t="s">
        <v>1520</v>
      </c>
    </row>
    <row r="4605" spans="1:2" x14ac:dyDescent="0.25">
      <c r="A4605" s="138" t="s">
        <v>6256</v>
      </c>
      <c r="B4605" s="138" t="s">
        <v>1520</v>
      </c>
    </row>
    <row r="4606" spans="1:2" x14ac:dyDescent="0.25">
      <c r="A4606" s="20">
        <v>31</v>
      </c>
      <c r="B4606" s="20" t="s">
        <v>500</v>
      </c>
    </row>
    <row r="4607" spans="1:2" x14ac:dyDescent="0.25">
      <c r="A4607" s="138" t="s">
        <v>6221</v>
      </c>
      <c r="B4607" s="138" t="s">
        <v>337</v>
      </c>
    </row>
    <row r="4608" spans="1:2" x14ac:dyDescent="0.25">
      <c r="A4608" s="20" t="s">
        <v>6221</v>
      </c>
      <c r="B4608" s="20" t="s">
        <v>337</v>
      </c>
    </row>
    <row r="4609" spans="1:2" x14ac:dyDescent="0.25">
      <c r="A4609" s="138" t="s">
        <v>6221</v>
      </c>
      <c r="B4609" s="138" t="s">
        <v>337</v>
      </c>
    </row>
    <row r="4610" spans="1:2" x14ac:dyDescent="0.25">
      <c r="A4610" s="20" t="s">
        <v>6221</v>
      </c>
      <c r="B4610" s="20" t="s">
        <v>337</v>
      </c>
    </row>
    <row r="4611" spans="1:2" x14ac:dyDescent="0.25">
      <c r="A4611" s="138" t="s">
        <v>6221</v>
      </c>
      <c r="B4611" s="138" t="s">
        <v>337</v>
      </c>
    </row>
    <row r="4612" spans="1:2" x14ac:dyDescent="0.25">
      <c r="A4612" s="20" t="s">
        <v>6221</v>
      </c>
      <c r="B4612" s="20" t="s">
        <v>337</v>
      </c>
    </row>
    <row r="4613" spans="1:2" x14ac:dyDescent="0.25">
      <c r="A4613" s="138" t="s">
        <v>6221</v>
      </c>
      <c r="B4613" s="138" t="s">
        <v>337</v>
      </c>
    </row>
    <row r="4614" spans="1:2" x14ac:dyDescent="0.25">
      <c r="A4614" s="20" t="s">
        <v>6221</v>
      </c>
      <c r="B4614" s="20" t="s">
        <v>337</v>
      </c>
    </row>
    <row r="4615" spans="1:2" x14ac:dyDescent="0.25">
      <c r="A4615" s="138" t="s">
        <v>6221</v>
      </c>
      <c r="B4615" s="138" t="s">
        <v>337</v>
      </c>
    </row>
    <row r="4616" spans="1:2" x14ac:dyDescent="0.25">
      <c r="A4616" s="20" t="s">
        <v>6221</v>
      </c>
      <c r="B4616" s="20" t="s">
        <v>337</v>
      </c>
    </row>
    <row r="4617" spans="1:2" x14ac:dyDescent="0.25">
      <c r="A4617" s="138" t="s">
        <v>6221</v>
      </c>
      <c r="B4617" s="138" t="s">
        <v>337</v>
      </c>
    </row>
    <row r="4618" spans="1:2" x14ac:dyDescent="0.25">
      <c r="A4618" s="20" t="s">
        <v>6221</v>
      </c>
      <c r="B4618" s="20" t="s">
        <v>337</v>
      </c>
    </row>
    <row r="4619" spans="1:2" x14ac:dyDescent="0.25">
      <c r="A4619" s="138" t="s">
        <v>6221</v>
      </c>
      <c r="B4619" s="138" t="s">
        <v>337</v>
      </c>
    </row>
    <row r="4620" spans="1:2" x14ac:dyDescent="0.25">
      <c r="A4620" s="20" t="s">
        <v>6221</v>
      </c>
      <c r="B4620" s="20" t="s">
        <v>337</v>
      </c>
    </row>
    <row r="4621" spans="1:2" x14ac:dyDescent="0.25">
      <c r="A4621" s="138" t="s">
        <v>6221</v>
      </c>
      <c r="B4621" s="138" t="s">
        <v>337</v>
      </c>
    </row>
    <row r="4622" spans="1:2" x14ac:dyDescent="0.25">
      <c r="A4622" s="20" t="s">
        <v>6221</v>
      </c>
      <c r="B4622" s="20" t="s">
        <v>337</v>
      </c>
    </row>
    <row r="4623" spans="1:2" x14ac:dyDescent="0.25">
      <c r="A4623" s="138" t="s">
        <v>6221</v>
      </c>
      <c r="B4623" s="138" t="s">
        <v>337</v>
      </c>
    </row>
    <row r="4624" spans="1:2" x14ac:dyDescent="0.25">
      <c r="A4624" s="20" t="s">
        <v>6221</v>
      </c>
      <c r="B4624" s="20" t="s">
        <v>337</v>
      </c>
    </row>
    <row r="4625" spans="1:2" x14ac:dyDescent="0.25">
      <c r="A4625" s="138" t="s">
        <v>6221</v>
      </c>
      <c r="B4625" s="138" t="s">
        <v>337</v>
      </c>
    </row>
    <row r="4626" spans="1:2" x14ac:dyDescent="0.25">
      <c r="A4626" s="20" t="s">
        <v>6221</v>
      </c>
      <c r="B4626" s="20" t="s">
        <v>337</v>
      </c>
    </row>
    <row r="4627" spans="1:2" x14ac:dyDescent="0.25">
      <c r="A4627" s="138" t="s">
        <v>6221</v>
      </c>
      <c r="B4627" s="138" t="s">
        <v>337</v>
      </c>
    </row>
    <row r="4628" spans="1:2" x14ac:dyDescent="0.25">
      <c r="A4628" s="20" t="s">
        <v>6221</v>
      </c>
      <c r="B4628" s="20" t="s">
        <v>337</v>
      </c>
    </row>
    <row r="4629" spans="1:2" x14ac:dyDescent="0.25">
      <c r="A4629" s="138" t="s">
        <v>6221</v>
      </c>
      <c r="B4629" s="138" t="s">
        <v>337</v>
      </c>
    </row>
    <row r="4630" spans="1:2" x14ac:dyDescent="0.25">
      <c r="A4630" s="20" t="s">
        <v>6221</v>
      </c>
      <c r="B4630" s="20" t="s">
        <v>337</v>
      </c>
    </row>
    <row r="4631" spans="1:2" x14ac:dyDescent="0.25">
      <c r="A4631" s="138" t="s">
        <v>6221</v>
      </c>
      <c r="B4631" s="138" t="s">
        <v>337</v>
      </c>
    </row>
    <row r="4632" spans="1:2" x14ac:dyDescent="0.25">
      <c r="A4632" s="20" t="s">
        <v>6221</v>
      </c>
      <c r="B4632" s="20" t="s">
        <v>337</v>
      </c>
    </row>
    <row r="4633" spans="1:2" x14ac:dyDescent="0.25">
      <c r="A4633" s="138">
        <v>115</v>
      </c>
      <c r="B4633" s="138" t="s">
        <v>2003</v>
      </c>
    </row>
    <row r="4634" spans="1:2" x14ac:dyDescent="0.25">
      <c r="A4634" s="20">
        <v>115</v>
      </c>
      <c r="B4634" s="20" t="s">
        <v>2003</v>
      </c>
    </row>
    <row r="4635" spans="1:2" x14ac:dyDescent="0.25">
      <c r="A4635" s="138">
        <v>115</v>
      </c>
      <c r="B4635" s="138" t="s">
        <v>2003</v>
      </c>
    </row>
    <row r="4636" spans="1:2" x14ac:dyDescent="0.25">
      <c r="A4636" s="20">
        <v>115</v>
      </c>
      <c r="B4636" s="20" t="s">
        <v>2003</v>
      </c>
    </row>
    <row r="4637" spans="1:2" x14ac:dyDescent="0.25">
      <c r="A4637" s="138">
        <v>115</v>
      </c>
      <c r="B4637" s="138" t="s">
        <v>2003</v>
      </c>
    </row>
    <row r="4638" spans="1:2" x14ac:dyDescent="0.25">
      <c r="A4638" s="20">
        <v>115</v>
      </c>
      <c r="B4638" s="20" t="s">
        <v>2003</v>
      </c>
    </row>
    <row r="4639" spans="1:2" x14ac:dyDescent="0.25">
      <c r="A4639" s="138">
        <v>115</v>
      </c>
      <c r="B4639" s="138" t="s">
        <v>2003</v>
      </c>
    </row>
    <row r="4640" spans="1:2" x14ac:dyDescent="0.25">
      <c r="A4640" s="20">
        <v>115</v>
      </c>
      <c r="B4640" s="20" t="s">
        <v>2003</v>
      </c>
    </row>
    <row r="4641" spans="1:2" x14ac:dyDescent="0.25">
      <c r="A4641" s="138">
        <v>115</v>
      </c>
      <c r="B4641" s="138" t="s">
        <v>2003</v>
      </c>
    </row>
    <row r="4642" spans="1:2" x14ac:dyDescent="0.25">
      <c r="A4642" s="20">
        <v>115</v>
      </c>
      <c r="B4642" s="20" t="s">
        <v>2003</v>
      </c>
    </row>
    <row r="4643" spans="1:2" x14ac:dyDescent="0.25">
      <c r="A4643" s="138">
        <v>115</v>
      </c>
      <c r="B4643" s="138" t="s">
        <v>2003</v>
      </c>
    </row>
    <row r="4644" spans="1:2" x14ac:dyDescent="0.25">
      <c r="A4644" s="20">
        <v>115</v>
      </c>
      <c r="B4644" s="20" t="s">
        <v>2003</v>
      </c>
    </row>
    <row r="4645" spans="1:2" x14ac:dyDescent="0.25">
      <c r="A4645" s="138">
        <v>115</v>
      </c>
      <c r="B4645" s="138" t="s">
        <v>2003</v>
      </c>
    </row>
    <row r="4646" spans="1:2" x14ac:dyDescent="0.25">
      <c r="A4646" s="20">
        <v>115</v>
      </c>
      <c r="B4646" s="20" t="s">
        <v>2003</v>
      </c>
    </row>
    <row r="4647" spans="1:2" x14ac:dyDescent="0.25">
      <c r="A4647" s="138">
        <v>115</v>
      </c>
      <c r="B4647" s="138" t="s">
        <v>2003</v>
      </c>
    </row>
    <row r="4648" spans="1:2" x14ac:dyDescent="0.25">
      <c r="A4648" s="20">
        <v>115</v>
      </c>
      <c r="B4648" s="20" t="s">
        <v>2003</v>
      </c>
    </row>
    <row r="4649" spans="1:2" x14ac:dyDescent="0.25">
      <c r="A4649" s="138">
        <v>115</v>
      </c>
      <c r="B4649" s="138" t="s">
        <v>2003</v>
      </c>
    </row>
    <row r="4650" spans="1:2" x14ac:dyDescent="0.25">
      <c r="A4650" s="20">
        <v>115</v>
      </c>
      <c r="B4650" s="20" t="s">
        <v>2003</v>
      </c>
    </row>
    <row r="4651" spans="1:2" x14ac:dyDescent="0.25">
      <c r="A4651" s="138">
        <v>115</v>
      </c>
      <c r="B4651" s="138" t="s">
        <v>2003</v>
      </c>
    </row>
    <row r="4652" spans="1:2" x14ac:dyDescent="0.25">
      <c r="A4652" s="20">
        <v>115</v>
      </c>
      <c r="B4652" s="20" t="s">
        <v>2003</v>
      </c>
    </row>
    <row r="4653" spans="1:2" x14ac:dyDescent="0.25">
      <c r="A4653" s="138">
        <v>115</v>
      </c>
      <c r="B4653" s="138" t="s">
        <v>2003</v>
      </c>
    </row>
    <row r="4654" spans="1:2" x14ac:dyDescent="0.25">
      <c r="A4654" s="20">
        <v>109</v>
      </c>
      <c r="B4654" s="20" t="s">
        <v>1346</v>
      </c>
    </row>
    <row r="4655" spans="1:2" x14ac:dyDescent="0.25">
      <c r="A4655" s="138">
        <v>109</v>
      </c>
      <c r="B4655" s="138" t="s">
        <v>1346</v>
      </c>
    </row>
    <row r="4656" spans="1:2" x14ac:dyDescent="0.25">
      <c r="A4656" s="20">
        <v>109</v>
      </c>
      <c r="B4656" s="20" t="s">
        <v>1346</v>
      </c>
    </row>
    <row r="4657" spans="1:2" x14ac:dyDescent="0.25">
      <c r="A4657" s="138">
        <v>109</v>
      </c>
      <c r="B4657" s="138" t="s">
        <v>1346</v>
      </c>
    </row>
    <row r="4658" spans="1:2" x14ac:dyDescent="0.25">
      <c r="A4658" s="20">
        <v>109</v>
      </c>
      <c r="B4658" s="20" t="s">
        <v>1346</v>
      </c>
    </row>
    <row r="4659" spans="1:2" x14ac:dyDescent="0.25">
      <c r="A4659" s="138">
        <v>109</v>
      </c>
      <c r="B4659" s="138" t="s">
        <v>1346</v>
      </c>
    </row>
    <row r="4660" spans="1:2" x14ac:dyDescent="0.25">
      <c r="A4660" s="20">
        <v>27</v>
      </c>
      <c r="B4660" s="20" t="s">
        <v>655</v>
      </c>
    </row>
    <row r="4661" spans="1:2" x14ac:dyDescent="0.25">
      <c r="A4661" s="138">
        <v>27</v>
      </c>
      <c r="B4661" s="138" t="s">
        <v>655</v>
      </c>
    </row>
    <row r="4662" spans="1:2" x14ac:dyDescent="0.25">
      <c r="A4662" s="20">
        <v>27</v>
      </c>
      <c r="B4662" s="20" t="s">
        <v>655</v>
      </c>
    </row>
    <row r="4663" spans="1:2" x14ac:dyDescent="0.25">
      <c r="A4663" s="20">
        <v>27</v>
      </c>
      <c r="B4663" s="20" t="s">
        <v>655</v>
      </c>
    </row>
    <row r="4664" spans="1:2" x14ac:dyDescent="0.25">
      <c r="A4664" s="20">
        <v>27</v>
      </c>
      <c r="B4664" s="20" t="s">
        <v>655</v>
      </c>
    </row>
    <row r="4665" spans="1:2" x14ac:dyDescent="0.25">
      <c r="A4665" s="20">
        <v>27</v>
      </c>
      <c r="B4665" s="20" t="s">
        <v>655</v>
      </c>
    </row>
    <row r="4666" spans="1:2" x14ac:dyDescent="0.25">
      <c r="A4666" s="20">
        <v>27</v>
      </c>
      <c r="B4666" s="20" t="s">
        <v>655</v>
      </c>
    </row>
    <row r="4667" spans="1:2" x14ac:dyDescent="0.25">
      <c r="A4667" s="20">
        <v>27</v>
      </c>
      <c r="B4667" s="20" t="s">
        <v>655</v>
      </c>
    </row>
    <row r="4668" spans="1:2" x14ac:dyDescent="0.25">
      <c r="A4668" s="138">
        <v>27</v>
      </c>
      <c r="B4668" s="138" t="s">
        <v>655</v>
      </c>
    </row>
    <row r="4669" spans="1:2" x14ac:dyDescent="0.25">
      <c r="A4669" s="20">
        <v>27</v>
      </c>
      <c r="B4669" s="20" t="s">
        <v>655</v>
      </c>
    </row>
    <row r="4670" spans="1:2" x14ac:dyDescent="0.25">
      <c r="A4670" s="20">
        <v>27</v>
      </c>
      <c r="B4670" s="20" t="s">
        <v>655</v>
      </c>
    </row>
    <row r="4671" spans="1:2" x14ac:dyDescent="0.25">
      <c r="A4671" s="138">
        <v>16</v>
      </c>
      <c r="B4671" s="138" t="s">
        <v>2005</v>
      </c>
    </row>
    <row r="4672" spans="1:2" x14ac:dyDescent="0.25">
      <c r="A4672" s="20">
        <v>11</v>
      </c>
      <c r="B4672" s="20" t="s">
        <v>638</v>
      </c>
    </row>
    <row r="4673" spans="1:2" x14ac:dyDescent="0.25">
      <c r="A4673" s="138">
        <v>11</v>
      </c>
      <c r="B4673" s="138" t="s">
        <v>638</v>
      </c>
    </row>
    <row r="4674" spans="1:2" x14ac:dyDescent="0.25">
      <c r="A4674" s="20" t="s">
        <v>3658</v>
      </c>
      <c r="B4674" s="20" t="s">
        <v>270</v>
      </c>
    </row>
    <row r="4675" spans="1:2" x14ac:dyDescent="0.25">
      <c r="A4675" s="138">
        <v>11</v>
      </c>
      <c r="B4675" s="138" t="s">
        <v>638</v>
      </c>
    </row>
    <row r="4676" spans="1:2" x14ac:dyDescent="0.25">
      <c r="A4676" s="20">
        <v>31</v>
      </c>
      <c r="B4676" s="20" t="s">
        <v>500</v>
      </c>
    </row>
    <row r="4677" spans="1:2" x14ac:dyDescent="0.25">
      <c r="A4677" s="138">
        <v>31</v>
      </c>
      <c r="B4677" s="138" t="s">
        <v>500</v>
      </c>
    </row>
    <row r="4678" spans="1:2" x14ac:dyDescent="0.25">
      <c r="A4678" s="20">
        <v>31</v>
      </c>
      <c r="B4678" s="20" t="s">
        <v>500</v>
      </c>
    </row>
    <row r="4679" spans="1:2" x14ac:dyDescent="0.25">
      <c r="A4679" s="138">
        <v>31</v>
      </c>
      <c r="B4679" s="138" t="s">
        <v>500</v>
      </c>
    </row>
    <row r="4680" spans="1:2" x14ac:dyDescent="0.25">
      <c r="A4680" s="20">
        <v>31</v>
      </c>
      <c r="B4680" s="20" t="s">
        <v>500</v>
      </c>
    </row>
    <row r="4681" spans="1:2" x14ac:dyDescent="0.25">
      <c r="A4681" s="138">
        <v>31</v>
      </c>
      <c r="B4681" s="138" t="s">
        <v>500</v>
      </c>
    </row>
    <row r="4682" spans="1:2" x14ac:dyDescent="0.25">
      <c r="A4682" s="20">
        <v>31</v>
      </c>
      <c r="B4682" s="20" t="s">
        <v>500</v>
      </c>
    </row>
    <row r="4683" spans="1:2" x14ac:dyDescent="0.25">
      <c r="A4683" s="138">
        <v>31</v>
      </c>
      <c r="B4683" s="138" t="s">
        <v>500</v>
      </c>
    </row>
    <row r="4684" spans="1:2" x14ac:dyDescent="0.25">
      <c r="A4684" s="20">
        <v>97</v>
      </c>
      <c r="B4684" s="20" t="s">
        <v>206</v>
      </c>
    </row>
    <row r="4685" spans="1:2" x14ac:dyDescent="0.25">
      <c r="A4685" s="138">
        <v>252</v>
      </c>
      <c r="B4685" s="138" t="s">
        <v>615</v>
      </c>
    </row>
    <row r="4686" spans="1:2" x14ac:dyDescent="0.25">
      <c r="A4686" s="20">
        <v>252</v>
      </c>
      <c r="B4686" s="20" t="s">
        <v>615</v>
      </c>
    </row>
    <row r="4687" spans="1:2" x14ac:dyDescent="0.25">
      <c r="A4687" s="20">
        <v>109</v>
      </c>
      <c r="B4687" s="20" t="s">
        <v>1346</v>
      </c>
    </row>
    <row r="4688" spans="1:2" x14ac:dyDescent="0.25">
      <c r="A4688" s="138">
        <v>109</v>
      </c>
      <c r="B4688" s="138" t="s">
        <v>1346</v>
      </c>
    </row>
    <row r="4689" spans="1:2" x14ac:dyDescent="0.25">
      <c r="A4689" s="20">
        <v>109</v>
      </c>
      <c r="B4689" s="20" t="s">
        <v>1346</v>
      </c>
    </row>
    <row r="4690" spans="1:2" x14ac:dyDescent="0.25">
      <c r="A4690" s="138">
        <v>109</v>
      </c>
      <c r="B4690" s="138" t="s">
        <v>1346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FF61A-5107-4BE2-B3C6-451A43585C46}">
  <dimension ref="A1:B298"/>
  <sheetViews>
    <sheetView topLeftCell="B89" zoomScale="115" zoomScaleNormal="115" workbookViewId="0">
      <selection activeCell="A103" sqref="A103:B103"/>
    </sheetView>
  </sheetViews>
  <sheetFormatPr defaultRowHeight="15" x14ac:dyDescent="0.25"/>
  <cols>
    <col min="1" max="1" width="8.5703125" bestFit="1" customWidth="1"/>
    <col min="2" max="2" width="255.7109375" bestFit="1" customWidth="1"/>
  </cols>
  <sheetData>
    <row r="1" spans="1:2" x14ac:dyDescent="0.25">
      <c r="A1" t="s">
        <v>3777</v>
      </c>
      <c r="B1" t="s">
        <v>7836</v>
      </c>
    </row>
    <row r="2" spans="1:2" x14ac:dyDescent="0.25">
      <c r="A2" s="40">
        <v>1</v>
      </c>
      <c r="B2" s="40" t="s">
        <v>145</v>
      </c>
    </row>
    <row r="3" spans="1:2" x14ac:dyDescent="0.25">
      <c r="A3" s="40">
        <v>2</v>
      </c>
      <c r="B3" s="40" t="s">
        <v>146</v>
      </c>
    </row>
    <row r="4" spans="1:2" x14ac:dyDescent="0.25">
      <c r="A4" s="40">
        <v>3</v>
      </c>
      <c r="B4" s="40" t="s">
        <v>147</v>
      </c>
    </row>
    <row r="5" spans="1:2" x14ac:dyDescent="0.25">
      <c r="A5" s="40">
        <v>4</v>
      </c>
      <c r="B5" s="40" t="s">
        <v>8421</v>
      </c>
    </row>
    <row r="6" spans="1:2" x14ac:dyDescent="0.25">
      <c r="A6" s="40">
        <v>5</v>
      </c>
      <c r="B6" s="40" t="s">
        <v>8422</v>
      </c>
    </row>
    <row r="7" spans="1:2" x14ac:dyDescent="0.25">
      <c r="A7" s="40">
        <v>6</v>
      </c>
      <c r="B7" s="40" t="s">
        <v>8423</v>
      </c>
    </row>
    <row r="8" spans="1:2" x14ac:dyDescent="0.25">
      <c r="A8" s="40">
        <v>7</v>
      </c>
      <c r="B8" s="40" t="s">
        <v>8424</v>
      </c>
    </row>
    <row r="9" spans="1:2" x14ac:dyDescent="0.25">
      <c r="A9" s="40">
        <v>8</v>
      </c>
      <c r="B9" s="40" t="s">
        <v>8425</v>
      </c>
    </row>
    <row r="10" spans="1:2" x14ac:dyDescent="0.25">
      <c r="A10" s="40">
        <v>9</v>
      </c>
      <c r="B10" s="40" t="s">
        <v>8426</v>
      </c>
    </row>
    <row r="11" spans="1:2" x14ac:dyDescent="0.25">
      <c r="A11" s="40">
        <v>10</v>
      </c>
      <c r="B11" s="40" t="s">
        <v>8427</v>
      </c>
    </row>
    <row r="12" spans="1:2" x14ac:dyDescent="0.25">
      <c r="A12" s="40">
        <v>11</v>
      </c>
      <c r="B12" s="40" t="s">
        <v>8428</v>
      </c>
    </row>
    <row r="13" spans="1:2" x14ac:dyDescent="0.25">
      <c r="A13" s="40">
        <v>12</v>
      </c>
      <c r="B13" s="40" t="s">
        <v>8429</v>
      </c>
    </row>
    <row r="14" spans="1:2" x14ac:dyDescent="0.25">
      <c r="A14" s="40">
        <v>13</v>
      </c>
      <c r="B14" s="40" t="s">
        <v>8430</v>
      </c>
    </row>
    <row r="15" spans="1:2" x14ac:dyDescent="0.25">
      <c r="A15" s="40">
        <v>14</v>
      </c>
      <c r="B15" s="40" t="s">
        <v>8431</v>
      </c>
    </row>
    <row r="16" spans="1:2" x14ac:dyDescent="0.25">
      <c r="A16" s="40">
        <v>16</v>
      </c>
      <c r="B16" s="40" t="s">
        <v>8432</v>
      </c>
    </row>
    <row r="17" spans="1:2" x14ac:dyDescent="0.25">
      <c r="A17" s="40">
        <v>18</v>
      </c>
      <c r="B17" s="40" t="s">
        <v>8433</v>
      </c>
    </row>
    <row r="18" spans="1:2" x14ac:dyDescent="0.25">
      <c r="A18" s="40">
        <v>19</v>
      </c>
      <c r="B18" s="40" t="s">
        <v>8434</v>
      </c>
    </row>
    <row r="19" spans="1:2" x14ac:dyDescent="0.25">
      <c r="A19" s="40">
        <v>20</v>
      </c>
      <c r="B19" s="40" t="s">
        <v>8435</v>
      </c>
    </row>
    <row r="20" spans="1:2" x14ac:dyDescent="0.25">
      <c r="A20" s="40">
        <v>21</v>
      </c>
      <c r="B20" s="40" t="s">
        <v>8436</v>
      </c>
    </row>
    <row r="21" spans="1:2" x14ac:dyDescent="0.25">
      <c r="A21" s="40">
        <v>22</v>
      </c>
      <c r="B21" s="40" t="s">
        <v>8437</v>
      </c>
    </row>
    <row r="22" spans="1:2" x14ac:dyDescent="0.25">
      <c r="A22" s="40">
        <v>23</v>
      </c>
      <c r="B22" s="40" t="s">
        <v>8438</v>
      </c>
    </row>
    <row r="23" spans="1:2" x14ac:dyDescent="0.25">
      <c r="A23" s="40">
        <v>24</v>
      </c>
      <c r="B23" s="40" t="s">
        <v>8439</v>
      </c>
    </row>
    <row r="24" spans="1:2" x14ac:dyDescent="0.25">
      <c r="A24" s="40">
        <v>26</v>
      </c>
      <c r="B24" s="40" t="s">
        <v>148</v>
      </c>
    </row>
    <row r="25" spans="1:2" x14ac:dyDescent="0.25">
      <c r="A25" s="40">
        <v>27</v>
      </c>
      <c r="B25" s="40" t="s">
        <v>8440</v>
      </c>
    </row>
    <row r="26" spans="1:2" x14ac:dyDescent="0.25">
      <c r="A26" s="40">
        <v>29</v>
      </c>
      <c r="B26" s="40" t="s">
        <v>8441</v>
      </c>
    </row>
    <row r="27" spans="1:2" x14ac:dyDescent="0.25">
      <c r="A27" s="40">
        <v>31</v>
      </c>
      <c r="B27" s="40" t="s">
        <v>8442</v>
      </c>
    </row>
    <row r="28" spans="1:2" x14ac:dyDescent="0.25">
      <c r="A28" s="40">
        <v>32</v>
      </c>
      <c r="B28" s="40" t="s">
        <v>8443</v>
      </c>
    </row>
    <row r="29" spans="1:2" x14ac:dyDescent="0.25">
      <c r="A29" s="40">
        <v>33</v>
      </c>
      <c r="B29" s="40" t="s">
        <v>8444</v>
      </c>
    </row>
    <row r="30" spans="1:2" x14ac:dyDescent="0.25">
      <c r="A30" s="40">
        <v>34</v>
      </c>
      <c r="B30" s="40" t="s">
        <v>8445</v>
      </c>
    </row>
    <row r="31" spans="1:2" x14ac:dyDescent="0.25">
      <c r="A31" s="40">
        <v>35</v>
      </c>
      <c r="B31" s="40" t="s">
        <v>8446</v>
      </c>
    </row>
    <row r="32" spans="1:2" x14ac:dyDescent="0.25">
      <c r="A32" s="40">
        <v>39</v>
      </c>
      <c r="B32" s="40" t="s">
        <v>149</v>
      </c>
    </row>
    <row r="33" spans="1:2" x14ac:dyDescent="0.25">
      <c r="A33" s="40">
        <v>40</v>
      </c>
      <c r="B33" s="40" t="s">
        <v>8447</v>
      </c>
    </row>
    <row r="34" spans="1:2" x14ac:dyDescent="0.25">
      <c r="A34" s="40">
        <v>44</v>
      </c>
      <c r="B34" s="40" t="s">
        <v>8448</v>
      </c>
    </row>
    <row r="35" spans="1:2" x14ac:dyDescent="0.25">
      <c r="A35" s="40">
        <v>45</v>
      </c>
      <c r="B35" s="40" t="s">
        <v>8449</v>
      </c>
    </row>
    <row r="36" spans="1:2" x14ac:dyDescent="0.25">
      <c r="A36" s="40">
        <v>49</v>
      </c>
      <c r="B36" s="40" t="s">
        <v>8450</v>
      </c>
    </row>
    <row r="37" spans="1:2" x14ac:dyDescent="0.25">
      <c r="A37" s="40">
        <v>50</v>
      </c>
      <c r="B37" s="40" t="s">
        <v>8451</v>
      </c>
    </row>
    <row r="38" spans="1:2" x14ac:dyDescent="0.25">
      <c r="A38" s="40">
        <v>51</v>
      </c>
      <c r="B38" s="40" t="s">
        <v>8452</v>
      </c>
    </row>
    <row r="39" spans="1:2" x14ac:dyDescent="0.25">
      <c r="A39" s="40">
        <v>53</v>
      </c>
      <c r="B39" s="40" t="s">
        <v>8453</v>
      </c>
    </row>
    <row r="40" spans="1:2" x14ac:dyDescent="0.25">
      <c r="A40" s="40">
        <v>54</v>
      </c>
      <c r="B40" s="40" t="s">
        <v>8454</v>
      </c>
    </row>
    <row r="41" spans="1:2" x14ac:dyDescent="0.25">
      <c r="A41" s="40">
        <v>55</v>
      </c>
      <c r="B41" s="40" t="s">
        <v>8455</v>
      </c>
    </row>
    <row r="42" spans="1:2" x14ac:dyDescent="0.25">
      <c r="A42" s="40">
        <v>56</v>
      </c>
      <c r="B42" s="40" t="s">
        <v>8456</v>
      </c>
    </row>
    <row r="43" spans="1:2" x14ac:dyDescent="0.25">
      <c r="A43" s="40">
        <v>58</v>
      </c>
      <c r="B43" s="40" t="s">
        <v>8457</v>
      </c>
    </row>
    <row r="44" spans="1:2" x14ac:dyDescent="0.25">
      <c r="A44" s="40">
        <v>59</v>
      </c>
      <c r="B44" s="40" t="s">
        <v>8458</v>
      </c>
    </row>
    <row r="45" spans="1:2" x14ac:dyDescent="0.25">
      <c r="A45" s="40">
        <v>60</v>
      </c>
      <c r="B45" s="40" t="s">
        <v>8459</v>
      </c>
    </row>
    <row r="46" spans="1:2" x14ac:dyDescent="0.25">
      <c r="A46" s="40">
        <v>61</v>
      </c>
      <c r="B46" s="40" t="s">
        <v>8460</v>
      </c>
    </row>
    <row r="47" spans="1:2" x14ac:dyDescent="0.25">
      <c r="A47" s="40">
        <v>66</v>
      </c>
      <c r="B47" s="40" t="s">
        <v>8461</v>
      </c>
    </row>
    <row r="48" spans="1:2" x14ac:dyDescent="0.25">
      <c r="A48" s="40">
        <v>69</v>
      </c>
      <c r="B48" s="40" t="s">
        <v>8462</v>
      </c>
    </row>
    <row r="49" spans="1:2" x14ac:dyDescent="0.25">
      <c r="A49" s="40">
        <v>70</v>
      </c>
      <c r="B49" s="40" t="s">
        <v>8463</v>
      </c>
    </row>
    <row r="50" spans="1:2" x14ac:dyDescent="0.25">
      <c r="A50" s="40">
        <v>74</v>
      </c>
      <c r="B50" s="40" t="s">
        <v>8464</v>
      </c>
    </row>
    <row r="51" spans="1:2" x14ac:dyDescent="0.25">
      <c r="A51" s="40">
        <v>75</v>
      </c>
      <c r="B51" s="40" t="s">
        <v>8465</v>
      </c>
    </row>
    <row r="52" spans="1:2" x14ac:dyDescent="0.25">
      <c r="A52" s="40">
        <v>76</v>
      </c>
      <c r="B52" s="40" t="s">
        <v>8466</v>
      </c>
    </row>
    <row r="53" spans="1:2" x14ac:dyDescent="0.25">
      <c r="A53" s="40">
        <v>78</v>
      </c>
      <c r="B53" s="40" t="s">
        <v>8467</v>
      </c>
    </row>
    <row r="54" spans="1:2" x14ac:dyDescent="0.25">
      <c r="A54" s="40">
        <v>85</v>
      </c>
      <c r="B54" s="40" t="s">
        <v>8468</v>
      </c>
    </row>
    <row r="55" spans="1:2" x14ac:dyDescent="0.25">
      <c r="A55" s="40">
        <v>89</v>
      </c>
      <c r="B55" s="40" t="s">
        <v>8469</v>
      </c>
    </row>
    <row r="56" spans="1:2" x14ac:dyDescent="0.25">
      <c r="A56" s="40">
        <v>90</v>
      </c>
      <c r="B56" s="40" t="s">
        <v>8470</v>
      </c>
    </row>
    <row r="57" spans="1:2" x14ac:dyDescent="0.25">
      <c r="A57" s="40">
        <v>91</v>
      </c>
      <c r="B57" s="40" t="s">
        <v>8471</v>
      </c>
    </row>
    <row r="58" spans="1:2" x14ac:dyDescent="0.25">
      <c r="A58" s="40">
        <v>94</v>
      </c>
      <c r="B58" s="40" t="s">
        <v>8472</v>
      </c>
    </row>
    <row r="59" spans="1:2" x14ac:dyDescent="0.25">
      <c r="A59" s="40">
        <v>95</v>
      </c>
      <c r="B59" s="40" t="s">
        <v>8473</v>
      </c>
    </row>
    <row r="60" spans="1:2" x14ac:dyDescent="0.25">
      <c r="A60" s="40">
        <v>96</v>
      </c>
      <c r="B60" s="40" t="s">
        <v>8474</v>
      </c>
    </row>
    <row r="61" spans="1:2" x14ac:dyDescent="0.25">
      <c r="A61" s="40">
        <v>97</v>
      </c>
      <c r="B61" s="40" t="s">
        <v>8475</v>
      </c>
    </row>
    <row r="62" spans="1:2" x14ac:dyDescent="0.25">
      <c r="A62" s="40">
        <v>100</v>
      </c>
      <c r="B62" s="40" t="s">
        <v>8476</v>
      </c>
    </row>
    <row r="63" spans="1:2" x14ac:dyDescent="0.25">
      <c r="A63" s="40">
        <v>101</v>
      </c>
      <c r="B63" s="40" t="s">
        <v>8477</v>
      </c>
    </row>
    <row r="64" spans="1:2" x14ac:dyDescent="0.25">
      <c r="A64" s="40">
        <v>102</v>
      </c>
      <c r="B64" s="40" t="s">
        <v>8478</v>
      </c>
    </row>
    <row r="65" spans="1:2" x14ac:dyDescent="0.25">
      <c r="A65" s="40">
        <v>103</v>
      </c>
      <c r="B65" s="40" t="s">
        <v>8479</v>
      </c>
    </row>
    <row r="66" spans="1:2" x14ac:dyDescent="0.25">
      <c r="A66" s="40">
        <v>104</v>
      </c>
      <c r="B66" s="40" t="s">
        <v>8480</v>
      </c>
    </row>
    <row r="67" spans="1:2" x14ac:dyDescent="0.25">
      <c r="A67" s="40">
        <v>105</v>
      </c>
      <c r="B67" s="40" t="s">
        <v>8481</v>
      </c>
    </row>
    <row r="68" spans="1:2" x14ac:dyDescent="0.25">
      <c r="A68" s="40">
        <v>106</v>
      </c>
      <c r="B68" s="40" t="s">
        <v>8482</v>
      </c>
    </row>
    <row r="69" spans="1:2" x14ac:dyDescent="0.25">
      <c r="A69" s="40">
        <v>107</v>
      </c>
      <c r="B69" s="40" t="s">
        <v>8483</v>
      </c>
    </row>
    <row r="70" spans="1:2" x14ac:dyDescent="0.25">
      <c r="A70" s="40">
        <v>108</v>
      </c>
      <c r="B70" s="40" t="s">
        <v>8484</v>
      </c>
    </row>
    <row r="71" spans="1:2" x14ac:dyDescent="0.25">
      <c r="A71" s="40">
        <v>109</v>
      </c>
      <c r="B71" s="40" t="s">
        <v>150</v>
      </c>
    </row>
    <row r="72" spans="1:2" x14ac:dyDescent="0.25">
      <c r="A72" s="40">
        <v>110</v>
      </c>
      <c r="B72" s="40" t="s">
        <v>8485</v>
      </c>
    </row>
    <row r="73" spans="1:2" x14ac:dyDescent="0.25">
      <c r="A73" s="40">
        <v>111</v>
      </c>
      <c r="B73" s="40" t="s">
        <v>8486</v>
      </c>
    </row>
    <row r="74" spans="1:2" x14ac:dyDescent="0.25">
      <c r="A74" s="40">
        <v>112</v>
      </c>
      <c r="B74" s="40" t="s">
        <v>8487</v>
      </c>
    </row>
    <row r="75" spans="1:2" x14ac:dyDescent="0.25">
      <c r="A75" s="40">
        <v>114</v>
      </c>
      <c r="B75" s="40" t="s">
        <v>8488</v>
      </c>
    </row>
    <row r="76" spans="1:2" x14ac:dyDescent="0.25">
      <c r="A76" s="40">
        <v>115</v>
      </c>
      <c r="B76" s="40" t="s">
        <v>151</v>
      </c>
    </row>
    <row r="77" spans="1:2" x14ac:dyDescent="0.25">
      <c r="A77" s="40">
        <v>116</v>
      </c>
      <c r="B77" s="40" t="s">
        <v>8489</v>
      </c>
    </row>
    <row r="78" spans="1:2" x14ac:dyDescent="0.25">
      <c r="A78" s="40">
        <v>117</v>
      </c>
      <c r="B78" s="40" t="s">
        <v>8490</v>
      </c>
    </row>
    <row r="79" spans="1:2" x14ac:dyDescent="0.25">
      <c r="A79" s="40">
        <v>118</v>
      </c>
      <c r="B79" s="40" t="s">
        <v>8491</v>
      </c>
    </row>
    <row r="80" spans="1:2" x14ac:dyDescent="0.25">
      <c r="A80" s="40">
        <v>119</v>
      </c>
      <c r="B80" s="40" t="s">
        <v>8492</v>
      </c>
    </row>
    <row r="81" spans="1:2" x14ac:dyDescent="0.25">
      <c r="A81" s="40">
        <v>121</v>
      </c>
      <c r="B81" s="40" t="s">
        <v>8493</v>
      </c>
    </row>
    <row r="82" spans="1:2" x14ac:dyDescent="0.25">
      <c r="A82" s="40">
        <v>122</v>
      </c>
      <c r="B82" s="40" t="s">
        <v>8494</v>
      </c>
    </row>
    <row r="83" spans="1:2" x14ac:dyDescent="0.25">
      <c r="A83" s="40">
        <v>128</v>
      </c>
      <c r="B83" s="40" t="s">
        <v>8495</v>
      </c>
    </row>
    <row r="84" spans="1:2" x14ac:dyDescent="0.25">
      <c r="A84" s="40">
        <v>129</v>
      </c>
      <c r="B84" s="40" t="s">
        <v>8496</v>
      </c>
    </row>
    <row r="85" spans="1:2" x14ac:dyDescent="0.25">
      <c r="A85" s="40">
        <v>130</v>
      </c>
      <c r="B85" s="40" t="s">
        <v>8497</v>
      </c>
    </row>
    <row r="86" spans="1:2" x14ac:dyDescent="0.25">
      <c r="A86" s="40">
        <v>131</v>
      </c>
      <c r="B86" s="40" t="s">
        <v>8498</v>
      </c>
    </row>
    <row r="87" spans="1:2" x14ac:dyDescent="0.25">
      <c r="A87" s="40">
        <v>132</v>
      </c>
      <c r="B87" s="40" t="s">
        <v>8499</v>
      </c>
    </row>
    <row r="88" spans="1:2" x14ac:dyDescent="0.25">
      <c r="A88" s="40">
        <v>133</v>
      </c>
      <c r="B88" s="40" t="s">
        <v>8500</v>
      </c>
    </row>
    <row r="89" spans="1:2" x14ac:dyDescent="0.25">
      <c r="A89" s="40">
        <v>134</v>
      </c>
      <c r="B89" s="40" t="s">
        <v>8501</v>
      </c>
    </row>
    <row r="90" spans="1:2" x14ac:dyDescent="0.25">
      <c r="A90" s="40">
        <v>135</v>
      </c>
      <c r="B90" s="40" t="s">
        <v>8502</v>
      </c>
    </row>
    <row r="91" spans="1:2" x14ac:dyDescent="0.25">
      <c r="A91" s="40">
        <v>136</v>
      </c>
      <c r="B91" s="40" t="s">
        <v>8503</v>
      </c>
    </row>
    <row r="92" spans="1:2" x14ac:dyDescent="0.25">
      <c r="A92" s="40">
        <v>137</v>
      </c>
      <c r="B92" s="40" t="s">
        <v>8504</v>
      </c>
    </row>
    <row r="93" spans="1:2" x14ac:dyDescent="0.25">
      <c r="A93" s="40">
        <v>139</v>
      </c>
      <c r="B93" s="40" t="s">
        <v>8505</v>
      </c>
    </row>
    <row r="94" spans="1:2" x14ac:dyDescent="0.25">
      <c r="A94" s="40">
        <v>140</v>
      </c>
      <c r="B94" s="40" t="s">
        <v>8506</v>
      </c>
    </row>
    <row r="95" spans="1:2" x14ac:dyDescent="0.25">
      <c r="A95" s="40">
        <v>142</v>
      </c>
      <c r="B95" s="40" t="s">
        <v>8507</v>
      </c>
    </row>
    <row r="96" spans="1:2" x14ac:dyDescent="0.25">
      <c r="A96" s="40">
        <v>143</v>
      </c>
      <c r="B96" s="40" t="s">
        <v>8508</v>
      </c>
    </row>
    <row r="97" spans="1:2" x14ac:dyDescent="0.25">
      <c r="A97" s="40">
        <v>144</v>
      </c>
      <c r="B97" s="40" t="s">
        <v>8509</v>
      </c>
    </row>
    <row r="98" spans="1:2" x14ac:dyDescent="0.25">
      <c r="A98" s="40">
        <v>146</v>
      </c>
      <c r="B98" s="40" t="s">
        <v>8510</v>
      </c>
    </row>
    <row r="99" spans="1:2" x14ac:dyDescent="0.25">
      <c r="A99" s="40">
        <v>147</v>
      </c>
      <c r="B99" s="40" t="s">
        <v>8511</v>
      </c>
    </row>
    <row r="100" spans="1:2" x14ac:dyDescent="0.25">
      <c r="A100" s="40">
        <v>148</v>
      </c>
      <c r="B100" s="40" t="s">
        <v>8512</v>
      </c>
    </row>
    <row r="101" spans="1:2" x14ac:dyDescent="0.25">
      <c r="A101" s="40">
        <v>149</v>
      </c>
      <c r="B101" s="40" t="s">
        <v>8513</v>
      </c>
    </row>
    <row r="102" spans="1:2" x14ac:dyDescent="0.25">
      <c r="A102" s="40">
        <v>150</v>
      </c>
      <c r="B102" s="40" t="s">
        <v>8514</v>
      </c>
    </row>
    <row r="103" spans="1:2" x14ac:dyDescent="0.25">
      <c r="A103" s="40">
        <v>151</v>
      </c>
      <c r="B103" s="40" t="s">
        <v>8515</v>
      </c>
    </row>
    <row r="104" spans="1:2" x14ac:dyDescent="0.25">
      <c r="A104" s="40">
        <v>152</v>
      </c>
      <c r="B104" s="40" t="s">
        <v>8516</v>
      </c>
    </row>
    <row r="105" spans="1:2" x14ac:dyDescent="0.25">
      <c r="A105" s="40">
        <v>153</v>
      </c>
      <c r="B105" s="40" t="s">
        <v>8517</v>
      </c>
    </row>
    <row r="106" spans="1:2" x14ac:dyDescent="0.25">
      <c r="A106" s="40">
        <v>154</v>
      </c>
      <c r="B106" s="40" t="s">
        <v>8518</v>
      </c>
    </row>
    <row r="107" spans="1:2" x14ac:dyDescent="0.25">
      <c r="A107" s="40">
        <v>155</v>
      </c>
      <c r="B107" s="40" t="s">
        <v>8519</v>
      </c>
    </row>
    <row r="108" spans="1:2" x14ac:dyDescent="0.25">
      <c r="A108" s="40">
        <v>157</v>
      </c>
      <c r="B108" s="40" t="s">
        <v>8520</v>
      </c>
    </row>
    <row r="109" spans="1:2" x14ac:dyDescent="0.25">
      <c r="A109" s="40">
        <v>158</v>
      </c>
      <c r="B109" s="40" t="s">
        <v>8521</v>
      </c>
    </row>
    <row r="110" spans="1:2" x14ac:dyDescent="0.25">
      <c r="A110" s="40">
        <v>159</v>
      </c>
      <c r="B110" s="40" t="s">
        <v>8522</v>
      </c>
    </row>
    <row r="111" spans="1:2" x14ac:dyDescent="0.25">
      <c r="A111" s="40">
        <v>160</v>
      </c>
      <c r="B111" s="40" t="s">
        <v>8523</v>
      </c>
    </row>
    <row r="112" spans="1:2" x14ac:dyDescent="0.25">
      <c r="A112" s="40">
        <v>161</v>
      </c>
      <c r="B112" s="40" t="s">
        <v>152</v>
      </c>
    </row>
    <row r="113" spans="1:2" x14ac:dyDescent="0.25">
      <c r="A113" s="40">
        <v>163</v>
      </c>
      <c r="B113" s="40" t="s">
        <v>8524</v>
      </c>
    </row>
    <row r="114" spans="1:2" x14ac:dyDescent="0.25">
      <c r="A114" s="40">
        <v>164</v>
      </c>
      <c r="B114" s="40" t="s">
        <v>8525</v>
      </c>
    </row>
    <row r="115" spans="1:2" x14ac:dyDescent="0.25">
      <c r="A115" s="40">
        <v>166</v>
      </c>
      <c r="B115" s="40" t="s">
        <v>8526</v>
      </c>
    </row>
    <row r="116" spans="1:2" x14ac:dyDescent="0.25">
      <c r="A116" s="40">
        <v>167</v>
      </c>
      <c r="B116" s="40" t="s">
        <v>8527</v>
      </c>
    </row>
    <row r="117" spans="1:2" x14ac:dyDescent="0.25">
      <c r="A117" s="40">
        <v>169</v>
      </c>
      <c r="B117" s="40" t="s">
        <v>8528</v>
      </c>
    </row>
    <row r="118" spans="1:2" x14ac:dyDescent="0.25">
      <c r="A118" s="40">
        <v>170</v>
      </c>
      <c r="B118" s="40" t="s">
        <v>8529</v>
      </c>
    </row>
    <row r="119" spans="1:2" x14ac:dyDescent="0.25">
      <c r="A119" s="40">
        <v>171</v>
      </c>
      <c r="B119" s="40" t="s">
        <v>8530</v>
      </c>
    </row>
    <row r="120" spans="1:2" x14ac:dyDescent="0.25">
      <c r="A120" s="40">
        <v>172</v>
      </c>
      <c r="B120" s="40" t="s">
        <v>8531</v>
      </c>
    </row>
    <row r="121" spans="1:2" x14ac:dyDescent="0.25">
      <c r="A121" s="40">
        <v>173</v>
      </c>
      <c r="B121" s="40" t="s">
        <v>8532</v>
      </c>
    </row>
    <row r="122" spans="1:2" x14ac:dyDescent="0.25">
      <c r="A122" s="40">
        <v>174</v>
      </c>
      <c r="B122" s="40" t="s">
        <v>8533</v>
      </c>
    </row>
    <row r="123" spans="1:2" x14ac:dyDescent="0.25">
      <c r="A123" s="40">
        <v>175</v>
      </c>
      <c r="B123" s="40" t="s">
        <v>8534</v>
      </c>
    </row>
    <row r="124" spans="1:2" x14ac:dyDescent="0.25">
      <c r="A124" s="40">
        <v>176</v>
      </c>
      <c r="B124" s="40" t="s">
        <v>8535</v>
      </c>
    </row>
    <row r="125" spans="1:2" x14ac:dyDescent="0.25">
      <c r="A125" s="40">
        <v>177</v>
      </c>
      <c r="B125" s="40" t="s">
        <v>8536</v>
      </c>
    </row>
    <row r="126" spans="1:2" x14ac:dyDescent="0.25">
      <c r="A126" s="40">
        <v>178</v>
      </c>
      <c r="B126" s="40" t="s">
        <v>8537</v>
      </c>
    </row>
    <row r="127" spans="1:2" x14ac:dyDescent="0.25">
      <c r="A127" s="40">
        <v>179</v>
      </c>
      <c r="B127" s="40" t="s">
        <v>8538</v>
      </c>
    </row>
    <row r="128" spans="1:2" x14ac:dyDescent="0.25">
      <c r="A128" s="40">
        <v>180</v>
      </c>
      <c r="B128" s="40" t="s">
        <v>8539</v>
      </c>
    </row>
    <row r="129" spans="1:2" x14ac:dyDescent="0.25">
      <c r="A129" s="40">
        <v>181</v>
      </c>
      <c r="B129" s="40" t="s">
        <v>8540</v>
      </c>
    </row>
    <row r="130" spans="1:2" x14ac:dyDescent="0.25">
      <c r="A130" s="40">
        <v>182</v>
      </c>
      <c r="B130" s="40" t="s">
        <v>8541</v>
      </c>
    </row>
    <row r="131" spans="1:2" x14ac:dyDescent="0.25">
      <c r="A131" s="40">
        <v>183</v>
      </c>
      <c r="B131" s="40" t="s">
        <v>8542</v>
      </c>
    </row>
    <row r="132" spans="1:2" x14ac:dyDescent="0.25">
      <c r="A132" s="40">
        <v>184</v>
      </c>
      <c r="B132" s="40" t="s">
        <v>8543</v>
      </c>
    </row>
    <row r="133" spans="1:2" x14ac:dyDescent="0.25">
      <c r="A133" s="40">
        <v>185</v>
      </c>
      <c r="B133" s="40" t="s">
        <v>8544</v>
      </c>
    </row>
    <row r="134" spans="1:2" x14ac:dyDescent="0.25">
      <c r="A134" s="40">
        <v>186</v>
      </c>
      <c r="B134" s="40" t="s">
        <v>8545</v>
      </c>
    </row>
    <row r="135" spans="1:2" x14ac:dyDescent="0.25">
      <c r="A135" s="40">
        <v>187</v>
      </c>
      <c r="B135" s="40" t="s">
        <v>153</v>
      </c>
    </row>
    <row r="136" spans="1:2" x14ac:dyDescent="0.25">
      <c r="A136" s="40">
        <v>188</v>
      </c>
      <c r="B136" s="40" t="s">
        <v>8546</v>
      </c>
    </row>
    <row r="137" spans="1:2" x14ac:dyDescent="0.25">
      <c r="A137" s="40">
        <v>189</v>
      </c>
      <c r="B137" s="40" t="s">
        <v>8547</v>
      </c>
    </row>
    <row r="138" spans="1:2" x14ac:dyDescent="0.25">
      <c r="A138" s="40">
        <v>190</v>
      </c>
      <c r="B138" s="40" t="s">
        <v>8548</v>
      </c>
    </row>
    <row r="139" spans="1:2" x14ac:dyDescent="0.25">
      <c r="A139" s="40">
        <v>192</v>
      </c>
      <c r="B139" s="40" t="s">
        <v>8549</v>
      </c>
    </row>
    <row r="140" spans="1:2" x14ac:dyDescent="0.25">
      <c r="A140" s="40">
        <v>193</v>
      </c>
      <c r="B140" s="40" t="s">
        <v>8550</v>
      </c>
    </row>
    <row r="141" spans="1:2" x14ac:dyDescent="0.25">
      <c r="A141" s="40">
        <v>194</v>
      </c>
      <c r="B141" s="40" t="s">
        <v>8551</v>
      </c>
    </row>
    <row r="142" spans="1:2" x14ac:dyDescent="0.25">
      <c r="A142" s="40">
        <v>195</v>
      </c>
      <c r="B142" s="40" t="s">
        <v>8552</v>
      </c>
    </row>
    <row r="143" spans="1:2" x14ac:dyDescent="0.25">
      <c r="A143" s="40">
        <v>197</v>
      </c>
      <c r="B143" s="40" t="s">
        <v>154</v>
      </c>
    </row>
    <row r="144" spans="1:2" x14ac:dyDescent="0.25">
      <c r="A144" s="40">
        <v>198</v>
      </c>
      <c r="B144" s="40" t="s">
        <v>8553</v>
      </c>
    </row>
    <row r="145" spans="1:2" x14ac:dyDescent="0.25">
      <c r="A145" s="40">
        <v>199</v>
      </c>
      <c r="B145" s="40" t="s">
        <v>155</v>
      </c>
    </row>
    <row r="146" spans="1:2" x14ac:dyDescent="0.25">
      <c r="A146" s="40">
        <v>200</v>
      </c>
      <c r="B146" s="40" t="s">
        <v>156</v>
      </c>
    </row>
    <row r="147" spans="1:2" x14ac:dyDescent="0.25">
      <c r="A147" s="40">
        <v>201</v>
      </c>
      <c r="B147" s="40" t="s">
        <v>8554</v>
      </c>
    </row>
    <row r="148" spans="1:2" x14ac:dyDescent="0.25">
      <c r="A148" s="40">
        <v>202</v>
      </c>
      <c r="B148" s="40" t="s">
        <v>8555</v>
      </c>
    </row>
    <row r="149" spans="1:2" x14ac:dyDescent="0.25">
      <c r="A149" s="40">
        <v>203</v>
      </c>
      <c r="B149" s="40" t="s">
        <v>8556</v>
      </c>
    </row>
    <row r="150" spans="1:2" x14ac:dyDescent="0.25">
      <c r="A150" s="40">
        <v>204</v>
      </c>
      <c r="B150" s="40" t="s">
        <v>157</v>
      </c>
    </row>
    <row r="151" spans="1:2" x14ac:dyDescent="0.25">
      <c r="A151" s="40">
        <v>205</v>
      </c>
      <c r="B151" s="40" t="s">
        <v>158</v>
      </c>
    </row>
    <row r="152" spans="1:2" x14ac:dyDescent="0.25">
      <c r="A152" s="40">
        <v>206</v>
      </c>
      <c r="B152" s="40" t="s">
        <v>8557</v>
      </c>
    </row>
    <row r="153" spans="1:2" x14ac:dyDescent="0.25">
      <c r="A153" s="40">
        <v>207</v>
      </c>
      <c r="B153" s="40" t="s">
        <v>8558</v>
      </c>
    </row>
    <row r="154" spans="1:2" x14ac:dyDescent="0.25">
      <c r="A154" s="40">
        <v>208</v>
      </c>
      <c r="B154" s="40" t="s">
        <v>8559</v>
      </c>
    </row>
    <row r="155" spans="1:2" x14ac:dyDescent="0.25">
      <c r="A155" s="40">
        <v>209</v>
      </c>
      <c r="B155" s="40" t="s">
        <v>8560</v>
      </c>
    </row>
    <row r="156" spans="1:2" x14ac:dyDescent="0.25">
      <c r="A156" s="40">
        <v>210</v>
      </c>
      <c r="B156" s="40" t="s">
        <v>159</v>
      </c>
    </row>
    <row r="157" spans="1:2" x14ac:dyDescent="0.25">
      <c r="A157" s="40">
        <v>211</v>
      </c>
      <c r="B157" s="40" t="s">
        <v>8561</v>
      </c>
    </row>
    <row r="158" spans="1:2" x14ac:dyDescent="0.25">
      <c r="A158" s="40">
        <v>212</v>
      </c>
      <c r="B158" s="40" t="s">
        <v>160</v>
      </c>
    </row>
    <row r="159" spans="1:2" x14ac:dyDescent="0.25">
      <c r="A159" s="40">
        <v>213</v>
      </c>
      <c r="B159" s="40" t="s">
        <v>8562</v>
      </c>
    </row>
    <row r="160" spans="1:2" x14ac:dyDescent="0.25">
      <c r="A160" s="40">
        <v>215</v>
      </c>
      <c r="B160" s="40" t="s">
        <v>161</v>
      </c>
    </row>
    <row r="161" spans="1:2" x14ac:dyDescent="0.25">
      <c r="A161" s="40">
        <v>216</v>
      </c>
      <c r="B161" s="40" t="s">
        <v>8563</v>
      </c>
    </row>
    <row r="162" spans="1:2" x14ac:dyDescent="0.25">
      <c r="A162" s="40">
        <v>219</v>
      </c>
      <c r="B162" s="40" t="s">
        <v>8564</v>
      </c>
    </row>
    <row r="163" spans="1:2" x14ac:dyDescent="0.25">
      <c r="A163" s="40">
        <v>222</v>
      </c>
      <c r="B163" s="40" t="s">
        <v>8565</v>
      </c>
    </row>
    <row r="164" spans="1:2" x14ac:dyDescent="0.25">
      <c r="A164" s="40">
        <v>223</v>
      </c>
      <c r="B164" s="40" t="s">
        <v>8566</v>
      </c>
    </row>
    <row r="165" spans="1:2" x14ac:dyDescent="0.25">
      <c r="A165" s="40">
        <v>224</v>
      </c>
      <c r="B165" s="40" t="s">
        <v>8567</v>
      </c>
    </row>
    <row r="166" spans="1:2" x14ac:dyDescent="0.25">
      <c r="A166" s="40">
        <v>225</v>
      </c>
      <c r="B166" s="40" t="s">
        <v>8568</v>
      </c>
    </row>
    <row r="167" spans="1:2" x14ac:dyDescent="0.25">
      <c r="A167" s="40">
        <v>226</v>
      </c>
      <c r="B167" s="40" t="s">
        <v>8569</v>
      </c>
    </row>
    <row r="168" spans="1:2" x14ac:dyDescent="0.25">
      <c r="A168" s="40">
        <v>227</v>
      </c>
      <c r="B168" s="40" t="s">
        <v>8570</v>
      </c>
    </row>
    <row r="169" spans="1:2" x14ac:dyDescent="0.25">
      <c r="A169" s="40">
        <v>228</v>
      </c>
      <c r="B169" s="40" t="s">
        <v>8571</v>
      </c>
    </row>
    <row r="170" spans="1:2" x14ac:dyDescent="0.25">
      <c r="A170" s="40">
        <v>229</v>
      </c>
      <c r="B170" s="40" t="s">
        <v>8572</v>
      </c>
    </row>
    <row r="171" spans="1:2" x14ac:dyDescent="0.25">
      <c r="A171" s="40">
        <v>231</v>
      </c>
      <c r="B171" s="40" t="s">
        <v>8573</v>
      </c>
    </row>
    <row r="172" spans="1:2" x14ac:dyDescent="0.25">
      <c r="A172" s="40">
        <v>232</v>
      </c>
      <c r="B172" s="40" t="s">
        <v>8574</v>
      </c>
    </row>
    <row r="173" spans="1:2" x14ac:dyDescent="0.25">
      <c r="A173" s="40">
        <v>233</v>
      </c>
      <c r="B173" s="40" t="s">
        <v>8575</v>
      </c>
    </row>
    <row r="174" spans="1:2" x14ac:dyDescent="0.25">
      <c r="A174" s="40">
        <v>234</v>
      </c>
      <c r="B174" s="40" t="s">
        <v>8576</v>
      </c>
    </row>
    <row r="175" spans="1:2" x14ac:dyDescent="0.25">
      <c r="A175" s="40">
        <v>235</v>
      </c>
      <c r="B175" s="40" t="s">
        <v>162</v>
      </c>
    </row>
    <row r="176" spans="1:2" x14ac:dyDescent="0.25">
      <c r="A176" s="40">
        <v>236</v>
      </c>
      <c r="B176" s="40" t="s">
        <v>8577</v>
      </c>
    </row>
    <row r="177" spans="1:2" x14ac:dyDescent="0.25">
      <c r="A177" s="40">
        <v>237</v>
      </c>
      <c r="B177" s="40" t="s">
        <v>8578</v>
      </c>
    </row>
    <row r="178" spans="1:2" x14ac:dyDescent="0.25">
      <c r="A178" s="40">
        <v>238</v>
      </c>
      <c r="B178" s="40" t="s">
        <v>8579</v>
      </c>
    </row>
    <row r="179" spans="1:2" x14ac:dyDescent="0.25">
      <c r="A179" s="40">
        <v>239</v>
      </c>
      <c r="B179" s="40" t="s">
        <v>8580</v>
      </c>
    </row>
    <row r="180" spans="1:2" x14ac:dyDescent="0.25">
      <c r="A180" s="40">
        <v>240</v>
      </c>
      <c r="B180" s="40" t="s">
        <v>8581</v>
      </c>
    </row>
    <row r="181" spans="1:2" x14ac:dyDescent="0.25">
      <c r="A181" s="40">
        <v>241</v>
      </c>
      <c r="B181" s="40" t="s">
        <v>8582</v>
      </c>
    </row>
    <row r="182" spans="1:2" x14ac:dyDescent="0.25">
      <c r="A182" s="40">
        <v>242</v>
      </c>
      <c r="B182" s="40" t="s">
        <v>163</v>
      </c>
    </row>
    <row r="183" spans="1:2" x14ac:dyDescent="0.25">
      <c r="A183" s="40">
        <v>243</v>
      </c>
      <c r="B183" s="40" t="s">
        <v>8583</v>
      </c>
    </row>
    <row r="184" spans="1:2" x14ac:dyDescent="0.25">
      <c r="A184" s="40">
        <v>245</v>
      </c>
      <c r="B184" s="40" t="s">
        <v>8584</v>
      </c>
    </row>
    <row r="185" spans="1:2" x14ac:dyDescent="0.25">
      <c r="A185" s="40">
        <v>246</v>
      </c>
      <c r="B185" s="40" t="s">
        <v>8585</v>
      </c>
    </row>
    <row r="186" spans="1:2" x14ac:dyDescent="0.25">
      <c r="A186" s="40">
        <v>247</v>
      </c>
      <c r="B186" s="40" t="s">
        <v>8586</v>
      </c>
    </row>
    <row r="187" spans="1:2" x14ac:dyDescent="0.25">
      <c r="A187" s="40">
        <v>248</v>
      </c>
      <c r="B187" s="40" t="s">
        <v>8587</v>
      </c>
    </row>
    <row r="188" spans="1:2" x14ac:dyDescent="0.25">
      <c r="A188" s="40">
        <v>249</v>
      </c>
      <c r="B188" s="40" t="s">
        <v>8588</v>
      </c>
    </row>
    <row r="189" spans="1:2" x14ac:dyDescent="0.25">
      <c r="A189" s="40">
        <v>250</v>
      </c>
      <c r="B189" s="40" t="s">
        <v>8589</v>
      </c>
    </row>
    <row r="190" spans="1:2" x14ac:dyDescent="0.25">
      <c r="A190" s="40">
        <v>251</v>
      </c>
      <c r="B190" s="40" t="s">
        <v>8590</v>
      </c>
    </row>
    <row r="191" spans="1:2" x14ac:dyDescent="0.25">
      <c r="A191" s="40">
        <v>252</v>
      </c>
      <c r="B191" s="40" t="s">
        <v>8591</v>
      </c>
    </row>
    <row r="192" spans="1:2" x14ac:dyDescent="0.25">
      <c r="A192" s="40">
        <v>253</v>
      </c>
      <c r="B192" s="40" t="s">
        <v>8592</v>
      </c>
    </row>
    <row r="193" spans="1:2" x14ac:dyDescent="0.25">
      <c r="A193" s="40">
        <v>254</v>
      </c>
      <c r="B193" s="40" t="s">
        <v>8593</v>
      </c>
    </row>
    <row r="194" spans="1:2" x14ac:dyDescent="0.25">
      <c r="A194" s="40">
        <v>256</v>
      </c>
      <c r="B194" s="40" t="s">
        <v>164</v>
      </c>
    </row>
    <row r="195" spans="1:2" x14ac:dyDescent="0.25">
      <c r="A195" s="40">
        <v>257</v>
      </c>
      <c r="B195" s="40" t="s">
        <v>8594</v>
      </c>
    </row>
    <row r="196" spans="1:2" x14ac:dyDescent="0.25">
      <c r="A196" s="40">
        <v>258</v>
      </c>
      <c r="B196" s="40" t="s">
        <v>8595</v>
      </c>
    </row>
    <row r="197" spans="1:2" x14ac:dyDescent="0.25">
      <c r="A197" s="40">
        <v>259</v>
      </c>
      <c r="B197" s="40" t="s">
        <v>8596</v>
      </c>
    </row>
    <row r="198" spans="1:2" x14ac:dyDescent="0.25">
      <c r="A198" s="40">
        <v>260</v>
      </c>
      <c r="B198" s="40" t="s">
        <v>8597</v>
      </c>
    </row>
    <row r="199" spans="1:2" x14ac:dyDescent="0.25">
      <c r="A199" s="40">
        <v>261</v>
      </c>
      <c r="B199" s="40" t="s">
        <v>8598</v>
      </c>
    </row>
    <row r="200" spans="1:2" x14ac:dyDescent="0.25">
      <c r="A200" s="40">
        <v>262</v>
      </c>
      <c r="B200" s="40" t="s">
        <v>8599</v>
      </c>
    </row>
    <row r="201" spans="1:2" x14ac:dyDescent="0.25">
      <c r="A201" s="40">
        <v>263</v>
      </c>
      <c r="B201" s="40" t="s">
        <v>8600</v>
      </c>
    </row>
    <row r="202" spans="1:2" x14ac:dyDescent="0.25">
      <c r="A202" s="40">
        <v>264</v>
      </c>
      <c r="B202" s="40" t="s">
        <v>8601</v>
      </c>
    </row>
    <row r="203" spans="1:2" x14ac:dyDescent="0.25">
      <c r="A203" s="40">
        <v>265</v>
      </c>
      <c r="B203" s="40" t="s">
        <v>8602</v>
      </c>
    </row>
    <row r="204" spans="1:2" x14ac:dyDescent="0.25">
      <c r="A204" s="40">
        <v>266</v>
      </c>
      <c r="B204" s="40" t="s">
        <v>8603</v>
      </c>
    </row>
    <row r="205" spans="1:2" x14ac:dyDescent="0.25">
      <c r="A205" s="40">
        <v>267</v>
      </c>
      <c r="B205" s="40" t="s">
        <v>8604</v>
      </c>
    </row>
    <row r="206" spans="1:2" x14ac:dyDescent="0.25">
      <c r="A206" s="40">
        <v>268</v>
      </c>
      <c r="B206" s="40" t="s">
        <v>8605</v>
      </c>
    </row>
    <row r="207" spans="1:2" x14ac:dyDescent="0.25">
      <c r="A207" s="40">
        <v>269</v>
      </c>
      <c r="B207" s="40" t="s">
        <v>8606</v>
      </c>
    </row>
    <row r="208" spans="1:2" x14ac:dyDescent="0.25">
      <c r="A208" s="40">
        <v>270</v>
      </c>
      <c r="B208" s="40" t="s">
        <v>8607</v>
      </c>
    </row>
    <row r="209" spans="1:2" x14ac:dyDescent="0.25">
      <c r="A209" s="40">
        <v>271</v>
      </c>
      <c r="B209" s="40" t="s">
        <v>8608</v>
      </c>
    </row>
    <row r="210" spans="1:2" x14ac:dyDescent="0.25">
      <c r="A210" s="40">
        <v>272</v>
      </c>
      <c r="B210" s="40" t="s">
        <v>8609</v>
      </c>
    </row>
    <row r="211" spans="1:2" x14ac:dyDescent="0.25">
      <c r="A211" s="40">
        <v>273</v>
      </c>
      <c r="B211" s="40" t="s">
        <v>8610</v>
      </c>
    </row>
    <row r="212" spans="1:2" x14ac:dyDescent="0.25">
      <c r="A212" s="40">
        <v>274</v>
      </c>
      <c r="B212" s="40" t="s">
        <v>8611</v>
      </c>
    </row>
    <row r="213" spans="1:2" x14ac:dyDescent="0.25">
      <c r="A213" s="40">
        <v>275</v>
      </c>
      <c r="B213" s="40" t="s">
        <v>165</v>
      </c>
    </row>
    <row r="214" spans="1:2" x14ac:dyDescent="0.25">
      <c r="A214" s="40">
        <v>276</v>
      </c>
      <c r="B214" s="40" t="s">
        <v>8612</v>
      </c>
    </row>
    <row r="215" spans="1:2" x14ac:dyDescent="0.25">
      <c r="A215" s="40">
        <v>277</v>
      </c>
      <c r="B215" s="40" t="s">
        <v>8613</v>
      </c>
    </row>
    <row r="216" spans="1:2" x14ac:dyDescent="0.25">
      <c r="A216" s="40">
        <v>278</v>
      </c>
      <c r="B216" s="40" t="s">
        <v>8614</v>
      </c>
    </row>
    <row r="217" spans="1:2" x14ac:dyDescent="0.25">
      <c r="A217" s="40">
        <v>279</v>
      </c>
      <c r="B217" s="40" t="s">
        <v>8615</v>
      </c>
    </row>
    <row r="218" spans="1:2" x14ac:dyDescent="0.25">
      <c r="A218" s="40">
        <v>280</v>
      </c>
      <c r="B218" s="40" t="s">
        <v>8616</v>
      </c>
    </row>
    <row r="219" spans="1:2" x14ac:dyDescent="0.25">
      <c r="A219" s="40">
        <v>281</v>
      </c>
      <c r="B219" s="40" t="s">
        <v>8617</v>
      </c>
    </row>
    <row r="220" spans="1:2" x14ac:dyDescent="0.25">
      <c r="A220" s="40">
        <v>282</v>
      </c>
      <c r="B220" s="40" t="s">
        <v>8618</v>
      </c>
    </row>
    <row r="221" spans="1:2" x14ac:dyDescent="0.25">
      <c r="A221" s="40">
        <v>283</v>
      </c>
      <c r="B221" s="40" t="s">
        <v>8619</v>
      </c>
    </row>
    <row r="222" spans="1:2" x14ac:dyDescent="0.25">
      <c r="A222" s="40">
        <v>284</v>
      </c>
      <c r="B222" s="40" t="s">
        <v>8620</v>
      </c>
    </row>
    <row r="223" spans="1:2" x14ac:dyDescent="0.25">
      <c r="A223" s="40">
        <v>285</v>
      </c>
      <c r="B223" s="40" t="s">
        <v>8621</v>
      </c>
    </row>
    <row r="224" spans="1:2" x14ac:dyDescent="0.25">
      <c r="A224" s="40">
        <v>286</v>
      </c>
      <c r="B224" s="40" t="s">
        <v>8622</v>
      </c>
    </row>
    <row r="225" spans="1:2" x14ac:dyDescent="0.25">
      <c r="A225" s="40">
        <v>287</v>
      </c>
      <c r="B225" s="40" t="s">
        <v>8623</v>
      </c>
    </row>
    <row r="226" spans="1:2" x14ac:dyDescent="0.25">
      <c r="A226" s="40">
        <v>288</v>
      </c>
      <c r="B226" s="40" t="s">
        <v>166</v>
      </c>
    </row>
    <row r="227" spans="1:2" x14ac:dyDescent="0.25">
      <c r="A227" s="40">
        <v>289</v>
      </c>
      <c r="B227" s="40" t="s">
        <v>8624</v>
      </c>
    </row>
    <row r="228" spans="1:2" x14ac:dyDescent="0.25">
      <c r="A228" s="40">
        <v>290</v>
      </c>
      <c r="B228" s="40" t="s">
        <v>8625</v>
      </c>
    </row>
    <row r="229" spans="1:2" x14ac:dyDescent="0.25">
      <c r="A229" s="40">
        <v>291</v>
      </c>
      <c r="B229" s="40" t="s">
        <v>8626</v>
      </c>
    </row>
    <row r="230" spans="1:2" x14ac:dyDescent="0.25">
      <c r="A230" s="40">
        <v>292</v>
      </c>
      <c r="B230" s="40" t="s">
        <v>8627</v>
      </c>
    </row>
    <row r="231" spans="1:2" x14ac:dyDescent="0.25">
      <c r="A231" s="40">
        <v>293</v>
      </c>
      <c r="B231" s="40" t="s">
        <v>8628</v>
      </c>
    </row>
    <row r="232" spans="1:2" x14ac:dyDescent="0.25">
      <c r="A232" s="40">
        <v>294</v>
      </c>
      <c r="B232" s="40" t="s">
        <v>8629</v>
      </c>
    </row>
    <row r="233" spans="1:2" x14ac:dyDescent="0.25">
      <c r="A233" s="40">
        <v>295</v>
      </c>
      <c r="B233" s="40" t="s">
        <v>8630</v>
      </c>
    </row>
    <row r="234" spans="1:2" x14ac:dyDescent="0.25">
      <c r="A234" s="40">
        <v>296</v>
      </c>
      <c r="B234" s="40" t="s">
        <v>8631</v>
      </c>
    </row>
    <row r="235" spans="1:2" x14ac:dyDescent="0.25">
      <c r="A235" s="40">
        <v>297</v>
      </c>
      <c r="B235" s="40" t="s">
        <v>8632</v>
      </c>
    </row>
    <row r="236" spans="1:2" x14ac:dyDescent="0.25">
      <c r="A236" s="40">
        <v>298</v>
      </c>
      <c r="B236" s="40" t="s">
        <v>8633</v>
      </c>
    </row>
    <row r="237" spans="1:2" x14ac:dyDescent="0.25">
      <c r="A237" s="40">
        <v>299</v>
      </c>
      <c r="B237" s="40" t="s">
        <v>8634</v>
      </c>
    </row>
    <row r="238" spans="1:2" x14ac:dyDescent="0.25">
      <c r="A238" s="40">
        <v>300</v>
      </c>
      <c r="B238" s="40" t="s">
        <v>8635</v>
      </c>
    </row>
    <row r="239" spans="1:2" x14ac:dyDescent="0.25">
      <c r="A239" s="40">
        <v>301</v>
      </c>
      <c r="B239" s="40" t="s">
        <v>8636</v>
      </c>
    </row>
    <row r="240" spans="1:2" x14ac:dyDescent="0.25">
      <c r="A240" s="40">
        <v>302</v>
      </c>
      <c r="B240" s="40" t="s">
        <v>8637</v>
      </c>
    </row>
    <row r="241" spans="1:2" x14ac:dyDescent="0.25">
      <c r="A241" s="40">
        <v>303</v>
      </c>
      <c r="B241" s="40" t="s">
        <v>8638</v>
      </c>
    </row>
    <row r="242" spans="1:2" x14ac:dyDescent="0.25">
      <c r="A242" s="40">
        <v>304</v>
      </c>
      <c r="B242" s="40" t="s">
        <v>8639</v>
      </c>
    </row>
    <row r="243" spans="1:2" x14ac:dyDescent="0.25">
      <c r="A243" s="40">
        <v>305</v>
      </c>
      <c r="B243" s="40" t="s">
        <v>8640</v>
      </c>
    </row>
    <row r="244" spans="1:2" x14ac:dyDescent="0.25">
      <c r="A244" s="40">
        <v>306</v>
      </c>
      <c r="B244" s="40" t="s">
        <v>8641</v>
      </c>
    </row>
    <row r="245" spans="1:2" x14ac:dyDescent="0.25">
      <c r="A245" s="40">
        <v>307</v>
      </c>
      <c r="B245" s="40" t="s">
        <v>8642</v>
      </c>
    </row>
    <row r="246" spans="1:2" x14ac:dyDescent="0.25">
      <c r="A246" s="40">
        <v>308</v>
      </c>
      <c r="B246" s="40" t="s">
        <v>8643</v>
      </c>
    </row>
    <row r="247" spans="1:2" x14ac:dyDescent="0.25">
      <c r="A247" s="40" t="s">
        <v>8644</v>
      </c>
      <c r="B247" s="40" t="s">
        <v>8645</v>
      </c>
    </row>
    <row r="248" spans="1:2" x14ac:dyDescent="0.25">
      <c r="A248" s="40" t="s">
        <v>8646</v>
      </c>
      <c r="B248" s="40" t="s">
        <v>8647</v>
      </c>
    </row>
    <row r="249" spans="1:2" x14ac:dyDescent="0.25">
      <c r="A249" s="40" t="s">
        <v>8648</v>
      </c>
      <c r="B249" s="40" t="s">
        <v>8649</v>
      </c>
    </row>
    <row r="250" spans="1:2" x14ac:dyDescent="0.25">
      <c r="A250" s="40" t="s">
        <v>8650</v>
      </c>
      <c r="B250" s="40" t="s">
        <v>8651</v>
      </c>
    </row>
    <row r="251" spans="1:2" x14ac:dyDescent="0.25">
      <c r="A251" s="40" t="s">
        <v>8652</v>
      </c>
      <c r="B251" s="40" t="s">
        <v>8653</v>
      </c>
    </row>
    <row r="252" spans="1:2" x14ac:dyDescent="0.25">
      <c r="A252" s="40" t="s">
        <v>8654</v>
      </c>
      <c r="B252" s="40" t="s">
        <v>8655</v>
      </c>
    </row>
    <row r="253" spans="1:2" x14ac:dyDescent="0.25">
      <c r="A253" s="40" t="s">
        <v>8656</v>
      </c>
      <c r="B253" s="40" t="s">
        <v>8657</v>
      </c>
    </row>
    <row r="254" spans="1:2" x14ac:dyDescent="0.25">
      <c r="A254" s="40" t="s">
        <v>8658</v>
      </c>
      <c r="B254" s="40" t="s">
        <v>8659</v>
      </c>
    </row>
    <row r="255" spans="1:2" x14ac:dyDescent="0.25">
      <c r="A255" s="40" t="s">
        <v>8660</v>
      </c>
      <c r="B255" s="40" t="s">
        <v>8661</v>
      </c>
    </row>
    <row r="256" spans="1:2" x14ac:dyDescent="0.25">
      <c r="A256" s="40" t="s">
        <v>8662</v>
      </c>
      <c r="B256" s="40" t="s">
        <v>8663</v>
      </c>
    </row>
    <row r="257" spans="1:2" x14ac:dyDescent="0.25">
      <c r="A257" s="40" t="s">
        <v>8664</v>
      </c>
      <c r="B257" s="40" t="s">
        <v>8665</v>
      </c>
    </row>
    <row r="258" spans="1:2" x14ac:dyDescent="0.25">
      <c r="A258" s="40" t="s">
        <v>167</v>
      </c>
      <c r="B258" s="40" t="s">
        <v>168</v>
      </c>
    </row>
    <row r="259" spans="1:2" x14ac:dyDescent="0.25">
      <c r="A259" s="40" t="s">
        <v>8666</v>
      </c>
      <c r="B259" s="40" t="s">
        <v>8667</v>
      </c>
    </row>
    <row r="260" spans="1:2" x14ac:dyDescent="0.25">
      <c r="A260" s="40" t="s">
        <v>8668</v>
      </c>
      <c r="B260" s="40" t="s">
        <v>8669</v>
      </c>
    </row>
    <row r="261" spans="1:2" x14ac:dyDescent="0.25">
      <c r="A261" s="40" t="s">
        <v>8670</v>
      </c>
      <c r="B261" s="40" t="s">
        <v>8671</v>
      </c>
    </row>
    <row r="262" spans="1:2" x14ac:dyDescent="0.25">
      <c r="A262" s="40" t="s">
        <v>169</v>
      </c>
      <c r="B262" s="40" t="s">
        <v>8672</v>
      </c>
    </row>
    <row r="263" spans="1:2" x14ac:dyDescent="0.25">
      <c r="A263" s="40" t="s">
        <v>170</v>
      </c>
      <c r="B263" s="40" t="s">
        <v>8673</v>
      </c>
    </row>
    <row r="264" spans="1:2" x14ac:dyDescent="0.25">
      <c r="A264" s="40" t="s">
        <v>8674</v>
      </c>
      <c r="B264" s="40" t="s">
        <v>8675</v>
      </c>
    </row>
    <row r="265" spans="1:2" x14ac:dyDescent="0.25">
      <c r="A265" s="40" t="s">
        <v>8676</v>
      </c>
      <c r="B265" s="40" t="s">
        <v>8677</v>
      </c>
    </row>
    <row r="266" spans="1:2" x14ac:dyDescent="0.25">
      <c r="A266" s="40" t="s">
        <v>8678</v>
      </c>
      <c r="B266" s="40" t="s">
        <v>8679</v>
      </c>
    </row>
    <row r="267" spans="1:2" x14ac:dyDescent="0.25">
      <c r="A267" s="40" t="s">
        <v>8680</v>
      </c>
      <c r="B267" s="40" t="s">
        <v>8681</v>
      </c>
    </row>
    <row r="268" spans="1:2" x14ac:dyDescent="0.25">
      <c r="A268" s="40" t="s">
        <v>8682</v>
      </c>
      <c r="B268" s="40" t="s">
        <v>8683</v>
      </c>
    </row>
    <row r="269" spans="1:2" x14ac:dyDescent="0.25">
      <c r="A269" s="40" t="s">
        <v>8684</v>
      </c>
      <c r="B269" s="40" t="s">
        <v>8685</v>
      </c>
    </row>
    <row r="270" spans="1:2" x14ac:dyDescent="0.25">
      <c r="A270" s="40" t="s">
        <v>8686</v>
      </c>
      <c r="B270" s="40" t="s">
        <v>8687</v>
      </c>
    </row>
    <row r="271" spans="1:2" x14ac:dyDescent="0.25">
      <c r="A271" s="40" t="s">
        <v>8688</v>
      </c>
      <c r="B271" s="40" t="s">
        <v>8689</v>
      </c>
    </row>
    <row r="272" spans="1:2" x14ac:dyDescent="0.25">
      <c r="A272" s="40" t="s">
        <v>8690</v>
      </c>
      <c r="B272" s="40" t="s">
        <v>8691</v>
      </c>
    </row>
    <row r="273" spans="1:2" x14ac:dyDescent="0.25">
      <c r="A273" s="40" t="s">
        <v>8692</v>
      </c>
      <c r="B273" s="40" t="s">
        <v>8693</v>
      </c>
    </row>
    <row r="274" spans="1:2" x14ac:dyDescent="0.25">
      <c r="A274" s="40" t="s">
        <v>8694</v>
      </c>
      <c r="B274" s="40" t="s">
        <v>8695</v>
      </c>
    </row>
    <row r="275" spans="1:2" x14ac:dyDescent="0.25">
      <c r="A275" s="40" t="s">
        <v>8696</v>
      </c>
      <c r="B275" s="40" t="s">
        <v>8697</v>
      </c>
    </row>
    <row r="276" spans="1:2" x14ac:dyDescent="0.25">
      <c r="A276" s="40" t="s">
        <v>8698</v>
      </c>
      <c r="B276" s="40" t="s">
        <v>8699</v>
      </c>
    </row>
    <row r="277" spans="1:2" x14ac:dyDescent="0.25">
      <c r="A277" s="40" t="s">
        <v>8700</v>
      </c>
      <c r="B277" s="40" t="s">
        <v>8701</v>
      </c>
    </row>
    <row r="278" spans="1:2" x14ac:dyDescent="0.25">
      <c r="A278" s="40" t="s">
        <v>171</v>
      </c>
      <c r="B278" s="40" t="s">
        <v>8702</v>
      </c>
    </row>
    <row r="279" spans="1:2" x14ac:dyDescent="0.25">
      <c r="A279" s="40" t="s">
        <v>8703</v>
      </c>
      <c r="B279" s="40" t="s">
        <v>8704</v>
      </c>
    </row>
    <row r="280" spans="1:2" x14ac:dyDescent="0.25">
      <c r="A280" s="40" t="s">
        <v>8705</v>
      </c>
      <c r="B280" s="40" t="s">
        <v>8706</v>
      </c>
    </row>
    <row r="281" spans="1:2" x14ac:dyDescent="0.25">
      <c r="A281" s="40" t="s">
        <v>8707</v>
      </c>
      <c r="B281" s="40" t="s">
        <v>8708</v>
      </c>
    </row>
    <row r="282" spans="1:2" x14ac:dyDescent="0.25">
      <c r="A282" s="40" t="s">
        <v>8709</v>
      </c>
      <c r="B282" s="40" t="s">
        <v>8710</v>
      </c>
    </row>
    <row r="283" spans="1:2" x14ac:dyDescent="0.25">
      <c r="A283" s="40" t="s">
        <v>8711</v>
      </c>
      <c r="B283" s="40" t="s">
        <v>8712</v>
      </c>
    </row>
    <row r="284" spans="1:2" x14ac:dyDescent="0.25">
      <c r="A284" s="40" t="s">
        <v>8713</v>
      </c>
      <c r="B284" s="40" t="s">
        <v>8714</v>
      </c>
    </row>
    <row r="285" spans="1:2" x14ac:dyDescent="0.25">
      <c r="A285" s="40" t="s">
        <v>8715</v>
      </c>
      <c r="B285" s="40" t="s">
        <v>8716</v>
      </c>
    </row>
    <row r="286" spans="1:2" x14ac:dyDescent="0.25">
      <c r="A286" s="40" t="s">
        <v>8717</v>
      </c>
      <c r="B286" s="40" t="s">
        <v>8718</v>
      </c>
    </row>
    <row r="287" spans="1:2" x14ac:dyDescent="0.25">
      <c r="A287" s="40" t="s">
        <v>8719</v>
      </c>
      <c r="B287" s="40" t="s">
        <v>8720</v>
      </c>
    </row>
    <row r="288" spans="1:2" x14ac:dyDescent="0.25">
      <c r="A288" s="40" t="s">
        <v>8721</v>
      </c>
      <c r="B288" s="40" t="s">
        <v>8722</v>
      </c>
    </row>
    <row r="289" spans="1:2" x14ac:dyDescent="0.25">
      <c r="A289" s="40" t="s">
        <v>8723</v>
      </c>
      <c r="B289" s="40" t="s">
        <v>8724</v>
      </c>
    </row>
    <row r="290" spans="1:2" x14ac:dyDescent="0.25">
      <c r="A290" s="40" t="s">
        <v>8725</v>
      </c>
      <c r="B290" s="40" t="s">
        <v>8726</v>
      </c>
    </row>
    <row r="291" spans="1:2" x14ac:dyDescent="0.25">
      <c r="A291" s="40" t="s">
        <v>8727</v>
      </c>
      <c r="B291" s="40" t="s">
        <v>8728</v>
      </c>
    </row>
    <row r="292" spans="1:2" x14ac:dyDescent="0.25">
      <c r="A292" s="40" t="s">
        <v>8729</v>
      </c>
      <c r="B292" s="40" t="s">
        <v>8730</v>
      </c>
    </row>
    <row r="293" spans="1:2" x14ac:dyDescent="0.25">
      <c r="A293" s="40" t="s">
        <v>8731</v>
      </c>
      <c r="B293" s="40" t="s">
        <v>8732</v>
      </c>
    </row>
    <row r="294" spans="1:2" x14ac:dyDescent="0.25">
      <c r="A294" s="40" t="s">
        <v>8733</v>
      </c>
      <c r="B294" s="40" t="s">
        <v>8734</v>
      </c>
    </row>
    <row r="295" spans="1:2" x14ac:dyDescent="0.25">
      <c r="A295" s="40" t="s">
        <v>8735</v>
      </c>
      <c r="B295" s="40" t="s">
        <v>8736</v>
      </c>
    </row>
    <row r="296" spans="1:2" x14ac:dyDescent="0.25">
      <c r="A296" s="40" t="s">
        <v>8737</v>
      </c>
      <c r="B296" s="40" t="s">
        <v>8738</v>
      </c>
    </row>
    <row r="297" spans="1:2" x14ac:dyDescent="0.25">
      <c r="A297" s="40" t="s">
        <v>8739</v>
      </c>
      <c r="B297" s="40" t="s">
        <v>8740</v>
      </c>
    </row>
    <row r="298" spans="1:2" x14ac:dyDescent="0.25">
      <c r="A298" s="40" t="s">
        <v>8741</v>
      </c>
      <c r="B298" s="40" t="s">
        <v>8742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AB59-045F-4A2C-BFD2-325FD933247D}">
  <dimension ref="A1:L254"/>
  <sheetViews>
    <sheetView workbookViewId="0">
      <selection activeCell="B28" sqref="B28"/>
    </sheetView>
  </sheetViews>
  <sheetFormatPr defaultRowHeight="15" x14ac:dyDescent="0.25"/>
  <cols>
    <col min="1" max="1" width="6.28515625" bestFit="1" customWidth="1"/>
    <col min="2" max="2" width="50.7109375" customWidth="1"/>
    <col min="3" max="3" width="7.5703125" bestFit="1" customWidth="1"/>
    <col min="6" max="6" width="7" bestFit="1" customWidth="1"/>
    <col min="7" max="7" width="23.42578125" bestFit="1" customWidth="1"/>
    <col min="8" max="8" width="72.7109375" bestFit="1" customWidth="1"/>
    <col min="9" max="9" width="213.140625" bestFit="1" customWidth="1"/>
    <col min="10" max="10" width="176" bestFit="1" customWidth="1"/>
    <col min="11" max="11" width="124.5703125" bestFit="1" customWidth="1"/>
    <col min="12" max="12" width="121.42578125" bestFit="1" customWidth="1"/>
  </cols>
  <sheetData>
    <row r="1" spans="1:12" x14ac:dyDescent="0.25">
      <c r="A1" s="110" t="s">
        <v>2444</v>
      </c>
      <c r="B1" s="113" t="s">
        <v>4917</v>
      </c>
      <c r="C1" s="110" t="s">
        <v>3693</v>
      </c>
      <c r="F1" s="117"/>
      <c r="G1" s="117"/>
      <c r="H1" s="117"/>
      <c r="I1" s="117"/>
      <c r="J1" s="117"/>
      <c r="K1" s="117"/>
      <c r="L1" s="117"/>
    </row>
    <row r="2" spans="1:12" x14ac:dyDescent="0.25">
      <c r="A2" s="71">
        <v>1</v>
      </c>
      <c r="B2" s="74" t="s">
        <v>145</v>
      </c>
      <c r="C2" s="111" t="s">
        <v>4918</v>
      </c>
      <c r="F2" s="118"/>
      <c r="G2" s="118"/>
      <c r="H2" s="118"/>
      <c r="I2" s="118"/>
      <c r="J2" s="118"/>
      <c r="K2" s="118"/>
      <c r="L2" s="118"/>
    </row>
    <row r="3" spans="1:12" x14ac:dyDescent="0.25">
      <c r="A3" s="71">
        <v>10</v>
      </c>
      <c r="B3" s="74" t="s">
        <v>176</v>
      </c>
      <c r="C3" s="111" t="s">
        <v>4918</v>
      </c>
      <c r="F3" s="118"/>
      <c r="G3" s="118"/>
      <c r="H3" s="118"/>
      <c r="I3" s="118"/>
      <c r="J3" s="118"/>
      <c r="K3" s="118"/>
      <c r="L3" s="118"/>
    </row>
    <row r="4" spans="1:12" x14ac:dyDescent="0.25">
      <c r="A4" s="71">
        <v>100</v>
      </c>
      <c r="B4" s="74" t="s">
        <v>4919</v>
      </c>
      <c r="C4" s="111" t="s">
        <v>4918</v>
      </c>
      <c r="F4" s="118"/>
      <c r="G4" s="118"/>
      <c r="H4" s="118"/>
      <c r="I4" s="118"/>
      <c r="J4" s="118"/>
      <c r="K4" s="118"/>
      <c r="L4" s="118"/>
    </row>
    <row r="5" spans="1:12" x14ac:dyDescent="0.25">
      <c r="A5" s="71">
        <v>101</v>
      </c>
      <c r="B5" s="74" t="s">
        <v>4920</v>
      </c>
      <c r="C5" s="111" t="s">
        <v>4918</v>
      </c>
      <c r="F5" s="118"/>
      <c r="G5" s="118"/>
      <c r="H5" s="118"/>
      <c r="I5" s="118"/>
      <c r="J5" s="118"/>
      <c r="K5" s="118"/>
      <c r="L5" s="118"/>
    </row>
    <row r="6" spans="1:12" x14ac:dyDescent="0.25">
      <c r="A6" s="71">
        <v>102</v>
      </c>
      <c r="B6" s="74" t="s">
        <v>4921</v>
      </c>
      <c r="C6" s="111" t="s">
        <v>4918</v>
      </c>
      <c r="F6" s="118"/>
      <c r="G6" s="118"/>
      <c r="H6" s="118"/>
      <c r="I6" s="118"/>
      <c r="J6" s="118"/>
      <c r="K6" s="118"/>
      <c r="L6" s="118"/>
    </row>
    <row r="7" spans="1:12" x14ac:dyDescent="0.25">
      <c r="A7" s="71">
        <v>103</v>
      </c>
      <c r="B7" s="74" t="s">
        <v>4922</v>
      </c>
      <c r="C7" s="111" t="s">
        <v>4918</v>
      </c>
      <c r="F7" s="118"/>
      <c r="G7" s="118"/>
      <c r="H7" s="118"/>
      <c r="I7" s="118"/>
      <c r="J7" s="118"/>
      <c r="K7" s="118"/>
      <c r="L7" s="118"/>
    </row>
    <row r="8" spans="1:12" x14ac:dyDescent="0.25">
      <c r="A8" s="71">
        <v>104</v>
      </c>
      <c r="B8" s="74" t="s">
        <v>4923</v>
      </c>
      <c r="C8" s="111" t="s">
        <v>4918</v>
      </c>
      <c r="F8" s="118"/>
      <c r="G8" s="118"/>
      <c r="H8" s="118"/>
      <c r="I8" s="118"/>
      <c r="J8" s="118"/>
      <c r="K8" s="118"/>
      <c r="L8" s="118"/>
    </row>
    <row r="9" spans="1:12" x14ac:dyDescent="0.25">
      <c r="A9" s="71">
        <v>105</v>
      </c>
      <c r="B9" s="74" t="s">
        <v>4924</v>
      </c>
      <c r="C9" s="111" t="s">
        <v>4918</v>
      </c>
      <c r="F9" s="118"/>
      <c r="G9" s="118"/>
      <c r="H9" s="118"/>
      <c r="I9" s="118"/>
      <c r="J9" s="118"/>
      <c r="K9" s="118"/>
      <c r="L9" s="118"/>
    </row>
    <row r="10" spans="1:12" x14ac:dyDescent="0.25">
      <c r="A10" s="71">
        <v>106</v>
      </c>
      <c r="B10" s="74" t="s">
        <v>4925</v>
      </c>
      <c r="C10" s="111" t="s">
        <v>4918</v>
      </c>
      <c r="F10" s="118"/>
      <c r="G10" s="118"/>
      <c r="H10" s="118"/>
      <c r="I10" s="118"/>
      <c r="J10" s="118"/>
      <c r="K10" s="118"/>
      <c r="L10" s="118"/>
    </row>
    <row r="11" spans="1:12" x14ac:dyDescent="0.25">
      <c r="A11" s="71">
        <v>107</v>
      </c>
      <c r="B11" s="74" t="s">
        <v>4926</v>
      </c>
      <c r="C11" s="111" t="s">
        <v>4918</v>
      </c>
    </row>
    <row r="12" spans="1:12" x14ac:dyDescent="0.25">
      <c r="A12" s="71">
        <v>108</v>
      </c>
      <c r="B12" s="74" t="s">
        <v>4927</v>
      </c>
      <c r="C12" s="111" t="s">
        <v>4918</v>
      </c>
    </row>
    <row r="13" spans="1:12" x14ac:dyDescent="0.25">
      <c r="A13" s="71">
        <v>109</v>
      </c>
      <c r="B13" s="74" t="s">
        <v>4928</v>
      </c>
      <c r="C13" s="111" t="s">
        <v>4918</v>
      </c>
    </row>
    <row r="14" spans="1:12" x14ac:dyDescent="0.25">
      <c r="A14" s="71">
        <v>11</v>
      </c>
      <c r="B14" s="74" t="s">
        <v>177</v>
      </c>
      <c r="C14" s="111" t="s">
        <v>4918</v>
      </c>
    </row>
    <row r="15" spans="1:12" x14ac:dyDescent="0.25">
      <c r="A15" s="71">
        <v>110</v>
      </c>
      <c r="B15" s="74" t="s">
        <v>4929</v>
      </c>
      <c r="C15" s="111" t="s">
        <v>4918</v>
      </c>
    </row>
    <row r="16" spans="1:12" x14ac:dyDescent="0.25">
      <c r="A16" s="71">
        <v>111</v>
      </c>
      <c r="B16" s="74" t="s">
        <v>4930</v>
      </c>
      <c r="C16" s="111" t="s">
        <v>4918</v>
      </c>
    </row>
    <row r="17" spans="1:3" x14ac:dyDescent="0.25">
      <c r="A17" s="71">
        <v>112</v>
      </c>
      <c r="B17" s="74" t="s">
        <v>4931</v>
      </c>
      <c r="C17" s="111" t="s">
        <v>4918</v>
      </c>
    </row>
    <row r="18" spans="1:3" x14ac:dyDescent="0.25">
      <c r="A18" s="71">
        <v>114</v>
      </c>
      <c r="B18" s="74" t="s">
        <v>4932</v>
      </c>
      <c r="C18" s="111" t="s">
        <v>4918</v>
      </c>
    </row>
    <row r="19" spans="1:3" x14ac:dyDescent="0.25">
      <c r="A19" s="71">
        <v>115</v>
      </c>
      <c r="B19" s="74" t="s">
        <v>4933</v>
      </c>
      <c r="C19" s="111" t="s">
        <v>4918</v>
      </c>
    </row>
    <row r="20" spans="1:3" x14ac:dyDescent="0.25">
      <c r="A20" s="71">
        <v>116</v>
      </c>
      <c r="B20" s="74" t="s">
        <v>4934</v>
      </c>
      <c r="C20" s="111" t="s">
        <v>4918</v>
      </c>
    </row>
    <row r="21" spans="1:3" x14ac:dyDescent="0.25">
      <c r="A21" s="71">
        <v>117</v>
      </c>
      <c r="B21" s="74" t="s">
        <v>4935</v>
      </c>
      <c r="C21" s="111" t="s">
        <v>4918</v>
      </c>
    </row>
    <row r="22" spans="1:3" x14ac:dyDescent="0.25">
      <c r="A22" s="71">
        <v>118</v>
      </c>
      <c r="B22" s="74" t="s">
        <v>4936</v>
      </c>
      <c r="C22" s="111" t="s">
        <v>4918</v>
      </c>
    </row>
    <row r="23" spans="1:3" x14ac:dyDescent="0.25">
      <c r="A23" s="71">
        <v>119</v>
      </c>
      <c r="B23" s="74" t="s">
        <v>4937</v>
      </c>
      <c r="C23" s="111" t="s">
        <v>4918</v>
      </c>
    </row>
    <row r="24" spans="1:3" x14ac:dyDescent="0.25">
      <c r="A24" s="71">
        <v>12</v>
      </c>
      <c r="B24" s="74" t="s">
        <v>178</v>
      </c>
      <c r="C24" s="111" t="s">
        <v>4918</v>
      </c>
    </row>
    <row r="25" spans="1:3" x14ac:dyDescent="0.25">
      <c r="A25" s="71">
        <v>120</v>
      </c>
      <c r="B25" s="74" t="s">
        <v>4938</v>
      </c>
      <c r="C25" s="111" t="s">
        <v>4918</v>
      </c>
    </row>
    <row r="26" spans="1:3" x14ac:dyDescent="0.25">
      <c r="A26" s="71">
        <v>121</v>
      </c>
      <c r="B26" s="74" t="s">
        <v>4939</v>
      </c>
      <c r="C26" s="111" t="s">
        <v>4918</v>
      </c>
    </row>
    <row r="27" spans="1:3" x14ac:dyDescent="0.25">
      <c r="A27" s="71">
        <v>122</v>
      </c>
      <c r="B27" s="74" t="s">
        <v>4940</v>
      </c>
      <c r="C27" s="111" t="s">
        <v>4918</v>
      </c>
    </row>
    <row r="28" spans="1:3" x14ac:dyDescent="0.25">
      <c r="A28" s="71">
        <v>125</v>
      </c>
      <c r="B28" s="74" t="s">
        <v>4941</v>
      </c>
      <c r="C28" s="111" t="s">
        <v>4918</v>
      </c>
    </row>
    <row r="29" spans="1:3" x14ac:dyDescent="0.25">
      <c r="A29" s="71">
        <v>127</v>
      </c>
      <c r="B29" s="74" t="s">
        <v>4942</v>
      </c>
      <c r="C29" s="111" t="s">
        <v>4918</v>
      </c>
    </row>
    <row r="30" spans="1:3" x14ac:dyDescent="0.25">
      <c r="A30" s="71">
        <v>128</v>
      </c>
      <c r="B30" s="74" t="s">
        <v>4943</v>
      </c>
      <c r="C30" s="111" t="s">
        <v>4918</v>
      </c>
    </row>
    <row r="31" spans="1:3" x14ac:dyDescent="0.25">
      <c r="A31" s="71">
        <v>129</v>
      </c>
      <c r="B31" s="74" t="s">
        <v>4944</v>
      </c>
      <c r="C31" s="111" t="s">
        <v>4918</v>
      </c>
    </row>
    <row r="32" spans="1:3" x14ac:dyDescent="0.25">
      <c r="A32" s="71">
        <v>13</v>
      </c>
      <c r="B32" s="74" t="s">
        <v>179</v>
      </c>
      <c r="C32" s="111" t="s">
        <v>4918</v>
      </c>
    </row>
    <row r="33" spans="1:3" x14ac:dyDescent="0.25">
      <c r="A33" s="71">
        <v>130</v>
      </c>
      <c r="B33" s="74" t="s">
        <v>4945</v>
      </c>
      <c r="C33" s="111" t="s">
        <v>4918</v>
      </c>
    </row>
    <row r="34" spans="1:3" x14ac:dyDescent="0.25">
      <c r="A34" s="71">
        <v>131</v>
      </c>
      <c r="B34" s="74" t="s">
        <v>4946</v>
      </c>
      <c r="C34" s="111" t="s">
        <v>4918</v>
      </c>
    </row>
    <row r="35" spans="1:3" x14ac:dyDescent="0.25">
      <c r="A35" s="71">
        <v>132</v>
      </c>
      <c r="B35" s="74" t="s">
        <v>4947</v>
      </c>
      <c r="C35" s="111" t="s">
        <v>4918</v>
      </c>
    </row>
    <row r="36" spans="1:3" x14ac:dyDescent="0.25">
      <c r="A36" s="71">
        <v>133</v>
      </c>
      <c r="B36" s="74" t="s">
        <v>4948</v>
      </c>
      <c r="C36" s="111" t="s">
        <v>4918</v>
      </c>
    </row>
    <row r="37" spans="1:3" x14ac:dyDescent="0.25">
      <c r="A37" s="71">
        <v>134</v>
      </c>
      <c r="B37" s="74" t="s">
        <v>4949</v>
      </c>
      <c r="C37" s="111" t="s">
        <v>4918</v>
      </c>
    </row>
    <row r="38" spans="1:3" x14ac:dyDescent="0.25">
      <c r="A38" s="71">
        <v>135</v>
      </c>
      <c r="B38" s="74" t="s">
        <v>4950</v>
      </c>
      <c r="C38" s="111" t="s">
        <v>4918</v>
      </c>
    </row>
    <row r="39" spans="1:3" x14ac:dyDescent="0.25">
      <c r="A39" s="71">
        <v>136</v>
      </c>
      <c r="B39" s="74" t="s">
        <v>4951</v>
      </c>
      <c r="C39" s="111" t="s">
        <v>4918</v>
      </c>
    </row>
    <row r="40" spans="1:3" x14ac:dyDescent="0.25">
      <c r="A40" s="71">
        <v>137</v>
      </c>
      <c r="B40" s="74" t="s">
        <v>4952</v>
      </c>
      <c r="C40" s="111" t="s">
        <v>4918</v>
      </c>
    </row>
    <row r="41" spans="1:3" x14ac:dyDescent="0.25">
      <c r="A41" s="71">
        <v>138</v>
      </c>
      <c r="B41" s="74" t="s">
        <v>4953</v>
      </c>
      <c r="C41" s="111" t="s">
        <v>4918</v>
      </c>
    </row>
    <row r="42" spans="1:3" x14ac:dyDescent="0.25">
      <c r="A42" s="71">
        <v>139</v>
      </c>
      <c r="B42" s="74" t="s">
        <v>4954</v>
      </c>
      <c r="C42" s="111" t="s">
        <v>4918</v>
      </c>
    </row>
    <row r="43" spans="1:3" x14ac:dyDescent="0.25">
      <c r="A43" s="71">
        <v>14</v>
      </c>
      <c r="B43" s="74" t="s">
        <v>180</v>
      </c>
      <c r="C43" s="111" t="s">
        <v>4918</v>
      </c>
    </row>
    <row r="44" spans="1:3" x14ac:dyDescent="0.25">
      <c r="A44" s="71">
        <v>140</v>
      </c>
      <c r="B44" s="74" t="s">
        <v>4955</v>
      </c>
      <c r="C44" s="111" t="s">
        <v>4918</v>
      </c>
    </row>
    <row r="45" spans="1:3" x14ac:dyDescent="0.25">
      <c r="A45" s="71">
        <v>141</v>
      </c>
      <c r="B45" s="74" t="s">
        <v>4956</v>
      </c>
      <c r="C45" s="111" t="s">
        <v>4918</v>
      </c>
    </row>
    <row r="46" spans="1:3" x14ac:dyDescent="0.25">
      <c r="A46" s="71">
        <v>142</v>
      </c>
      <c r="B46" s="74" t="s">
        <v>4957</v>
      </c>
      <c r="C46" s="111" t="s">
        <v>4918</v>
      </c>
    </row>
    <row r="47" spans="1:3" x14ac:dyDescent="0.25">
      <c r="A47" s="71">
        <v>143</v>
      </c>
      <c r="B47" s="74" t="s">
        <v>4958</v>
      </c>
      <c r="C47" s="111" t="s">
        <v>4918</v>
      </c>
    </row>
    <row r="48" spans="1:3" x14ac:dyDescent="0.25">
      <c r="A48" s="71">
        <v>144</v>
      </c>
      <c r="B48" s="74" t="s">
        <v>4959</v>
      </c>
      <c r="C48" s="111" t="s">
        <v>4918</v>
      </c>
    </row>
    <row r="49" spans="1:3" x14ac:dyDescent="0.25">
      <c r="A49" s="71">
        <v>146</v>
      </c>
      <c r="B49" s="74" t="s">
        <v>4960</v>
      </c>
      <c r="C49" s="111" t="s">
        <v>4918</v>
      </c>
    </row>
    <row r="50" spans="1:3" x14ac:dyDescent="0.25">
      <c r="A50" s="71">
        <v>147</v>
      </c>
      <c r="B50" s="74" t="s">
        <v>4961</v>
      </c>
      <c r="C50" s="111" t="s">
        <v>4918</v>
      </c>
    </row>
    <row r="51" spans="1:3" x14ac:dyDescent="0.25">
      <c r="A51" s="71">
        <v>148</v>
      </c>
      <c r="B51" s="74" t="s">
        <v>4962</v>
      </c>
      <c r="C51" s="111" t="s">
        <v>4918</v>
      </c>
    </row>
    <row r="52" spans="1:3" x14ac:dyDescent="0.25">
      <c r="A52" s="71">
        <v>149</v>
      </c>
      <c r="B52" s="74" t="s">
        <v>4963</v>
      </c>
      <c r="C52" s="111" t="s">
        <v>4918</v>
      </c>
    </row>
    <row r="53" spans="1:3" x14ac:dyDescent="0.25">
      <c r="A53" s="71">
        <v>15</v>
      </c>
      <c r="B53" s="74" t="s">
        <v>4964</v>
      </c>
      <c r="C53" s="111" t="s">
        <v>4918</v>
      </c>
    </row>
    <row r="54" spans="1:3" x14ac:dyDescent="0.25">
      <c r="A54" s="71">
        <v>150</v>
      </c>
      <c r="B54" s="74" t="s">
        <v>4965</v>
      </c>
      <c r="C54" s="111" t="s">
        <v>4918</v>
      </c>
    </row>
    <row r="55" spans="1:3" x14ac:dyDescent="0.25">
      <c r="A55" s="71">
        <v>151</v>
      </c>
      <c r="B55" s="74" t="s">
        <v>4966</v>
      </c>
      <c r="C55" s="111" t="s">
        <v>4918</v>
      </c>
    </row>
    <row r="56" spans="1:3" x14ac:dyDescent="0.25">
      <c r="A56" s="71">
        <v>152</v>
      </c>
      <c r="B56" s="74" t="s">
        <v>4967</v>
      </c>
      <c r="C56" s="111" t="s">
        <v>4918</v>
      </c>
    </row>
    <row r="57" spans="1:3" x14ac:dyDescent="0.25">
      <c r="A57" s="71">
        <v>153</v>
      </c>
      <c r="B57" s="74" t="s">
        <v>4968</v>
      </c>
      <c r="C57" s="111" t="s">
        <v>4918</v>
      </c>
    </row>
    <row r="58" spans="1:3" x14ac:dyDescent="0.25">
      <c r="A58" s="71">
        <v>154</v>
      </c>
      <c r="B58" s="74" t="s">
        <v>4969</v>
      </c>
      <c r="C58" s="111" t="s">
        <v>4918</v>
      </c>
    </row>
    <row r="59" spans="1:3" x14ac:dyDescent="0.25">
      <c r="A59" s="71">
        <v>155</v>
      </c>
      <c r="B59" s="74" t="s">
        <v>4970</v>
      </c>
      <c r="C59" s="111" t="s">
        <v>4918</v>
      </c>
    </row>
    <row r="60" spans="1:3" x14ac:dyDescent="0.25">
      <c r="A60" s="71">
        <v>157</v>
      </c>
      <c r="B60" s="74" t="s">
        <v>4971</v>
      </c>
      <c r="C60" s="111" t="s">
        <v>4918</v>
      </c>
    </row>
    <row r="61" spans="1:3" x14ac:dyDescent="0.25">
      <c r="A61" s="71">
        <v>158</v>
      </c>
      <c r="B61" s="74" t="s">
        <v>4972</v>
      </c>
      <c r="C61" s="111" t="s">
        <v>4918</v>
      </c>
    </row>
    <row r="62" spans="1:3" x14ac:dyDescent="0.25">
      <c r="A62" s="71">
        <v>159</v>
      </c>
      <c r="B62" s="74" t="s">
        <v>4973</v>
      </c>
      <c r="C62" s="111" t="s">
        <v>4918</v>
      </c>
    </row>
    <row r="63" spans="1:3" x14ac:dyDescent="0.25">
      <c r="A63" s="71">
        <v>16</v>
      </c>
      <c r="B63" s="74" t="s">
        <v>4974</v>
      </c>
      <c r="C63" s="111" t="s">
        <v>4918</v>
      </c>
    </row>
    <row r="64" spans="1:3" x14ac:dyDescent="0.25">
      <c r="A64" s="71">
        <v>160</v>
      </c>
      <c r="B64" s="74" t="s">
        <v>4975</v>
      </c>
      <c r="C64" s="111" t="s">
        <v>4918</v>
      </c>
    </row>
    <row r="65" spans="1:3" x14ac:dyDescent="0.25">
      <c r="A65" s="71">
        <v>161</v>
      </c>
      <c r="B65" s="74" t="s">
        <v>152</v>
      </c>
      <c r="C65" s="111" t="s">
        <v>4918</v>
      </c>
    </row>
    <row r="66" spans="1:3" x14ac:dyDescent="0.25">
      <c r="A66" s="71">
        <v>162</v>
      </c>
      <c r="B66" s="74" t="s">
        <v>4976</v>
      </c>
      <c r="C66" s="111" t="s">
        <v>4918</v>
      </c>
    </row>
    <row r="67" spans="1:3" x14ac:dyDescent="0.25">
      <c r="A67" s="71">
        <v>163</v>
      </c>
      <c r="B67" s="74" t="s">
        <v>4977</v>
      </c>
      <c r="C67" s="111" t="s">
        <v>4918</v>
      </c>
    </row>
    <row r="68" spans="1:3" x14ac:dyDescent="0.25">
      <c r="A68" s="71">
        <v>164</v>
      </c>
      <c r="B68" s="74" t="s">
        <v>4978</v>
      </c>
      <c r="C68" s="111" t="s">
        <v>4918</v>
      </c>
    </row>
    <row r="69" spans="1:3" x14ac:dyDescent="0.25">
      <c r="A69" s="71">
        <v>165</v>
      </c>
      <c r="B69" s="74" t="s">
        <v>4979</v>
      </c>
      <c r="C69" s="111" t="s">
        <v>4918</v>
      </c>
    </row>
    <row r="70" spans="1:3" x14ac:dyDescent="0.25">
      <c r="A70" s="71">
        <v>166</v>
      </c>
      <c r="B70" s="74" t="s">
        <v>4980</v>
      </c>
      <c r="C70" s="111" t="s">
        <v>4918</v>
      </c>
    </row>
    <row r="71" spans="1:3" x14ac:dyDescent="0.25">
      <c r="A71" s="71">
        <v>167</v>
      </c>
      <c r="B71" s="74" t="s">
        <v>4981</v>
      </c>
      <c r="C71" s="111" t="s">
        <v>4918</v>
      </c>
    </row>
    <row r="72" spans="1:3" x14ac:dyDescent="0.25">
      <c r="A72" s="71">
        <v>169</v>
      </c>
      <c r="B72" s="74" t="s">
        <v>4982</v>
      </c>
      <c r="C72" s="111" t="s">
        <v>4918</v>
      </c>
    </row>
    <row r="73" spans="1:3" x14ac:dyDescent="0.25">
      <c r="A73" s="71">
        <v>17</v>
      </c>
      <c r="B73" s="74" t="s">
        <v>4983</v>
      </c>
      <c r="C73" s="111" t="s">
        <v>4918</v>
      </c>
    </row>
    <row r="74" spans="1:3" x14ac:dyDescent="0.25">
      <c r="A74" s="71">
        <v>170</v>
      </c>
      <c r="B74" s="74" t="s">
        <v>4984</v>
      </c>
      <c r="C74" s="111" t="s">
        <v>4918</v>
      </c>
    </row>
    <row r="75" spans="1:3" x14ac:dyDescent="0.25">
      <c r="A75" s="71">
        <v>171</v>
      </c>
      <c r="B75" s="74" t="s">
        <v>4985</v>
      </c>
      <c r="C75" s="111" t="s">
        <v>4918</v>
      </c>
    </row>
    <row r="76" spans="1:3" x14ac:dyDescent="0.25">
      <c r="A76" s="71">
        <v>172</v>
      </c>
      <c r="B76" s="74" t="s">
        <v>4986</v>
      </c>
      <c r="C76" s="111" t="s">
        <v>4918</v>
      </c>
    </row>
    <row r="77" spans="1:3" x14ac:dyDescent="0.25">
      <c r="A77" s="71">
        <v>173</v>
      </c>
      <c r="B77" s="74" t="s">
        <v>4987</v>
      </c>
      <c r="C77" s="111" t="s">
        <v>4918</v>
      </c>
    </row>
    <row r="78" spans="1:3" x14ac:dyDescent="0.25">
      <c r="A78" s="71">
        <v>174</v>
      </c>
      <c r="B78" s="74" t="s">
        <v>4988</v>
      </c>
      <c r="C78" s="111" t="s">
        <v>4918</v>
      </c>
    </row>
    <row r="79" spans="1:3" x14ac:dyDescent="0.25">
      <c r="A79" s="71">
        <v>175</v>
      </c>
      <c r="B79" s="74" t="s">
        <v>4989</v>
      </c>
      <c r="C79" s="111" t="s">
        <v>4918</v>
      </c>
    </row>
    <row r="80" spans="1:3" x14ac:dyDescent="0.25">
      <c r="A80" s="71">
        <v>176</v>
      </c>
      <c r="B80" s="74" t="s">
        <v>4990</v>
      </c>
      <c r="C80" s="111" t="s">
        <v>4918</v>
      </c>
    </row>
    <row r="81" spans="1:3" x14ac:dyDescent="0.25">
      <c r="A81" s="71">
        <v>177</v>
      </c>
      <c r="B81" s="74" t="s">
        <v>4991</v>
      </c>
      <c r="C81" s="111" t="s">
        <v>4918</v>
      </c>
    </row>
    <row r="82" spans="1:3" x14ac:dyDescent="0.25">
      <c r="A82" s="71">
        <v>178</v>
      </c>
      <c r="B82" s="74" t="s">
        <v>4992</v>
      </c>
      <c r="C82" s="111" t="s">
        <v>4918</v>
      </c>
    </row>
    <row r="83" spans="1:3" x14ac:dyDescent="0.25">
      <c r="A83" s="71">
        <v>179</v>
      </c>
      <c r="B83" s="74" t="s">
        <v>4993</v>
      </c>
      <c r="C83" s="111" t="s">
        <v>4918</v>
      </c>
    </row>
    <row r="84" spans="1:3" x14ac:dyDescent="0.25">
      <c r="A84" s="71">
        <v>18</v>
      </c>
      <c r="B84" s="74" t="s">
        <v>4994</v>
      </c>
      <c r="C84" s="111" t="s">
        <v>4918</v>
      </c>
    </row>
    <row r="85" spans="1:3" x14ac:dyDescent="0.25">
      <c r="A85" s="71">
        <v>180</v>
      </c>
      <c r="B85" s="74" t="s">
        <v>4995</v>
      </c>
      <c r="C85" s="111" t="s">
        <v>4918</v>
      </c>
    </row>
    <row r="86" spans="1:3" x14ac:dyDescent="0.25">
      <c r="A86" s="71">
        <v>181</v>
      </c>
      <c r="B86" s="74" t="s">
        <v>4996</v>
      </c>
      <c r="C86" s="111" t="s">
        <v>4918</v>
      </c>
    </row>
    <row r="87" spans="1:3" x14ac:dyDescent="0.25">
      <c r="A87" s="71">
        <v>182</v>
      </c>
      <c r="B87" s="74" t="s">
        <v>4997</v>
      </c>
      <c r="C87" s="111" t="s">
        <v>4918</v>
      </c>
    </row>
    <row r="88" spans="1:3" x14ac:dyDescent="0.25">
      <c r="A88" s="71">
        <v>183</v>
      </c>
      <c r="B88" s="74" t="s">
        <v>4998</v>
      </c>
      <c r="C88" s="111" t="s">
        <v>4918</v>
      </c>
    </row>
    <row r="89" spans="1:3" x14ac:dyDescent="0.25">
      <c r="A89" s="71">
        <v>184</v>
      </c>
      <c r="B89" s="74" t="s">
        <v>4999</v>
      </c>
      <c r="C89" s="111" t="s">
        <v>4918</v>
      </c>
    </row>
    <row r="90" spans="1:3" x14ac:dyDescent="0.25">
      <c r="A90" s="71">
        <v>185</v>
      </c>
      <c r="B90" s="74" t="s">
        <v>5000</v>
      </c>
      <c r="C90" s="111" t="s">
        <v>4918</v>
      </c>
    </row>
    <row r="91" spans="1:3" x14ac:dyDescent="0.25">
      <c r="A91" s="71">
        <v>186</v>
      </c>
      <c r="B91" s="74" t="s">
        <v>5001</v>
      </c>
      <c r="C91" s="111" t="s">
        <v>4918</v>
      </c>
    </row>
    <row r="92" spans="1:3" x14ac:dyDescent="0.25">
      <c r="A92" s="71">
        <v>187</v>
      </c>
      <c r="B92" s="74" t="s">
        <v>153</v>
      </c>
      <c r="C92" s="111" t="s">
        <v>4918</v>
      </c>
    </row>
    <row r="93" spans="1:3" x14ac:dyDescent="0.25">
      <c r="A93" s="71">
        <v>188</v>
      </c>
      <c r="B93" s="74" t="s">
        <v>5002</v>
      </c>
      <c r="C93" s="111" t="s">
        <v>4918</v>
      </c>
    </row>
    <row r="94" spans="1:3" x14ac:dyDescent="0.25">
      <c r="A94" s="71">
        <v>189</v>
      </c>
      <c r="B94" s="74" t="s">
        <v>5003</v>
      </c>
      <c r="C94" s="111" t="s">
        <v>4918</v>
      </c>
    </row>
    <row r="95" spans="1:3" x14ac:dyDescent="0.25">
      <c r="A95" s="71">
        <v>19</v>
      </c>
      <c r="B95" s="74" t="s">
        <v>5004</v>
      </c>
      <c r="C95" s="111" t="s">
        <v>4918</v>
      </c>
    </row>
    <row r="96" spans="1:3" x14ac:dyDescent="0.25">
      <c r="A96" s="71">
        <v>190</v>
      </c>
      <c r="B96" s="74" t="s">
        <v>5005</v>
      </c>
      <c r="C96" s="111" t="s">
        <v>4918</v>
      </c>
    </row>
    <row r="97" spans="1:3" x14ac:dyDescent="0.25">
      <c r="A97" s="71">
        <v>191</v>
      </c>
      <c r="B97" s="74" t="s">
        <v>5006</v>
      </c>
      <c r="C97" s="111" t="s">
        <v>4918</v>
      </c>
    </row>
    <row r="98" spans="1:3" x14ac:dyDescent="0.25">
      <c r="A98" s="71">
        <v>192</v>
      </c>
      <c r="B98" s="74" t="s">
        <v>5007</v>
      </c>
      <c r="C98" s="111" t="s">
        <v>4918</v>
      </c>
    </row>
    <row r="99" spans="1:3" x14ac:dyDescent="0.25">
      <c r="A99" s="71">
        <v>193</v>
      </c>
      <c r="B99" s="74" t="s">
        <v>5008</v>
      </c>
      <c r="C99" s="111" t="s">
        <v>4918</v>
      </c>
    </row>
    <row r="100" spans="1:3" x14ac:dyDescent="0.25">
      <c r="A100" s="71">
        <v>194</v>
      </c>
      <c r="B100" s="74" t="s">
        <v>5009</v>
      </c>
      <c r="C100" s="111" t="s">
        <v>4918</v>
      </c>
    </row>
    <row r="101" spans="1:3" x14ac:dyDescent="0.25">
      <c r="A101" s="71">
        <v>195</v>
      </c>
      <c r="B101" s="74" t="s">
        <v>5010</v>
      </c>
      <c r="C101" s="111" t="s">
        <v>4918</v>
      </c>
    </row>
    <row r="102" spans="1:3" x14ac:dyDescent="0.25">
      <c r="A102" s="71">
        <v>197</v>
      </c>
      <c r="B102" s="74" t="s">
        <v>5011</v>
      </c>
      <c r="C102" s="111" t="s">
        <v>4918</v>
      </c>
    </row>
    <row r="103" spans="1:3" x14ac:dyDescent="0.25">
      <c r="A103" s="71">
        <v>198</v>
      </c>
      <c r="B103" s="74" t="s">
        <v>5012</v>
      </c>
      <c r="C103" s="111" t="s">
        <v>4918</v>
      </c>
    </row>
    <row r="104" spans="1:3" x14ac:dyDescent="0.25">
      <c r="A104" s="71">
        <v>199</v>
      </c>
      <c r="B104" s="74" t="s">
        <v>5013</v>
      </c>
      <c r="C104" s="111" t="s">
        <v>4918</v>
      </c>
    </row>
    <row r="105" spans="1:3" x14ac:dyDescent="0.25">
      <c r="A105" s="71">
        <v>2</v>
      </c>
      <c r="B105" s="74" t="s">
        <v>146</v>
      </c>
      <c r="C105" s="111" t="s">
        <v>4918</v>
      </c>
    </row>
    <row r="106" spans="1:3" x14ac:dyDescent="0.25">
      <c r="A106" s="71">
        <v>20</v>
      </c>
      <c r="B106" s="74" t="s">
        <v>5014</v>
      </c>
      <c r="C106" s="111" t="s">
        <v>4918</v>
      </c>
    </row>
    <row r="107" spans="1:3" x14ac:dyDescent="0.25">
      <c r="A107" s="71">
        <v>200</v>
      </c>
      <c r="B107" s="74" t="s">
        <v>156</v>
      </c>
      <c r="C107" s="111" t="s">
        <v>4918</v>
      </c>
    </row>
    <row r="108" spans="1:3" x14ac:dyDescent="0.25">
      <c r="A108" s="71">
        <v>201</v>
      </c>
      <c r="B108" s="74" t="s">
        <v>5015</v>
      </c>
      <c r="C108" s="111" t="s">
        <v>4918</v>
      </c>
    </row>
    <row r="109" spans="1:3" x14ac:dyDescent="0.25">
      <c r="A109" s="71">
        <v>202</v>
      </c>
      <c r="B109" s="74" t="s">
        <v>5016</v>
      </c>
      <c r="C109" s="111" t="s">
        <v>4918</v>
      </c>
    </row>
    <row r="110" spans="1:3" x14ac:dyDescent="0.25">
      <c r="A110" s="71">
        <v>203</v>
      </c>
      <c r="B110" s="74" t="s">
        <v>5017</v>
      </c>
      <c r="C110" s="111" t="s">
        <v>4918</v>
      </c>
    </row>
    <row r="111" spans="1:3" x14ac:dyDescent="0.25">
      <c r="A111" s="71">
        <v>204</v>
      </c>
      <c r="B111" s="74" t="s">
        <v>157</v>
      </c>
      <c r="C111" s="111" t="s">
        <v>4918</v>
      </c>
    </row>
    <row r="112" spans="1:3" x14ac:dyDescent="0.25">
      <c r="A112" s="71">
        <v>205</v>
      </c>
      <c r="B112" s="74" t="s">
        <v>158</v>
      </c>
      <c r="C112" s="111" t="s">
        <v>4918</v>
      </c>
    </row>
    <row r="113" spans="1:3" x14ac:dyDescent="0.25">
      <c r="A113" s="71">
        <v>206</v>
      </c>
      <c r="B113" s="74" t="s">
        <v>5018</v>
      </c>
      <c r="C113" s="111" t="s">
        <v>4918</v>
      </c>
    </row>
    <row r="114" spans="1:3" x14ac:dyDescent="0.25">
      <c r="A114" s="71">
        <v>207</v>
      </c>
      <c r="B114" s="74" t="s">
        <v>5019</v>
      </c>
      <c r="C114" s="111" t="s">
        <v>4918</v>
      </c>
    </row>
    <row r="115" spans="1:3" x14ac:dyDescent="0.25">
      <c r="A115" s="71">
        <v>208</v>
      </c>
      <c r="B115" s="74" t="s">
        <v>5020</v>
      </c>
      <c r="C115" s="111" t="s">
        <v>4918</v>
      </c>
    </row>
    <row r="116" spans="1:3" x14ac:dyDescent="0.25">
      <c r="A116" s="71">
        <v>209</v>
      </c>
      <c r="B116" s="74" t="s">
        <v>5021</v>
      </c>
      <c r="C116" s="111" t="s">
        <v>4918</v>
      </c>
    </row>
    <row r="117" spans="1:3" x14ac:dyDescent="0.25">
      <c r="A117" s="71">
        <v>21</v>
      </c>
      <c r="B117" s="74" t="s">
        <v>5022</v>
      </c>
      <c r="C117" s="111" t="s">
        <v>4918</v>
      </c>
    </row>
    <row r="118" spans="1:3" x14ac:dyDescent="0.25">
      <c r="A118" s="71">
        <v>210</v>
      </c>
      <c r="B118" s="74" t="s">
        <v>159</v>
      </c>
      <c r="C118" s="111" t="s">
        <v>4918</v>
      </c>
    </row>
    <row r="119" spans="1:3" x14ac:dyDescent="0.25">
      <c r="A119" s="71">
        <v>211</v>
      </c>
      <c r="B119" s="74" t="s">
        <v>5023</v>
      </c>
      <c r="C119" s="111" t="s">
        <v>4918</v>
      </c>
    </row>
    <row r="120" spans="1:3" x14ac:dyDescent="0.25">
      <c r="A120" s="71">
        <v>212</v>
      </c>
      <c r="B120" s="74" t="s">
        <v>160</v>
      </c>
      <c r="C120" s="111" t="s">
        <v>4918</v>
      </c>
    </row>
    <row r="121" spans="1:3" x14ac:dyDescent="0.25">
      <c r="A121" s="71">
        <v>213</v>
      </c>
      <c r="B121" s="74" t="s">
        <v>5024</v>
      </c>
      <c r="C121" s="111" t="s">
        <v>4918</v>
      </c>
    </row>
    <row r="122" spans="1:3" x14ac:dyDescent="0.25">
      <c r="A122" s="71">
        <v>215</v>
      </c>
      <c r="B122" s="74" t="s">
        <v>161</v>
      </c>
      <c r="C122" s="111" t="s">
        <v>4918</v>
      </c>
    </row>
    <row r="123" spans="1:3" x14ac:dyDescent="0.25">
      <c r="A123" s="71">
        <v>216</v>
      </c>
      <c r="B123" s="74" t="s">
        <v>5025</v>
      </c>
      <c r="C123" s="111" t="s">
        <v>4918</v>
      </c>
    </row>
    <row r="124" spans="1:3" x14ac:dyDescent="0.25">
      <c r="A124" s="71">
        <v>217</v>
      </c>
      <c r="B124" s="74" t="s">
        <v>5026</v>
      </c>
      <c r="C124" s="111" t="s">
        <v>4918</v>
      </c>
    </row>
    <row r="125" spans="1:3" x14ac:dyDescent="0.25">
      <c r="A125" s="71">
        <v>218</v>
      </c>
      <c r="B125" s="74" t="s">
        <v>5027</v>
      </c>
      <c r="C125" s="111" t="s">
        <v>4918</v>
      </c>
    </row>
    <row r="126" spans="1:3" x14ac:dyDescent="0.25">
      <c r="A126" s="71">
        <v>219</v>
      </c>
      <c r="B126" s="74" t="s">
        <v>5028</v>
      </c>
      <c r="C126" s="111" t="s">
        <v>4918</v>
      </c>
    </row>
    <row r="127" spans="1:3" x14ac:dyDescent="0.25">
      <c r="A127" s="71">
        <v>22</v>
      </c>
      <c r="B127" s="74" t="s">
        <v>5029</v>
      </c>
      <c r="C127" s="111" t="s">
        <v>4918</v>
      </c>
    </row>
    <row r="128" spans="1:3" x14ac:dyDescent="0.25">
      <c r="A128" s="71">
        <v>220</v>
      </c>
      <c r="B128" s="74" t="s">
        <v>5030</v>
      </c>
      <c r="C128" s="111" t="s">
        <v>4918</v>
      </c>
    </row>
    <row r="129" spans="1:3" x14ac:dyDescent="0.25">
      <c r="A129" s="71">
        <v>221</v>
      </c>
      <c r="B129" s="74" t="s">
        <v>6388</v>
      </c>
      <c r="C129" s="111" t="s">
        <v>4918</v>
      </c>
    </row>
    <row r="130" spans="1:3" x14ac:dyDescent="0.25">
      <c r="A130" s="71">
        <v>222</v>
      </c>
      <c r="B130" s="74" t="s">
        <v>5031</v>
      </c>
      <c r="C130" s="111" t="s">
        <v>4918</v>
      </c>
    </row>
    <row r="131" spans="1:3" x14ac:dyDescent="0.25">
      <c r="A131" s="71">
        <v>223</v>
      </c>
      <c r="B131" s="74" t="s">
        <v>5032</v>
      </c>
      <c r="C131" s="111" t="s">
        <v>4918</v>
      </c>
    </row>
    <row r="132" spans="1:3" x14ac:dyDescent="0.25">
      <c r="A132" s="71">
        <v>224</v>
      </c>
      <c r="B132" s="74" t="s">
        <v>5033</v>
      </c>
      <c r="C132" s="111" t="s">
        <v>4918</v>
      </c>
    </row>
    <row r="133" spans="1:3" x14ac:dyDescent="0.25">
      <c r="A133" s="71">
        <v>225</v>
      </c>
      <c r="B133" s="74" t="s">
        <v>5034</v>
      </c>
      <c r="C133" s="111" t="s">
        <v>4918</v>
      </c>
    </row>
    <row r="134" spans="1:3" x14ac:dyDescent="0.25">
      <c r="A134" s="71">
        <v>226</v>
      </c>
      <c r="B134" s="74" t="s">
        <v>5035</v>
      </c>
      <c r="C134" s="111" t="s">
        <v>4918</v>
      </c>
    </row>
    <row r="135" spans="1:3" x14ac:dyDescent="0.25">
      <c r="A135" s="71">
        <v>227</v>
      </c>
      <c r="B135" s="74" t="s">
        <v>5036</v>
      </c>
      <c r="C135" s="111" t="s">
        <v>4918</v>
      </c>
    </row>
    <row r="136" spans="1:3" x14ac:dyDescent="0.25">
      <c r="A136" s="71">
        <v>228</v>
      </c>
      <c r="B136" s="74" t="s">
        <v>5037</v>
      </c>
      <c r="C136" s="111" t="s">
        <v>4918</v>
      </c>
    </row>
    <row r="137" spans="1:3" x14ac:dyDescent="0.25">
      <c r="A137" s="71">
        <v>229</v>
      </c>
      <c r="B137" s="74" t="s">
        <v>5038</v>
      </c>
      <c r="C137" s="111" t="s">
        <v>4918</v>
      </c>
    </row>
    <row r="138" spans="1:3" x14ac:dyDescent="0.25">
      <c r="A138" s="71">
        <v>23</v>
      </c>
      <c r="B138" s="74" t="s">
        <v>5039</v>
      </c>
      <c r="C138" s="111" t="s">
        <v>4918</v>
      </c>
    </row>
    <row r="139" spans="1:3" x14ac:dyDescent="0.25">
      <c r="A139" s="71">
        <v>231</v>
      </c>
      <c r="B139" s="74" t="s">
        <v>5040</v>
      </c>
      <c r="C139" s="111" t="s">
        <v>4918</v>
      </c>
    </row>
    <row r="140" spans="1:3" x14ac:dyDescent="0.25">
      <c r="A140" s="71">
        <v>232</v>
      </c>
      <c r="B140" s="74" t="s">
        <v>5041</v>
      </c>
      <c r="C140" s="111" t="s">
        <v>4918</v>
      </c>
    </row>
    <row r="141" spans="1:3" x14ac:dyDescent="0.25">
      <c r="A141" s="71">
        <v>233</v>
      </c>
      <c r="B141" s="74" t="s">
        <v>5042</v>
      </c>
      <c r="C141" s="111" t="s">
        <v>4918</v>
      </c>
    </row>
    <row r="142" spans="1:3" x14ac:dyDescent="0.25">
      <c r="A142" s="71">
        <v>234</v>
      </c>
      <c r="B142" s="74" t="s">
        <v>5043</v>
      </c>
      <c r="C142" s="111" t="s">
        <v>4918</v>
      </c>
    </row>
    <row r="143" spans="1:3" x14ac:dyDescent="0.25">
      <c r="A143" s="71">
        <v>235</v>
      </c>
      <c r="B143" s="74" t="s">
        <v>162</v>
      </c>
      <c r="C143" s="111" t="s">
        <v>4918</v>
      </c>
    </row>
    <row r="144" spans="1:3" x14ac:dyDescent="0.25">
      <c r="A144" s="71">
        <v>236</v>
      </c>
      <c r="B144" s="74" t="s">
        <v>5044</v>
      </c>
      <c r="C144" s="111" t="s">
        <v>4918</v>
      </c>
    </row>
    <row r="145" spans="1:3" x14ac:dyDescent="0.25">
      <c r="A145" s="71">
        <v>237</v>
      </c>
      <c r="B145" s="74" t="s">
        <v>5045</v>
      </c>
      <c r="C145" s="111" t="s">
        <v>4918</v>
      </c>
    </row>
    <row r="146" spans="1:3" x14ac:dyDescent="0.25">
      <c r="A146" s="71">
        <v>238</v>
      </c>
      <c r="B146" s="74" t="s">
        <v>5046</v>
      </c>
      <c r="C146" s="111" t="s">
        <v>4918</v>
      </c>
    </row>
    <row r="147" spans="1:3" x14ac:dyDescent="0.25">
      <c r="A147" s="71">
        <v>239</v>
      </c>
      <c r="B147" s="74" t="s">
        <v>5047</v>
      </c>
      <c r="C147" s="111" t="s">
        <v>4918</v>
      </c>
    </row>
    <row r="148" spans="1:3" x14ac:dyDescent="0.25">
      <c r="A148" s="71">
        <v>24</v>
      </c>
      <c r="B148" s="74" t="s">
        <v>5048</v>
      </c>
      <c r="C148" s="111" t="s">
        <v>4918</v>
      </c>
    </row>
    <row r="149" spans="1:3" x14ac:dyDescent="0.25">
      <c r="A149" s="71">
        <v>240</v>
      </c>
      <c r="B149" s="74" t="s">
        <v>5049</v>
      </c>
      <c r="C149" s="111" t="s">
        <v>4918</v>
      </c>
    </row>
    <row r="150" spans="1:3" x14ac:dyDescent="0.25">
      <c r="A150" s="71">
        <v>241</v>
      </c>
      <c r="B150" s="74" t="s">
        <v>5050</v>
      </c>
      <c r="C150" s="111" t="s">
        <v>4918</v>
      </c>
    </row>
    <row r="151" spans="1:3" x14ac:dyDescent="0.25">
      <c r="A151" s="71">
        <v>242</v>
      </c>
      <c r="B151" s="74" t="s">
        <v>4993</v>
      </c>
      <c r="C151" s="111" t="s">
        <v>4918</v>
      </c>
    </row>
    <row r="152" spans="1:3" x14ac:dyDescent="0.25">
      <c r="A152" s="71">
        <v>243</v>
      </c>
      <c r="B152" s="74" t="s">
        <v>5051</v>
      </c>
      <c r="C152" s="111" t="s">
        <v>4918</v>
      </c>
    </row>
    <row r="153" spans="1:3" x14ac:dyDescent="0.25">
      <c r="A153" s="71">
        <v>244</v>
      </c>
      <c r="B153" s="74" t="s">
        <v>5052</v>
      </c>
      <c r="C153" s="111" t="s">
        <v>4918</v>
      </c>
    </row>
    <row r="154" spans="1:3" x14ac:dyDescent="0.25">
      <c r="A154" s="71">
        <v>245</v>
      </c>
      <c r="B154" s="74" t="s">
        <v>5053</v>
      </c>
      <c r="C154" s="111" t="s">
        <v>4918</v>
      </c>
    </row>
    <row r="155" spans="1:3" x14ac:dyDescent="0.25">
      <c r="A155" s="71">
        <v>246</v>
      </c>
      <c r="B155" s="74" t="s">
        <v>5054</v>
      </c>
      <c r="C155" s="111" t="s">
        <v>4918</v>
      </c>
    </row>
    <row r="156" spans="1:3" x14ac:dyDescent="0.25">
      <c r="A156" s="71">
        <v>247</v>
      </c>
      <c r="B156" s="74" t="s">
        <v>5055</v>
      </c>
      <c r="C156" s="111" t="s">
        <v>4918</v>
      </c>
    </row>
    <row r="157" spans="1:3" x14ac:dyDescent="0.25">
      <c r="A157" s="71">
        <v>248</v>
      </c>
      <c r="B157" s="74" t="s">
        <v>5056</v>
      </c>
      <c r="C157" s="111" t="s">
        <v>4918</v>
      </c>
    </row>
    <row r="158" spans="1:3" x14ac:dyDescent="0.25">
      <c r="A158" s="71">
        <v>249</v>
      </c>
      <c r="B158" s="74" t="s">
        <v>5057</v>
      </c>
      <c r="C158" s="111" t="s">
        <v>4918</v>
      </c>
    </row>
    <row r="159" spans="1:3" x14ac:dyDescent="0.25">
      <c r="A159" s="71">
        <v>25</v>
      </c>
      <c r="B159" s="74" t="s">
        <v>5058</v>
      </c>
      <c r="C159" s="111" t="s">
        <v>4918</v>
      </c>
    </row>
    <row r="160" spans="1:3" x14ac:dyDescent="0.25">
      <c r="A160" s="71">
        <v>250</v>
      </c>
      <c r="B160" s="74" t="s">
        <v>5059</v>
      </c>
      <c r="C160" s="111" t="s">
        <v>4918</v>
      </c>
    </row>
    <row r="161" spans="1:3" x14ac:dyDescent="0.25">
      <c r="A161" s="71">
        <v>251</v>
      </c>
      <c r="B161" s="74" t="s">
        <v>5060</v>
      </c>
      <c r="C161" s="111" t="s">
        <v>4918</v>
      </c>
    </row>
    <row r="162" spans="1:3" x14ac:dyDescent="0.25">
      <c r="A162" s="71">
        <v>252</v>
      </c>
      <c r="B162" s="74" t="s">
        <v>5061</v>
      </c>
      <c r="C162" s="111" t="s">
        <v>4918</v>
      </c>
    </row>
    <row r="163" spans="1:3" x14ac:dyDescent="0.25">
      <c r="A163" s="71">
        <v>253</v>
      </c>
      <c r="B163" s="74" t="s">
        <v>5062</v>
      </c>
      <c r="C163" s="111" t="s">
        <v>4918</v>
      </c>
    </row>
    <row r="164" spans="1:3" x14ac:dyDescent="0.25">
      <c r="A164" s="71">
        <v>254</v>
      </c>
      <c r="B164" s="74" t="s">
        <v>5063</v>
      </c>
      <c r="C164" s="111" t="s">
        <v>4918</v>
      </c>
    </row>
    <row r="165" spans="1:3" x14ac:dyDescent="0.25">
      <c r="A165" s="71">
        <v>256</v>
      </c>
      <c r="B165" s="74" t="s">
        <v>5064</v>
      </c>
      <c r="C165" s="111" t="s">
        <v>4918</v>
      </c>
    </row>
    <row r="166" spans="1:3" x14ac:dyDescent="0.25">
      <c r="A166" s="71">
        <v>257</v>
      </c>
      <c r="B166" s="74" t="s">
        <v>5065</v>
      </c>
      <c r="C166" s="111" t="s">
        <v>4918</v>
      </c>
    </row>
    <row r="167" spans="1:3" x14ac:dyDescent="0.25">
      <c r="A167" s="71">
        <v>258</v>
      </c>
      <c r="B167" s="74" t="s">
        <v>4928</v>
      </c>
      <c r="C167" s="111" t="s">
        <v>4918</v>
      </c>
    </row>
    <row r="168" spans="1:3" x14ac:dyDescent="0.25">
      <c r="A168" s="71">
        <v>259</v>
      </c>
      <c r="B168" s="74" t="s">
        <v>5066</v>
      </c>
      <c r="C168" s="111" t="s">
        <v>4918</v>
      </c>
    </row>
    <row r="169" spans="1:3" x14ac:dyDescent="0.25">
      <c r="A169" s="71">
        <v>26</v>
      </c>
      <c r="B169" s="74" t="s">
        <v>6389</v>
      </c>
      <c r="C169" s="111" t="s">
        <v>4918</v>
      </c>
    </row>
    <row r="170" spans="1:3" x14ac:dyDescent="0.25">
      <c r="A170" s="71">
        <v>260</v>
      </c>
      <c r="B170" s="74" t="s">
        <v>5067</v>
      </c>
      <c r="C170" s="111" t="s">
        <v>4918</v>
      </c>
    </row>
    <row r="171" spans="1:3" x14ac:dyDescent="0.25">
      <c r="A171" s="71">
        <v>261</v>
      </c>
      <c r="B171" s="74" t="s">
        <v>5068</v>
      </c>
      <c r="C171" s="111" t="s">
        <v>4918</v>
      </c>
    </row>
    <row r="172" spans="1:3" x14ac:dyDescent="0.25">
      <c r="A172" s="71">
        <v>262</v>
      </c>
      <c r="B172" s="74" t="s">
        <v>5069</v>
      </c>
      <c r="C172" s="111" t="s">
        <v>4918</v>
      </c>
    </row>
    <row r="173" spans="1:3" x14ac:dyDescent="0.25">
      <c r="A173" s="71">
        <v>263</v>
      </c>
      <c r="B173" s="74" t="s">
        <v>5070</v>
      </c>
      <c r="C173" s="111" t="s">
        <v>4918</v>
      </c>
    </row>
    <row r="174" spans="1:3" x14ac:dyDescent="0.25">
      <c r="A174" s="71">
        <v>264</v>
      </c>
      <c r="B174" s="74" t="s">
        <v>5071</v>
      </c>
      <c r="C174" s="111" t="s">
        <v>4918</v>
      </c>
    </row>
    <row r="175" spans="1:3" x14ac:dyDescent="0.25">
      <c r="A175" s="71">
        <v>265</v>
      </c>
      <c r="B175" s="74" t="s">
        <v>5072</v>
      </c>
      <c r="C175" s="111" t="s">
        <v>4918</v>
      </c>
    </row>
    <row r="176" spans="1:3" x14ac:dyDescent="0.25">
      <c r="A176" s="71">
        <v>266</v>
      </c>
      <c r="B176" s="74" t="s">
        <v>5073</v>
      </c>
      <c r="C176" s="111" t="s">
        <v>4918</v>
      </c>
    </row>
    <row r="177" spans="1:3" x14ac:dyDescent="0.25">
      <c r="A177" s="71">
        <v>267</v>
      </c>
      <c r="B177" s="74" t="s">
        <v>5074</v>
      </c>
      <c r="C177" s="111" t="s">
        <v>4918</v>
      </c>
    </row>
    <row r="178" spans="1:3" x14ac:dyDescent="0.25">
      <c r="A178" s="71">
        <v>268</v>
      </c>
      <c r="B178" s="74" t="s">
        <v>5075</v>
      </c>
      <c r="C178" s="111" t="s">
        <v>4918</v>
      </c>
    </row>
    <row r="179" spans="1:3" x14ac:dyDescent="0.25">
      <c r="A179" s="71">
        <v>269</v>
      </c>
      <c r="B179" s="74" t="s">
        <v>5076</v>
      </c>
      <c r="C179" s="111" t="s">
        <v>4918</v>
      </c>
    </row>
    <row r="180" spans="1:3" x14ac:dyDescent="0.25">
      <c r="A180" s="71">
        <v>27</v>
      </c>
      <c r="B180" s="74" t="s">
        <v>5077</v>
      </c>
      <c r="C180" s="111" t="s">
        <v>4918</v>
      </c>
    </row>
    <row r="181" spans="1:3" x14ac:dyDescent="0.25">
      <c r="A181" s="71">
        <v>270</v>
      </c>
      <c r="B181" s="74" t="s">
        <v>5078</v>
      </c>
      <c r="C181" s="111" t="s">
        <v>4918</v>
      </c>
    </row>
    <row r="182" spans="1:3" x14ac:dyDescent="0.25">
      <c r="A182" s="71">
        <v>271</v>
      </c>
      <c r="B182" s="74" t="s">
        <v>5079</v>
      </c>
      <c r="C182" s="111" t="s">
        <v>4918</v>
      </c>
    </row>
    <row r="183" spans="1:3" x14ac:dyDescent="0.25">
      <c r="A183" s="71">
        <v>272</v>
      </c>
      <c r="B183" s="74" t="s">
        <v>5080</v>
      </c>
      <c r="C183" s="111" t="s">
        <v>4918</v>
      </c>
    </row>
    <row r="184" spans="1:3" x14ac:dyDescent="0.25">
      <c r="A184" s="71">
        <v>273</v>
      </c>
      <c r="B184" s="74" t="s">
        <v>5081</v>
      </c>
      <c r="C184" s="111" t="s">
        <v>4918</v>
      </c>
    </row>
    <row r="185" spans="1:3" x14ac:dyDescent="0.25">
      <c r="A185" s="71">
        <v>274</v>
      </c>
      <c r="B185" s="74" t="s">
        <v>5082</v>
      </c>
      <c r="C185" s="111" t="s">
        <v>4918</v>
      </c>
    </row>
    <row r="186" spans="1:3" x14ac:dyDescent="0.25">
      <c r="A186" s="71">
        <v>275</v>
      </c>
      <c r="B186" s="74" t="s">
        <v>5083</v>
      </c>
      <c r="C186" s="111" t="s">
        <v>4918</v>
      </c>
    </row>
    <row r="187" spans="1:3" x14ac:dyDescent="0.25">
      <c r="A187" s="71">
        <v>276</v>
      </c>
      <c r="B187" s="74" t="s">
        <v>5084</v>
      </c>
      <c r="C187" s="111" t="s">
        <v>4918</v>
      </c>
    </row>
    <row r="188" spans="1:3" x14ac:dyDescent="0.25">
      <c r="A188" s="71">
        <v>277</v>
      </c>
      <c r="B188" s="74" t="s">
        <v>5085</v>
      </c>
      <c r="C188" s="111" t="s">
        <v>4918</v>
      </c>
    </row>
    <row r="189" spans="1:3" x14ac:dyDescent="0.25">
      <c r="A189" s="71">
        <v>278</v>
      </c>
      <c r="B189" s="74" t="s">
        <v>5086</v>
      </c>
      <c r="C189" s="111" t="s">
        <v>4918</v>
      </c>
    </row>
    <row r="190" spans="1:3" x14ac:dyDescent="0.25">
      <c r="A190" s="71">
        <v>279</v>
      </c>
      <c r="B190" s="74" t="s">
        <v>5087</v>
      </c>
      <c r="C190" s="111" t="s">
        <v>4918</v>
      </c>
    </row>
    <row r="191" spans="1:3" x14ac:dyDescent="0.25">
      <c r="A191" s="71">
        <v>280</v>
      </c>
      <c r="B191" s="74" t="s">
        <v>5088</v>
      </c>
      <c r="C191" s="111" t="s">
        <v>4918</v>
      </c>
    </row>
    <row r="192" spans="1:3" x14ac:dyDescent="0.25">
      <c r="A192" s="71">
        <v>281</v>
      </c>
      <c r="B192" s="74" t="s">
        <v>5089</v>
      </c>
      <c r="C192" s="111" t="s">
        <v>4918</v>
      </c>
    </row>
    <row r="193" spans="1:3" x14ac:dyDescent="0.25">
      <c r="A193" s="71">
        <v>282</v>
      </c>
      <c r="B193" s="74" t="s">
        <v>5090</v>
      </c>
      <c r="C193" s="111" t="s">
        <v>4918</v>
      </c>
    </row>
    <row r="194" spans="1:3" x14ac:dyDescent="0.25">
      <c r="A194" s="71">
        <v>283</v>
      </c>
      <c r="B194" s="74" t="s">
        <v>5091</v>
      </c>
      <c r="C194" s="111" t="s">
        <v>4918</v>
      </c>
    </row>
    <row r="195" spans="1:3" x14ac:dyDescent="0.25">
      <c r="A195" s="71">
        <v>284</v>
      </c>
      <c r="B195" s="74" t="s">
        <v>5092</v>
      </c>
      <c r="C195" s="111" t="s">
        <v>4918</v>
      </c>
    </row>
    <row r="196" spans="1:3" x14ac:dyDescent="0.25">
      <c r="A196" s="71">
        <v>285</v>
      </c>
      <c r="B196" s="74" t="s">
        <v>5093</v>
      </c>
      <c r="C196" s="111" t="s">
        <v>4918</v>
      </c>
    </row>
    <row r="197" spans="1:3" x14ac:dyDescent="0.25">
      <c r="A197" s="71">
        <v>286</v>
      </c>
      <c r="B197" s="74" t="s">
        <v>5094</v>
      </c>
      <c r="C197" s="111" t="s">
        <v>4918</v>
      </c>
    </row>
    <row r="198" spans="1:3" x14ac:dyDescent="0.25">
      <c r="A198" s="71">
        <v>287</v>
      </c>
      <c r="B198" s="74" t="s">
        <v>5095</v>
      </c>
      <c r="C198" s="111" t="s">
        <v>4918</v>
      </c>
    </row>
    <row r="199" spans="1:3" x14ac:dyDescent="0.25">
      <c r="A199" s="71">
        <v>288</v>
      </c>
      <c r="B199" s="74" t="s">
        <v>5096</v>
      </c>
      <c r="C199" s="111" t="s">
        <v>4918</v>
      </c>
    </row>
    <row r="200" spans="1:3" x14ac:dyDescent="0.25">
      <c r="A200" s="71">
        <v>289</v>
      </c>
      <c r="B200" s="74" t="s">
        <v>5097</v>
      </c>
      <c r="C200" s="111" t="s">
        <v>4918</v>
      </c>
    </row>
    <row r="201" spans="1:3" x14ac:dyDescent="0.25">
      <c r="A201" s="71">
        <v>29</v>
      </c>
      <c r="B201" s="74" t="s">
        <v>5098</v>
      </c>
      <c r="C201" s="111" t="s">
        <v>4918</v>
      </c>
    </row>
    <row r="202" spans="1:3" x14ac:dyDescent="0.25">
      <c r="A202" s="71">
        <v>290</v>
      </c>
      <c r="B202" s="74" t="s">
        <v>5099</v>
      </c>
      <c r="C202" s="111" t="s">
        <v>4918</v>
      </c>
    </row>
    <row r="203" spans="1:3" x14ac:dyDescent="0.25">
      <c r="A203" s="71">
        <v>291</v>
      </c>
      <c r="B203" s="74" t="s">
        <v>5100</v>
      </c>
      <c r="C203" s="111" t="s">
        <v>4918</v>
      </c>
    </row>
    <row r="204" spans="1:3" x14ac:dyDescent="0.25">
      <c r="A204" s="71">
        <v>292</v>
      </c>
      <c r="B204" s="74" t="s">
        <v>5101</v>
      </c>
      <c r="C204" s="111" t="s">
        <v>4918</v>
      </c>
    </row>
    <row r="205" spans="1:3" x14ac:dyDescent="0.25">
      <c r="A205" s="71">
        <v>293</v>
      </c>
      <c r="B205" s="74" t="s">
        <v>5102</v>
      </c>
      <c r="C205" s="111" t="s">
        <v>4918</v>
      </c>
    </row>
    <row r="206" spans="1:3" x14ac:dyDescent="0.25">
      <c r="A206" s="71">
        <v>294</v>
      </c>
      <c r="B206" s="74" t="s">
        <v>5103</v>
      </c>
      <c r="C206" s="111" t="s">
        <v>4918</v>
      </c>
    </row>
    <row r="207" spans="1:3" x14ac:dyDescent="0.25">
      <c r="A207" s="71">
        <v>3</v>
      </c>
      <c r="B207" s="74" t="s">
        <v>147</v>
      </c>
      <c r="C207" s="111" t="s">
        <v>4918</v>
      </c>
    </row>
    <row r="208" spans="1:3" x14ac:dyDescent="0.25">
      <c r="A208" s="71">
        <v>30</v>
      </c>
      <c r="B208" s="74" t="s">
        <v>5104</v>
      </c>
      <c r="C208" s="111" t="s">
        <v>4918</v>
      </c>
    </row>
    <row r="209" spans="1:3" x14ac:dyDescent="0.25">
      <c r="A209" s="71">
        <v>31</v>
      </c>
      <c r="B209" s="74" t="s">
        <v>5105</v>
      </c>
      <c r="C209" s="111" t="s">
        <v>4918</v>
      </c>
    </row>
    <row r="210" spans="1:3" x14ac:dyDescent="0.25">
      <c r="A210" s="71">
        <v>32</v>
      </c>
      <c r="B210" s="74" t="s">
        <v>5106</v>
      </c>
      <c r="C210" s="111" t="s">
        <v>4918</v>
      </c>
    </row>
    <row r="211" spans="1:3" x14ac:dyDescent="0.25">
      <c r="A211" s="71">
        <v>33</v>
      </c>
      <c r="B211" s="74" t="s">
        <v>5107</v>
      </c>
      <c r="C211" s="111" t="s">
        <v>4918</v>
      </c>
    </row>
    <row r="212" spans="1:3" x14ac:dyDescent="0.25">
      <c r="A212" s="71">
        <v>34</v>
      </c>
      <c r="B212" s="74" t="s">
        <v>5108</v>
      </c>
      <c r="C212" s="111" t="s">
        <v>4918</v>
      </c>
    </row>
    <row r="213" spans="1:3" x14ac:dyDescent="0.25">
      <c r="A213" s="71">
        <v>35</v>
      </c>
      <c r="B213" s="74" t="s">
        <v>5109</v>
      </c>
      <c r="C213" s="111" t="s">
        <v>4918</v>
      </c>
    </row>
    <row r="214" spans="1:3" x14ac:dyDescent="0.25">
      <c r="A214" s="71">
        <v>36</v>
      </c>
      <c r="B214" s="74" t="s">
        <v>5110</v>
      </c>
      <c r="C214" s="111" t="s">
        <v>4918</v>
      </c>
    </row>
    <row r="215" spans="1:3" x14ac:dyDescent="0.25">
      <c r="A215" s="71">
        <v>37</v>
      </c>
      <c r="B215" s="74" t="s">
        <v>5111</v>
      </c>
      <c r="C215" s="111" t="s">
        <v>4918</v>
      </c>
    </row>
    <row r="216" spans="1:3" x14ac:dyDescent="0.25">
      <c r="A216" s="71">
        <v>38</v>
      </c>
      <c r="B216" s="74" t="s">
        <v>5112</v>
      </c>
      <c r="C216" s="111" t="s">
        <v>4918</v>
      </c>
    </row>
    <row r="217" spans="1:3" x14ac:dyDescent="0.25">
      <c r="A217" s="71">
        <v>39</v>
      </c>
      <c r="B217" s="74" t="s">
        <v>5113</v>
      </c>
      <c r="C217" s="111" t="s">
        <v>4918</v>
      </c>
    </row>
    <row r="218" spans="1:3" x14ac:dyDescent="0.25">
      <c r="A218" s="71">
        <v>4</v>
      </c>
      <c r="B218" s="74" t="s">
        <v>5114</v>
      </c>
      <c r="C218" s="111" t="s">
        <v>4918</v>
      </c>
    </row>
    <row r="219" spans="1:3" x14ac:dyDescent="0.25">
      <c r="A219" s="71">
        <v>40</v>
      </c>
      <c r="B219" s="74" t="s">
        <v>5115</v>
      </c>
      <c r="C219" s="111" t="s">
        <v>4918</v>
      </c>
    </row>
    <row r="220" spans="1:3" x14ac:dyDescent="0.25">
      <c r="A220" s="71">
        <v>42</v>
      </c>
      <c r="B220" s="74" t="s">
        <v>5116</v>
      </c>
      <c r="C220" s="111" t="s">
        <v>4918</v>
      </c>
    </row>
    <row r="221" spans="1:3" x14ac:dyDescent="0.25">
      <c r="A221" s="71">
        <v>44</v>
      </c>
      <c r="B221" s="74" t="s">
        <v>5117</v>
      </c>
      <c r="C221" s="111" t="s">
        <v>4918</v>
      </c>
    </row>
    <row r="222" spans="1:3" x14ac:dyDescent="0.25">
      <c r="A222" s="71">
        <v>45</v>
      </c>
      <c r="B222" s="74" t="s">
        <v>5118</v>
      </c>
      <c r="C222" s="111" t="s">
        <v>4918</v>
      </c>
    </row>
    <row r="223" spans="1:3" x14ac:dyDescent="0.25">
      <c r="A223" s="71">
        <v>49</v>
      </c>
      <c r="B223" s="74" t="s">
        <v>5119</v>
      </c>
      <c r="C223" s="111" t="s">
        <v>4918</v>
      </c>
    </row>
    <row r="224" spans="1:3" x14ac:dyDescent="0.25">
      <c r="A224" s="71">
        <v>5</v>
      </c>
      <c r="B224" s="74" t="s">
        <v>5120</v>
      </c>
      <c r="C224" s="111" t="s">
        <v>4918</v>
      </c>
    </row>
    <row r="225" spans="1:3" x14ac:dyDescent="0.25">
      <c r="A225" s="71">
        <v>50</v>
      </c>
      <c r="B225" s="74" t="s">
        <v>5121</v>
      </c>
      <c r="C225" s="111" t="s">
        <v>4918</v>
      </c>
    </row>
    <row r="226" spans="1:3" x14ac:dyDescent="0.25">
      <c r="A226" s="71">
        <v>51</v>
      </c>
      <c r="B226" s="74" t="s">
        <v>5122</v>
      </c>
      <c r="C226" s="111" t="s">
        <v>4918</v>
      </c>
    </row>
    <row r="227" spans="1:3" x14ac:dyDescent="0.25">
      <c r="A227" s="71">
        <v>53</v>
      </c>
      <c r="B227" s="74" t="s">
        <v>5123</v>
      </c>
      <c r="C227" s="111" t="s">
        <v>4918</v>
      </c>
    </row>
    <row r="228" spans="1:3" x14ac:dyDescent="0.25">
      <c r="A228" s="71">
        <v>54</v>
      </c>
      <c r="B228" s="74" t="s">
        <v>5124</v>
      </c>
      <c r="C228" s="111" t="s">
        <v>4918</v>
      </c>
    </row>
    <row r="229" spans="1:3" x14ac:dyDescent="0.25">
      <c r="A229" s="71">
        <v>55</v>
      </c>
      <c r="B229" s="74" t="s">
        <v>5125</v>
      </c>
      <c r="C229" s="111" t="s">
        <v>4918</v>
      </c>
    </row>
    <row r="230" spans="1:3" x14ac:dyDescent="0.25">
      <c r="A230" s="71">
        <v>56</v>
      </c>
      <c r="B230" s="74" t="s">
        <v>5126</v>
      </c>
      <c r="C230" s="111" t="s">
        <v>4918</v>
      </c>
    </row>
    <row r="231" spans="1:3" x14ac:dyDescent="0.25">
      <c r="A231" s="71">
        <v>58</v>
      </c>
      <c r="B231" s="74" t="s">
        <v>5127</v>
      </c>
      <c r="C231" s="111" t="s">
        <v>4918</v>
      </c>
    </row>
    <row r="232" spans="1:3" x14ac:dyDescent="0.25">
      <c r="A232" s="71">
        <v>59</v>
      </c>
      <c r="B232" s="74" t="s">
        <v>5128</v>
      </c>
      <c r="C232" s="111" t="s">
        <v>4918</v>
      </c>
    </row>
    <row r="233" spans="1:3" x14ac:dyDescent="0.25">
      <c r="A233" s="71">
        <v>6</v>
      </c>
      <c r="B233" s="74" t="s">
        <v>173</v>
      </c>
      <c r="C233" s="111" t="s">
        <v>4918</v>
      </c>
    </row>
    <row r="234" spans="1:3" x14ac:dyDescent="0.25">
      <c r="A234" s="71">
        <v>60</v>
      </c>
      <c r="B234" s="74" t="s">
        <v>5129</v>
      </c>
      <c r="C234" s="111" t="s">
        <v>4918</v>
      </c>
    </row>
    <row r="235" spans="1:3" x14ac:dyDescent="0.25">
      <c r="A235" s="71">
        <v>61</v>
      </c>
      <c r="B235" s="74" t="s">
        <v>5100</v>
      </c>
      <c r="C235" s="111" t="s">
        <v>4918</v>
      </c>
    </row>
    <row r="236" spans="1:3" x14ac:dyDescent="0.25">
      <c r="A236" s="71">
        <v>62</v>
      </c>
      <c r="B236" s="74" t="s">
        <v>5130</v>
      </c>
      <c r="C236" s="111" t="s">
        <v>4918</v>
      </c>
    </row>
    <row r="237" spans="1:3" x14ac:dyDescent="0.25">
      <c r="A237" s="71">
        <v>66</v>
      </c>
      <c r="B237" s="74" t="s">
        <v>5131</v>
      </c>
      <c r="C237" s="111" t="s">
        <v>4918</v>
      </c>
    </row>
    <row r="238" spans="1:3" x14ac:dyDescent="0.25">
      <c r="A238" s="71">
        <v>69</v>
      </c>
      <c r="B238" s="74" t="s">
        <v>5132</v>
      </c>
      <c r="C238" s="111" t="s">
        <v>4918</v>
      </c>
    </row>
    <row r="239" spans="1:3" x14ac:dyDescent="0.25">
      <c r="A239" s="71">
        <v>7</v>
      </c>
      <c r="B239" s="74" t="s">
        <v>174</v>
      </c>
      <c r="C239" s="111" t="s">
        <v>4918</v>
      </c>
    </row>
    <row r="240" spans="1:3" x14ac:dyDescent="0.25">
      <c r="A240" s="71">
        <v>70</v>
      </c>
      <c r="B240" s="74" t="s">
        <v>5133</v>
      </c>
      <c r="C240" s="111" t="s">
        <v>4918</v>
      </c>
    </row>
    <row r="241" spans="1:3" x14ac:dyDescent="0.25">
      <c r="A241" s="71">
        <v>74</v>
      </c>
      <c r="B241" s="74" t="s">
        <v>5134</v>
      </c>
      <c r="C241" s="111" t="s">
        <v>4918</v>
      </c>
    </row>
    <row r="242" spans="1:3" x14ac:dyDescent="0.25">
      <c r="A242" s="71">
        <v>75</v>
      </c>
      <c r="B242" s="74" t="s">
        <v>5135</v>
      </c>
      <c r="C242" s="111" t="s">
        <v>4918</v>
      </c>
    </row>
    <row r="243" spans="1:3" x14ac:dyDescent="0.25">
      <c r="A243" s="71">
        <v>76</v>
      </c>
      <c r="B243" s="74" t="s">
        <v>5136</v>
      </c>
      <c r="C243" s="111" t="s">
        <v>4918</v>
      </c>
    </row>
    <row r="244" spans="1:3" x14ac:dyDescent="0.25">
      <c r="A244" s="71">
        <v>78</v>
      </c>
      <c r="B244" s="74" t="s">
        <v>5137</v>
      </c>
      <c r="C244" s="111" t="s">
        <v>4918</v>
      </c>
    </row>
    <row r="245" spans="1:3" x14ac:dyDescent="0.25">
      <c r="A245" s="71">
        <v>8</v>
      </c>
      <c r="B245" s="74" t="s">
        <v>5138</v>
      </c>
      <c r="C245" s="111" t="s">
        <v>4918</v>
      </c>
    </row>
    <row r="246" spans="1:3" x14ac:dyDescent="0.25">
      <c r="A246" s="71">
        <v>85</v>
      </c>
      <c r="B246" s="74" t="s">
        <v>5139</v>
      </c>
      <c r="C246" s="111" t="s">
        <v>4918</v>
      </c>
    </row>
    <row r="247" spans="1:3" x14ac:dyDescent="0.25">
      <c r="A247" s="71">
        <v>89</v>
      </c>
      <c r="B247" s="74" t="s">
        <v>5140</v>
      </c>
      <c r="C247" s="111" t="s">
        <v>4918</v>
      </c>
    </row>
    <row r="248" spans="1:3" x14ac:dyDescent="0.25">
      <c r="A248" s="71">
        <v>9</v>
      </c>
      <c r="B248" s="74" t="s">
        <v>175</v>
      </c>
      <c r="C248" s="111" t="s">
        <v>4918</v>
      </c>
    </row>
    <row r="249" spans="1:3" x14ac:dyDescent="0.25">
      <c r="A249" s="71">
        <v>90</v>
      </c>
      <c r="B249" s="74" t="s">
        <v>5141</v>
      </c>
      <c r="C249" s="111" t="s">
        <v>4918</v>
      </c>
    </row>
    <row r="250" spans="1:3" x14ac:dyDescent="0.25">
      <c r="A250" s="71">
        <v>91</v>
      </c>
      <c r="B250" s="74" t="s">
        <v>5142</v>
      </c>
      <c r="C250" s="111" t="s">
        <v>4918</v>
      </c>
    </row>
    <row r="251" spans="1:3" x14ac:dyDescent="0.25">
      <c r="A251" s="71">
        <v>94</v>
      </c>
      <c r="B251" s="74" t="s">
        <v>5143</v>
      </c>
      <c r="C251" s="111" t="s">
        <v>4918</v>
      </c>
    </row>
    <row r="252" spans="1:3" x14ac:dyDescent="0.25">
      <c r="A252" s="71">
        <v>95</v>
      </c>
      <c r="B252" s="74" t="s">
        <v>5144</v>
      </c>
      <c r="C252" s="111" t="s">
        <v>4918</v>
      </c>
    </row>
    <row r="253" spans="1:3" x14ac:dyDescent="0.25">
      <c r="A253" s="71">
        <v>96</v>
      </c>
      <c r="B253" s="74" t="s">
        <v>6390</v>
      </c>
      <c r="C253" s="111" t="s">
        <v>4918</v>
      </c>
    </row>
    <row r="254" spans="1:3" x14ac:dyDescent="0.25">
      <c r="A254" s="71">
        <v>97</v>
      </c>
      <c r="B254" s="114" t="s">
        <v>5145</v>
      </c>
      <c r="C254" s="112" t="s">
        <v>4918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D39AF-9D70-4FB2-92F9-D6AD5F6B576A}">
  <dimension ref="A1:K6"/>
  <sheetViews>
    <sheetView zoomScale="115" zoomScaleNormal="115" workbookViewId="0">
      <selection activeCell="A3" sqref="A3"/>
    </sheetView>
  </sheetViews>
  <sheetFormatPr defaultRowHeight="15" x14ac:dyDescent="0.25"/>
  <cols>
    <col min="1" max="1" width="6.7109375" bestFit="1" customWidth="1"/>
    <col min="2" max="2" width="16.42578125" customWidth="1"/>
    <col min="3" max="3" width="25.85546875" customWidth="1"/>
    <col min="4" max="4" width="43.7109375" customWidth="1"/>
    <col min="5" max="5" width="38.140625" customWidth="1"/>
    <col min="6" max="6" width="28.7109375" bestFit="1" customWidth="1"/>
    <col min="7" max="7" width="29.85546875" bestFit="1" customWidth="1"/>
    <col min="8" max="8" width="21.42578125" bestFit="1" customWidth="1"/>
    <col min="9" max="9" width="27.28515625" bestFit="1" customWidth="1"/>
    <col min="10" max="10" width="8.85546875" bestFit="1" customWidth="1"/>
    <col min="11" max="11" width="8.5703125" bestFit="1" customWidth="1"/>
    <col min="12" max="12" width="11.42578125" bestFit="1" customWidth="1"/>
    <col min="13" max="13" width="12.85546875" bestFit="1" customWidth="1"/>
    <col min="14" max="15" width="9.5703125" bestFit="1" customWidth="1"/>
    <col min="16" max="16" width="5" bestFit="1" customWidth="1"/>
    <col min="17" max="17" width="16.28515625" bestFit="1" customWidth="1"/>
  </cols>
  <sheetData>
    <row r="1" spans="1:11" x14ac:dyDescent="0.25">
      <c r="A1" s="102" t="s">
        <v>3777</v>
      </c>
      <c r="B1" s="103" t="s">
        <v>2447</v>
      </c>
      <c r="C1" s="103" t="s">
        <v>3778</v>
      </c>
      <c r="D1" s="103" t="s">
        <v>2449</v>
      </c>
      <c r="E1" s="103" t="s">
        <v>3636</v>
      </c>
      <c r="F1" s="103" t="s">
        <v>2450</v>
      </c>
      <c r="G1" s="103" t="s">
        <v>2451</v>
      </c>
      <c r="H1" s="103" t="s">
        <v>6093</v>
      </c>
      <c r="I1" s="103" t="s">
        <v>6094</v>
      </c>
      <c r="J1" s="103" t="s">
        <v>6096</v>
      </c>
      <c r="K1" s="104" t="s">
        <v>6097</v>
      </c>
    </row>
    <row r="2" spans="1:11" x14ac:dyDescent="0.25">
      <c r="A2" s="123" t="s">
        <v>4131</v>
      </c>
      <c r="B2" s="125" t="s">
        <v>3736</v>
      </c>
      <c r="C2" s="125" t="s">
        <v>2588</v>
      </c>
      <c r="D2" s="126" t="s">
        <v>6395</v>
      </c>
      <c r="E2" s="120" t="s">
        <v>6398</v>
      </c>
      <c r="F2" s="120" t="s">
        <v>6399</v>
      </c>
      <c r="G2" s="120" t="s">
        <v>6400</v>
      </c>
      <c r="H2" s="120" t="str">
        <f>Table8[[#This Row],[DENIAL REASON]]</f>
        <v>Covered by Another Payer</v>
      </c>
      <c r="I2" s="120" t="s">
        <v>6397</v>
      </c>
      <c r="J2" s="120" t="s">
        <v>6396</v>
      </c>
      <c r="K2" s="124" t="s">
        <v>6391</v>
      </c>
    </row>
    <row r="3" spans="1:11" x14ac:dyDescent="0.25">
      <c r="A3" s="121" t="s">
        <v>4131</v>
      </c>
      <c r="B3" s="119" t="s">
        <v>3736</v>
      </c>
      <c r="C3" s="119" t="s">
        <v>6392</v>
      </c>
      <c r="D3" s="122" t="s">
        <v>6401</v>
      </c>
      <c r="E3" s="107" t="s">
        <v>6402</v>
      </c>
      <c r="F3" s="107" t="s">
        <v>6403</v>
      </c>
      <c r="G3" s="107" t="s">
        <v>6404</v>
      </c>
      <c r="H3" s="107" t="str">
        <f>Table8[[#This Row],[DENIAL REASON]]</f>
        <v>Covered by Another Payer</v>
      </c>
      <c r="I3" s="107" t="s">
        <v>6397</v>
      </c>
      <c r="J3" s="107" t="s">
        <v>6396</v>
      </c>
      <c r="K3" s="56" t="s">
        <v>6391</v>
      </c>
    </row>
    <row r="4" spans="1:11" x14ac:dyDescent="0.25">
      <c r="A4" s="121" t="s">
        <v>4131</v>
      </c>
      <c r="B4" s="119" t="s">
        <v>3736</v>
      </c>
      <c r="C4" s="107" t="s">
        <v>6405</v>
      </c>
      <c r="D4" s="122" t="s">
        <v>6406</v>
      </c>
      <c r="E4" s="107" t="s">
        <v>6407</v>
      </c>
      <c r="F4" s="107" t="s">
        <v>6408</v>
      </c>
      <c r="G4" s="107" t="s">
        <v>6409</v>
      </c>
      <c r="H4" s="107" t="str">
        <f>Table8[[#This Row],[DENIAL REASON]]</f>
        <v>Covered by Another Payer</v>
      </c>
      <c r="I4" s="107" t="s">
        <v>6397</v>
      </c>
      <c r="J4" s="107" t="s">
        <v>6396</v>
      </c>
      <c r="K4" s="56" t="s">
        <v>6391</v>
      </c>
    </row>
    <row r="5" spans="1:11" x14ac:dyDescent="0.25">
      <c r="A5" s="121" t="s">
        <v>4131</v>
      </c>
      <c r="B5" s="119" t="s">
        <v>3736</v>
      </c>
      <c r="C5" s="107" t="s">
        <v>6393</v>
      </c>
      <c r="D5" s="122" t="s">
        <v>6410</v>
      </c>
      <c r="E5" s="107" t="s">
        <v>6411</v>
      </c>
      <c r="F5" s="107" t="s">
        <v>6412</v>
      </c>
      <c r="G5" s="107" t="s">
        <v>6413</v>
      </c>
      <c r="H5" s="107" t="str">
        <f>Table8[[#This Row],[DENIAL REASON]]</f>
        <v>Covered by Another Payer</v>
      </c>
      <c r="I5" s="107" t="s">
        <v>6397</v>
      </c>
      <c r="J5" s="107" t="s">
        <v>6396</v>
      </c>
      <c r="K5" s="56" t="s">
        <v>6391</v>
      </c>
    </row>
    <row r="6" spans="1:11" ht="102" x14ac:dyDescent="0.25">
      <c r="A6" s="127" t="s">
        <v>4131</v>
      </c>
      <c r="B6" s="48" t="s">
        <v>3736</v>
      </c>
      <c r="C6" s="105" t="s">
        <v>6394</v>
      </c>
      <c r="D6" s="106" t="s">
        <v>6414</v>
      </c>
      <c r="E6" s="105" t="s">
        <v>6415</v>
      </c>
      <c r="F6" s="105" t="s">
        <v>6416</v>
      </c>
      <c r="G6" s="105" t="s">
        <v>6417</v>
      </c>
      <c r="H6" s="105" t="str">
        <f>Table8[[#This Row],[DENIAL REASON]]</f>
        <v>Covered by Another Payer</v>
      </c>
      <c r="I6" s="105" t="s">
        <v>6397</v>
      </c>
      <c r="J6" s="105" t="s">
        <v>6396</v>
      </c>
      <c r="K6" s="69" t="s">
        <v>6391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5878-98AD-488C-9C83-44070FDD32E6}">
  <dimension ref="A1:J277"/>
  <sheetViews>
    <sheetView zoomScale="115" zoomScaleNormal="115" workbookViewId="0">
      <selection activeCell="A7" sqref="A7"/>
    </sheetView>
  </sheetViews>
  <sheetFormatPr defaultRowHeight="15" x14ac:dyDescent="0.25"/>
  <cols>
    <col min="1" max="1" width="39.140625" style="72" bestFit="1" customWidth="1"/>
    <col min="2" max="2" width="52.42578125" style="4" bestFit="1" customWidth="1"/>
    <col min="3" max="3" width="7.140625" style="72" bestFit="1" customWidth="1"/>
    <col min="4" max="4" width="25" style="72" bestFit="1" customWidth="1"/>
    <col min="5" max="5" width="17.5703125" style="72" bestFit="1" customWidth="1"/>
    <col min="6" max="6" width="11.42578125" bestFit="1" customWidth="1"/>
    <col min="7" max="7" width="4" bestFit="1" customWidth="1"/>
    <col min="8" max="8" width="5.140625" bestFit="1" customWidth="1"/>
    <col min="9" max="9" width="43.7109375" customWidth="1"/>
    <col min="10" max="10" width="43.28515625" customWidth="1"/>
    <col min="11" max="11" width="62.7109375" customWidth="1"/>
    <col min="12" max="12" width="50.7109375" customWidth="1"/>
  </cols>
  <sheetData>
    <row r="1" spans="1:10" x14ac:dyDescent="0.25">
      <c r="A1" s="76" t="s">
        <v>6093</v>
      </c>
      <c r="B1" s="31" t="s">
        <v>6094</v>
      </c>
      <c r="C1" s="31" t="s">
        <v>6096</v>
      </c>
      <c r="D1" s="31" t="s">
        <v>6097</v>
      </c>
      <c r="E1" s="31" t="s">
        <v>6098</v>
      </c>
      <c r="F1" s="31" t="s">
        <v>6110</v>
      </c>
      <c r="G1" s="31" t="s">
        <v>172</v>
      </c>
      <c r="H1" s="31" t="s">
        <v>6112</v>
      </c>
      <c r="I1" s="31" t="s">
        <v>6111</v>
      </c>
      <c r="J1" s="31" t="s">
        <v>6113</v>
      </c>
    </row>
    <row r="2" spans="1:10" x14ac:dyDescent="0.25">
      <c r="A2" s="78" t="s">
        <v>6147</v>
      </c>
      <c r="B2" s="32" t="s">
        <v>6148</v>
      </c>
      <c r="C2" s="32" t="s">
        <v>6101</v>
      </c>
      <c r="D2" s="71" t="s">
        <v>6124</v>
      </c>
      <c r="E2" s="71" t="s">
        <v>6149</v>
      </c>
      <c r="F2" s="35" t="s">
        <v>4994</v>
      </c>
      <c r="G2" s="71">
        <v>18</v>
      </c>
      <c r="H2" s="40" t="s">
        <v>1273</v>
      </c>
      <c r="I2" s="40" t="str">
        <f>VLOOKUP(Table3[[#This Row],[RARC Code]],'New Rarc Code'!A101:B1022,2,0)</f>
        <v>The original claim has been processed, submit a corrected claim.</v>
      </c>
      <c r="J2" s="40" t="s">
        <v>6146</v>
      </c>
    </row>
    <row r="3" spans="1:10" x14ac:dyDescent="0.25">
      <c r="A3" s="78" t="s">
        <v>6147</v>
      </c>
      <c r="B3" s="32" t="s">
        <v>6150</v>
      </c>
      <c r="C3" s="32" t="s">
        <v>6101</v>
      </c>
      <c r="D3" s="71" t="s">
        <v>6124</v>
      </c>
      <c r="E3" s="71" t="s">
        <v>6149</v>
      </c>
      <c r="F3" s="35" t="s">
        <v>4994</v>
      </c>
      <c r="G3" s="71">
        <v>18</v>
      </c>
      <c r="H3" s="77" t="s">
        <v>1289</v>
      </c>
      <c r="I3" s="40" t="str">
        <f>VLOOKUP(Table3[[#This Row],[RARC Code]],'New Rarc Code'!A259:B1180,2,0)</f>
        <v>Duplicate of a service already adjudicated</v>
      </c>
      <c r="J3" s="40" t="s">
        <v>6146</v>
      </c>
    </row>
    <row r="4" spans="1:10" x14ac:dyDescent="0.25">
      <c r="A4" s="78" t="s">
        <v>6147</v>
      </c>
      <c r="B4" s="32" t="s">
        <v>6151</v>
      </c>
      <c r="C4" s="32" t="s">
        <v>6101</v>
      </c>
      <c r="D4" s="71" t="s">
        <v>6124</v>
      </c>
      <c r="E4" s="71" t="s">
        <v>6149</v>
      </c>
      <c r="F4" s="35" t="s">
        <v>4994</v>
      </c>
      <c r="G4" s="71">
        <v>18</v>
      </c>
      <c r="H4" s="77" t="s">
        <v>1273</v>
      </c>
      <c r="I4" s="40" t="str">
        <f>VLOOKUP(Table3[[#This Row],[RARC Code]],'New Rarc Code'!A260:B1181,2,0)</f>
        <v>The original claim has been processed, submit a corrected claim.</v>
      </c>
      <c r="J4" s="40" t="s">
        <v>6146</v>
      </c>
    </row>
    <row r="5" spans="1:10" x14ac:dyDescent="0.25">
      <c r="A5" s="71" t="s">
        <v>6163</v>
      </c>
      <c r="B5" s="32" t="s">
        <v>6164</v>
      </c>
      <c r="C5" s="32" t="s">
        <v>6101</v>
      </c>
      <c r="D5" s="71" t="s">
        <v>6124</v>
      </c>
      <c r="E5" s="71" t="s">
        <v>6156</v>
      </c>
      <c r="F5" s="35" t="s">
        <v>4966</v>
      </c>
      <c r="G5" s="71">
        <v>151</v>
      </c>
      <c r="H5" s="77" t="s">
        <v>1244</v>
      </c>
      <c r="I5" s="40" t="str">
        <f>VLOOKUP(Table3[[#This Row],[RARC Code]],'New Rarc Code'!A264:B1185,2,0)</f>
        <v>The number of Days or Units of Service exceeds our acceptable maximum</v>
      </c>
      <c r="J5" s="40"/>
    </row>
    <row r="6" spans="1:10" x14ac:dyDescent="0.25">
      <c r="A6" s="71" t="s">
        <v>6163</v>
      </c>
      <c r="B6" s="32" t="s">
        <v>6148</v>
      </c>
      <c r="C6" s="32" t="s">
        <v>6101</v>
      </c>
      <c r="D6" s="71" t="s">
        <v>6124</v>
      </c>
      <c r="E6" s="71" t="s">
        <v>6156</v>
      </c>
      <c r="F6" s="35" t="s">
        <v>4966</v>
      </c>
      <c r="G6" s="71">
        <v>151</v>
      </c>
      <c r="H6" s="77" t="s">
        <v>1244</v>
      </c>
      <c r="I6" s="40" t="str">
        <f>VLOOKUP(Table3[[#This Row],[RARC Code]],'New Rarc Code'!A265:B1186,2,0)</f>
        <v>The number of Days or Units of Service exceeds our acceptable maximum</v>
      </c>
      <c r="J6" s="40"/>
    </row>
    <row r="7" spans="1:10" x14ac:dyDescent="0.25">
      <c r="A7" s="71" t="s">
        <v>6135</v>
      </c>
      <c r="B7" s="32" t="s">
        <v>6127</v>
      </c>
      <c r="C7" s="32" t="s">
        <v>6118</v>
      </c>
      <c r="D7" s="32" t="s">
        <v>6124</v>
      </c>
      <c r="E7" s="32" t="s">
        <v>6120</v>
      </c>
      <c r="F7" s="35" t="s">
        <v>5077</v>
      </c>
      <c r="G7" s="71">
        <v>27</v>
      </c>
      <c r="H7" s="77" t="s">
        <v>655</v>
      </c>
      <c r="I7" s="40" t="str">
        <f>VLOOKUP(Table3[[#This Row],[RARC Code]],'New Rarc Code'!A1:B922,2,0)</f>
        <v>Patient ineligible for this service</v>
      </c>
      <c r="J7" s="40" t="s">
        <v>6134</v>
      </c>
    </row>
    <row r="8" spans="1:10" x14ac:dyDescent="0.25">
      <c r="A8" s="71" t="s">
        <v>6143</v>
      </c>
      <c r="B8" s="32" t="s">
        <v>6127</v>
      </c>
      <c r="C8" s="32" t="s">
        <v>6118</v>
      </c>
      <c r="D8" s="32" t="s">
        <v>6124</v>
      </c>
      <c r="E8" s="32" t="s">
        <v>6120</v>
      </c>
      <c r="F8" s="35" t="s">
        <v>148</v>
      </c>
      <c r="G8" s="71">
        <v>26</v>
      </c>
      <c r="H8" s="77" t="s">
        <v>655</v>
      </c>
      <c r="I8" s="40" t="str">
        <f>VLOOKUP(Table3[[#This Row],[RARC Code]],'New Rarc Code'!A180:B1101,2,0)</f>
        <v>Patient ineligible for this service</v>
      </c>
      <c r="J8" s="40" t="s">
        <v>6144</v>
      </c>
    </row>
    <row r="9" spans="1:10" x14ac:dyDescent="0.25">
      <c r="A9" s="71" t="s">
        <v>6159</v>
      </c>
      <c r="B9" s="32" t="s">
        <v>6148</v>
      </c>
      <c r="C9" s="32" t="s">
        <v>6101</v>
      </c>
      <c r="D9" s="71" t="s">
        <v>6124</v>
      </c>
      <c r="E9" s="71" t="s">
        <v>6156</v>
      </c>
      <c r="F9" s="35" t="s">
        <v>5128</v>
      </c>
      <c r="G9" s="71">
        <v>59</v>
      </c>
      <c r="H9" s="77" t="s">
        <v>1803</v>
      </c>
      <c r="I9" s="40" t="str">
        <f>VLOOKUP(Table3[[#This Row],[RARC Code]],'New Rarc Code'!A273:B1194,2,0)</f>
        <v>This service code has been identified as the primary procedure code subject to the Medicare Multiple Procedure Payment Reduction (MPPR) rule.</v>
      </c>
      <c r="J9" s="40"/>
    </row>
    <row r="10" spans="1:10" x14ac:dyDescent="0.25">
      <c r="A10" s="71" t="s">
        <v>6116</v>
      </c>
      <c r="B10" s="32" t="s">
        <v>6117</v>
      </c>
      <c r="C10" s="32" t="s">
        <v>6118</v>
      </c>
      <c r="D10" s="32" t="s">
        <v>6119</v>
      </c>
      <c r="E10" s="32" t="s">
        <v>6120</v>
      </c>
      <c r="F10" s="35" t="s">
        <v>5036</v>
      </c>
      <c r="G10" s="71">
        <v>227</v>
      </c>
      <c r="H10" s="77" t="s">
        <v>545</v>
      </c>
      <c r="I10" s="40" t="str">
        <f>VLOOKUP(Table3[[#This Row],[RARC Code]],'New Rarc Code'!A2:B923,2,0)</f>
        <v>Missing plan information for other insurance.</v>
      </c>
      <c r="J10" s="40" t="s">
        <v>6138</v>
      </c>
    </row>
    <row r="11" spans="1:10" x14ac:dyDescent="0.25">
      <c r="A11" s="71" t="s">
        <v>6130</v>
      </c>
      <c r="B11" s="32" t="s">
        <v>6131</v>
      </c>
      <c r="C11" s="32" t="s">
        <v>6118</v>
      </c>
      <c r="D11" s="32" t="s">
        <v>6119</v>
      </c>
      <c r="E11" s="32" t="s">
        <v>6120</v>
      </c>
      <c r="F11" s="35" t="s">
        <v>4974</v>
      </c>
      <c r="G11" s="71">
        <v>16</v>
      </c>
      <c r="H11" s="77" t="s">
        <v>1276</v>
      </c>
      <c r="I11" s="40" t="str">
        <f>VLOOKUP(Table3[[#This Row],[RARC Code]],'New Rarc Code'!A3:B924,2,0)</f>
        <v>Missing/incomplete/invalid patient identifier.</v>
      </c>
      <c r="J11" s="40" t="s">
        <v>6139</v>
      </c>
    </row>
    <row r="12" spans="1:10" x14ac:dyDescent="0.25">
      <c r="A12" s="71" t="s">
        <v>6165</v>
      </c>
      <c r="B12" s="32" t="s">
        <v>6164</v>
      </c>
      <c r="C12" s="32" t="s">
        <v>6118</v>
      </c>
      <c r="D12" s="32" t="s">
        <v>6119</v>
      </c>
      <c r="E12" s="32" t="s">
        <v>6120</v>
      </c>
      <c r="F12" s="35" t="s">
        <v>4974</v>
      </c>
      <c r="G12" s="71">
        <v>16</v>
      </c>
      <c r="H12" s="77" t="s">
        <v>462</v>
      </c>
      <c r="I12" s="40" t="s">
        <v>5335</v>
      </c>
      <c r="J12" s="40"/>
    </row>
    <row r="13" spans="1:10" x14ac:dyDescent="0.25">
      <c r="A13" s="71" t="s">
        <v>6107</v>
      </c>
      <c r="B13" s="32" t="s">
        <v>6095</v>
      </c>
      <c r="C13" s="32" t="s">
        <v>6101</v>
      </c>
      <c r="D13" s="32" t="s">
        <v>6100</v>
      </c>
      <c r="E13" s="32" t="s">
        <v>6099</v>
      </c>
      <c r="F13" s="35" t="s">
        <v>5040</v>
      </c>
      <c r="G13" s="71">
        <v>231</v>
      </c>
      <c r="H13" s="77" t="s">
        <v>307</v>
      </c>
      <c r="I13" s="40" t="str">
        <f>VLOOKUP(Table3[[#This Row],[RARC Code]],'New Rarc Code'!A4:B925,2,0)</f>
        <v>Not covered when performed during the same session/date as a previously processed service for the patient</v>
      </c>
      <c r="J13" s="40" t="s">
        <v>6108</v>
      </c>
    </row>
    <row r="14" spans="1:10" x14ac:dyDescent="0.25">
      <c r="A14" s="71" t="s">
        <v>6155</v>
      </c>
      <c r="B14" s="32" t="s">
        <v>6148</v>
      </c>
      <c r="C14" s="32" t="s">
        <v>6101</v>
      </c>
      <c r="D14" s="71" t="s">
        <v>6124</v>
      </c>
      <c r="E14" s="71" t="s">
        <v>6156</v>
      </c>
      <c r="F14" s="35" t="s">
        <v>6153</v>
      </c>
      <c r="G14" s="71">
        <v>45</v>
      </c>
      <c r="H14" s="77" t="s">
        <v>2002</v>
      </c>
      <c r="I14" s="40" t="str">
        <f>VLOOKUP(Table3[[#This Row],[RARC Code]],'New Rarc Code'!A268:B1189,2,0)</f>
        <v>No deductible may be collected as patient is a Medicaid/Qualified Medicare Beneficiary. Review your records for any wrongfully collected deductible.</v>
      </c>
      <c r="J14" s="40"/>
    </row>
    <row r="15" spans="1:10" x14ac:dyDescent="0.25">
      <c r="A15" s="71" t="s">
        <v>6155</v>
      </c>
      <c r="B15" s="32" t="s">
        <v>6148</v>
      </c>
      <c r="C15" s="32" t="s">
        <v>6101</v>
      </c>
      <c r="D15" s="71" t="s">
        <v>6124</v>
      </c>
      <c r="E15" s="71" t="s">
        <v>6156</v>
      </c>
      <c r="F15" s="35" t="s">
        <v>6153</v>
      </c>
      <c r="G15" s="71">
        <v>45</v>
      </c>
      <c r="H15" s="77" t="s">
        <v>2003</v>
      </c>
      <c r="I15" s="40" t="str">
        <f>VLOOKUP(Table3[[#This Row],[RARC Code]],'New Rarc Code'!A269:B1190,2,0)</f>
        <v>No coinsurance may be collected as patient is a Medicaid/Qualified Medicare Beneficiary. Review your records for any wrongfully collected coinsurance.</v>
      </c>
      <c r="J15" s="40"/>
    </row>
    <row r="16" spans="1:10" x14ac:dyDescent="0.25">
      <c r="A16" s="71" t="s">
        <v>6142</v>
      </c>
      <c r="B16" s="32" t="s">
        <v>6127</v>
      </c>
      <c r="C16" s="32" t="s">
        <v>6118</v>
      </c>
      <c r="D16" s="32" t="s">
        <v>6124</v>
      </c>
      <c r="E16" s="32" t="s">
        <v>6120</v>
      </c>
      <c r="F16" s="35" t="s">
        <v>5105</v>
      </c>
      <c r="G16" s="71">
        <v>31</v>
      </c>
      <c r="H16" s="40" t="s">
        <v>500</v>
      </c>
      <c r="I16" s="40" t="str">
        <f>VLOOKUP(Table3[[#This Row],[RARC Code]],'New Rarc Code'!A21:B942,2,0)</f>
        <v>Missing/incomplete/invalid social security number.</v>
      </c>
      <c r="J16" s="40"/>
    </row>
    <row r="17" spans="1:10" x14ac:dyDescent="0.25">
      <c r="A17" s="71" t="s">
        <v>6136</v>
      </c>
      <c r="B17" s="32" t="s">
        <v>6117</v>
      </c>
      <c r="C17" s="32" t="s">
        <v>6101</v>
      </c>
      <c r="D17" s="32" t="s">
        <v>6119</v>
      </c>
      <c r="E17" s="32" t="s">
        <v>6120</v>
      </c>
      <c r="F17" s="35" t="s">
        <v>2440</v>
      </c>
      <c r="G17" s="71">
        <v>96</v>
      </c>
      <c r="H17" s="77" t="s">
        <v>693</v>
      </c>
      <c r="I17" s="40" t="str">
        <f>VLOOKUP(Table3[[#This Row],[RARC Code]],'New Rarc Code'!A5:B926,2,0)</f>
        <v>Patient not enrolled in the billing provider's managed care plan on the date of service.</v>
      </c>
      <c r="J17" s="40" t="s">
        <v>6137</v>
      </c>
    </row>
    <row r="18" spans="1:10" x14ac:dyDescent="0.25">
      <c r="A18" s="71" t="s">
        <v>6136</v>
      </c>
      <c r="B18" s="32" t="s">
        <v>6127</v>
      </c>
      <c r="C18" s="32" t="s">
        <v>6101</v>
      </c>
      <c r="D18" s="32" t="s">
        <v>6119</v>
      </c>
      <c r="E18" s="32" t="s">
        <v>6120</v>
      </c>
      <c r="F18" s="35" t="s">
        <v>2440</v>
      </c>
      <c r="G18" s="71">
        <v>96</v>
      </c>
      <c r="H18" s="77" t="s">
        <v>693</v>
      </c>
      <c r="I18" s="40" t="str">
        <f>VLOOKUP(Table3[[#This Row],[RARC Code]],'New Rarc Code'!A6:B927,2,0)</f>
        <v>Patient not enrolled in the billing provider's managed care plan on the date of service.</v>
      </c>
      <c r="J18" s="40" t="s">
        <v>6137</v>
      </c>
    </row>
    <row r="19" spans="1:10" x14ac:dyDescent="0.25">
      <c r="A19" s="71" t="s">
        <v>6152</v>
      </c>
      <c r="B19" s="32" t="s">
        <v>6148</v>
      </c>
      <c r="C19" s="32" t="s">
        <v>6101</v>
      </c>
      <c r="D19" s="71" t="s">
        <v>6124</v>
      </c>
      <c r="E19" s="71" t="s">
        <v>6149</v>
      </c>
      <c r="F19" s="35" t="s">
        <v>6153</v>
      </c>
      <c r="G19" s="71">
        <v>45</v>
      </c>
      <c r="H19" s="77">
        <v>22</v>
      </c>
      <c r="I19" s="40" t="e">
        <f>VLOOKUP(Table3[[#This Row],[RARC Code]],'New Rarc Code'!A267:B1188,2,0)</f>
        <v>#N/A</v>
      </c>
      <c r="J19" s="40"/>
    </row>
    <row r="20" spans="1:10" x14ac:dyDescent="0.25">
      <c r="A20" s="71" t="s">
        <v>6105</v>
      </c>
      <c r="B20" s="32" t="s">
        <v>6095</v>
      </c>
      <c r="C20" s="32" t="s">
        <v>6101</v>
      </c>
      <c r="D20" s="32" t="s">
        <v>6100</v>
      </c>
      <c r="E20" s="32" t="s">
        <v>6099</v>
      </c>
      <c r="F20" s="35" t="s">
        <v>5128</v>
      </c>
      <c r="G20" s="71">
        <v>59</v>
      </c>
      <c r="H20" s="77" t="s">
        <v>1803</v>
      </c>
      <c r="I20" s="40" t="str">
        <f>VLOOKUP(Table3[[#This Row],[RARC Code]],'New Rarc Code'!A9:B930,2,0)</f>
        <v>This service code has been identified as the primary procedure code subject to the Medicare Multiple Procedure Payment Reduction (MPPR) rule.</v>
      </c>
      <c r="J20" s="40" t="s">
        <v>6106</v>
      </c>
    </row>
    <row r="21" spans="1:10" x14ac:dyDescent="0.25">
      <c r="A21" s="71" t="s">
        <v>6105</v>
      </c>
      <c r="B21" s="32" t="s">
        <v>6095</v>
      </c>
      <c r="C21" s="32" t="s">
        <v>6101</v>
      </c>
      <c r="D21" s="32" t="s">
        <v>6100</v>
      </c>
      <c r="E21" s="32" t="s">
        <v>6099</v>
      </c>
      <c r="F21" s="35" t="s">
        <v>5145</v>
      </c>
      <c r="G21" s="71">
        <v>97</v>
      </c>
      <c r="H21" s="71" t="s">
        <v>206</v>
      </c>
      <c r="I21" s="40" t="str">
        <f>VLOOKUP(Table3[[#This Row],[RARC Code]],'New Rarc Code'!A7:B928,2,0)</f>
        <v>Separately billed services/tests have been bundled as they are considered components of the same procedure</v>
      </c>
      <c r="J21" s="40" t="s">
        <v>6106</v>
      </c>
    </row>
    <row r="22" spans="1:10" x14ac:dyDescent="0.25">
      <c r="A22" s="71" t="s">
        <v>6105</v>
      </c>
      <c r="B22" s="32" t="s">
        <v>6095</v>
      </c>
      <c r="C22" s="32" t="s">
        <v>6101</v>
      </c>
      <c r="D22" s="32" t="s">
        <v>6100</v>
      </c>
      <c r="E22" s="32" t="s">
        <v>6099</v>
      </c>
      <c r="F22" s="35" t="s">
        <v>6092</v>
      </c>
      <c r="G22" s="71" t="s">
        <v>169</v>
      </c>
      <c r="H22" s="77" t="s">
        <v>716</v>
      </c>
      <c r="I22" s="40" t="str">
        <f>VLOOKUP(Table3[[#This Row],[RARC Code]],'New Rarc Code'!A8:B929,2,0)</f>
        <v>Missing/incomplete/invalid procedure code for this service</v>
      </c>
      <c r="J22" s="40" t="s">
        <v>6103</v>
      </c>
    </row>
    <row r="23" spans="1:10" x14ac:dyDescent="0.25">
      <c r="A23" s="71" t="s">
        <v>6126</v>
      </c>
      <c r="B23" s="32" t="s">
        <v>6117</v>
      </c>
      <c r="C23" s="32" t="s">
        <v>6118</v>
      </c>
      <c r="D23" s="32" t="s">
        <v>6119</v>
      </c>
      <c r="E23" s="32" t="s">
        <v>6120</v>
      </c>
      <c r="F23" s="35" t="s">
        <v>4974</v>
      </c>
      <c r="G23" s="71">
        <v>16</v>
      </c>
      <c r="H23" s="77" t="s">
        <v>1464</v>
      </c>
      <c r="I23" s="40" t="str">
        <f>VLOOKUP(Table3[[#This Row],[RARC Code]],'New Rarc Code'!A12:B933,2,0)</f>
        <v>Missing Explanation of Benefits (Coordination of Benefits or Medicare Secondary Payer).</v>
      </c>
      <c r="J23" s="40" t="s">
        <v>6129</v>
      </c>
    </row>
    <row r="24" spans="1:10" x14ac:dyDescent="0.25">
      <c r="A24" s="71" t="s">
        <v>6126</v>
      </c>
      <c r="B24" s="32" t="s">
        <v>6117</v>
      </c>
      <c r="C24" s="32" t="s">
        <v>6118</v>
      </c>
      <c r="D24" s="32" t="s">
        <v>6119</v>
      </c>
      <c r="E24" s="32" t="s">
        <v>6120</v>
      </c>
      <c r="F24" s="35" t="s">
        <v>4974</v>
      </c>
      <c r="G24" s="71">
        <v>16</v>
      </c>
      <c r="H24" s="77" t="s">
        <v>1464</v>
      </c>
      <c r="I24" s="40" t="str">
        <f>VLOOKUP(Table3[[#This Row],[RARC Code]],'New Rarc Code'!A13:B934,2,0)</f>
        <v>Missing Explanation of Benefits (Coordination of Benefits or Medicare Secondary Payer).</v>
      </c>
      <c r="J24" s="40" t="s">
        <v>6129</v>
      </c>
    </row>
    <row r="25" spans="1:10" x14ac:dyDescent="0.25">
      <c r="A25" s="71" t="s">
        <v>6126</v>
      </c>
      <c r="B25" s="32" t="s">
        <v>6127</v>
      </c>
      <c r="C25" s="32" t="s">
        <v>6118</v>
      </c>
      <c r="D25" s="32" t="s">
        <v>6124</v>
      </c>
      <c r="E25" s="32" t="s">
        <v>6120</v>
      </c>
      <c r="F25" s="35" t="s">
        <v>4974</v>
      </c>
      <c r="G25" s="71">
        <v>16</v>
      </c>
      <c r="H25" s="77" t="s">
        <v>417</v>
      </c>
      <c r="I25" s="40" t="str">
        <f>VLOOKUP(Table3[[#This Row],[RARC Code]],'New Rarc Code'!A10:B931,2,0)</f>
        <v>Secondary payment cannot be considered without the identity of or payment information from the primary payer. The information was either not reported or was illegible.</v>
      </c>
      <c r="J25" s="40" t="s">
        <v>6128</v>
      </c>
    </row>
    <row r="26" spans="1:10" x14ac:dyDescent="0.25">
      <c r="A26" s="71" t="s">
        <v>6126</v>
      </c>
      <c r="B26" s="32" t="s">
        <v>6117</v>
      </c>
      <c r="C26" s="32" t="s">
        <v>6118</v>
      </c>
      <c r="D26" s="32" t="s">
        <v>6124</v>
      </c>
      <c r="E26" s="32" t="s">
        <v>6120</v>
      </c>
      <c r="F26" s="35" t="s">
        <v>4974</v>
      </c>
      <c r="G26" s="71">
        <v>16</v>
      </c>
      <c r="H26" s="77" t="s">
        <v>417</v>
      </c>
      <c r="I26" s="40" t="e">
        <f>VLOOKUP(Table3[[#This Row],[RARC Code]],'New Rarc Code'!A260:B1181,2,0)</f>
        <v>#N/A</v>
      </c>
      <c r="J26" s="40" t="s">
        <v>6128</v>
      </c>
    </row>
    <row r="27" spans="1:10" x14ac:dyDescent="0.25">
      <c r="A27" s="71" t="s">
        <v>6126</v>
      </c>
      <c r="B27" s="32" t="s">
        <v>6117</v>
      </c>
      <c r="C27" s="32" t="s">
        <v>6118</v>
      </c>
      <c r="D27" s="32" t="s">
        <v>6119</v>
      </c>
      <c r="E27" s="32" t="s">
        <v>6120</v>
      </c>
      <c r="F27" s="35" t="s">
        <v>5036</v>
      </c>
      <c r="G27" s="71">
        <v>227</v>
      </c>
      <c r="H27" s="77" t="s">
        <v>1464</v>
      </c>
      <c r="I27" s="40" t="str">
        <f>VLOOKUP(Table3[[#This Row],[RARC Code]],'New Rarc Code'!A262:B1183,2,0)</f>
        <v>Missing Explanation of Benefits (Coordination of Benefits or Medicare Secondary Payer).</v>
      </c>
      <c r="J27" s="40" t="s">
        <v>6129</v>
      </c>
    </row>
    <row r="28" spans="1:10" x14ac:dyDescent="0.25">
      <c r="A28" s="71" t="s">
        <v>6126</v>
      </c>
      <c r="B28" s="32" t="s">
        <v>6127</v>
      </c>
      <c r="C28" s="32" t="s">
        <v>6118</v>
      </c>
      <c r="D28" s="32" t="s">
        <v>6124</v>
      </c>
      <c r="E28" s="32" t="s">
        <v>6120</v>
      </c>
      <c r="F28" s="35" t="s">
        <v>5061</v>
      </c>
      <c r="G28" s="71">
        <v>252</v>
      </c>
      <c r="H28" s="77" t="s">
        <v>615</v>
      </c>
      <c r="I28" s="40" t="str">
        <f>VLOOKUP(Table3[[#This Row],[RARC Code]],'New Rarc Code'!A11:B932,2,0)</f>
        <v>Missing/incomplete/invalid prior insurance carrier(s) Explanation of Benefits (EOB) or denial</v>
      </c>
      <c r="J28" s="40" t="s">
        <v>6140</v>
      </c>
    </row>
    <row r="29" spans="1:10" x14ac:dyDescent="0.25">
      <c r="A29" s="71" t="s">
        <v>6162</v>
      </c>
      <c r="B29" s="32" t="s">
        <v>6095</v>
      </c>
      <c r="C29" s="32" t="s">
        <v>6101</v>
      </c>
      <c r="D29" s="71" t="s">
        <v>6119</v>
      </c>
      <c r="E29" s="71" t="s">
        <v>6156</v>
      </c>
      <c r="F29" s="35" t="s">
        <v>5039</v>
      </c>
      <c r="G29" s="71">
        <v>23</v>
      </c>
      <c r="H29" s="77">
        <v>275</v>
      </c>
      <c r="I29" s="40" t="e">
        <f>VLOOKUP(Table3[[#This Row],[RARC Code]],'New Rarc Code'!A272:B1193,2,0)</f>
        <v>#N/A</v>
      </c>
      <c r="J29" s="40"/>
    </row>
    <row r="30" spans="1:10" x14ac:dyDescent="0.25">
      <c r="A30" s="71" t="s">
        <v>6109</v>
      </c>
      <c r="B30" s="32" t="s">
        <v>6095</v>
      </c>
      <c r="C30" s="32" t="s">
        <v>6101</v>
      </c>
      <c r="D30" s="32" t="s">
        <v>6100</v>
      </c>
      <c r="E30" s="32" t="s">
        <v>6099</v>
      </c>
      <c r="F30" s="35" t="s">
        <v>6092</v>
      </c>
      <c r="G30" s="71" t="s">
        <v>169</v>
      </c>
      <c r="H30" s="77" t="s">
        <v>1810</v>
      </c>
      <c r="I30" s="40" t="str">
        <f>VLOOKUP(Table3[[#This Row],[RARC Code]],'New Rarc Code'!A14:B935,2,0)</f>
        <v>Not covered unless a pre-requisite procedure/service has been provided.</v>
      </c>
      <c r="J30" s="40" t="s">
        <v>6103</v>
      </c>
    </row>
    <row r="31" spans="1:10" x14ac:dyDescent="0.25">
      <c r="A31" s="71" t="s">
        <v>6115</v>
      </c>
      <c r="B31" s="32" t="s">
        <v>6095</v>
      </c>
      <c r="C31" s="32" t="s">
        <v>6101</v>
      </c>
      <c r="D31" s="32" t="s">
        <v>6100</v>
      </c>
      <c r="E31" s="32" t="s">
        <v>6099</v>
      </c>
      <c r="F31" s="35" t="s">
        <v>5064</v>
      </c>
      <c r="G31" s="71">
        <v>256</v>
      </c>
      <c r="H31" s="77" t="s">
        <v>1403</v>
      </c>
      <c r="I31" s="40" t="str">
        <f>VLOOKUP(Table3[[#This Row],[RARC Code]],'New Rarc Code'!A15:B936,2,0)</f>
        <v>This drug/service has a maximum allowable cost (MAC) that has been exceeded</v>
      </c>
      <c r="J31" s="40" t="s">
        <v>6114</v>
      </c>
    </row>
    <row r="32" spans="1:10" x14ac:dyDescent="0.25">
      <c r="A32" s="71" t="s">
        <v>4993</v>
      </c>
      <c r="B32" s="32" t="s">
        <v>6164</v>
      </c>
      <c r="C32" s="32" t="s">
        <v>6101</v>
      </c>
      <c r="D32" s="32" t="s">
        <v>6100</v>
      </c>
      <c r="E32" s="32" t="s">
        <v>6099</v>
      </c>
      <c r="F32" s="79" t="s">
        <v>4993</v>
      </c>
      <c r="G32" s="71">
        <v>242</v>
      </c>
      <c r="H32" s="77" t="s">
        <v>206</v>
      </c>
      <c r="I32" s="40" t="s">
        <v>5197</v>
      </c>
      <c r="J32" s="40" t="s">
        <v>6106</v>
      </c>
    </row>
    <row r="33" spans="1:10" x14ac:dyDescent="0.25">
      <c r="A33" s="71" t="s">
        <v>6102</v>
      </c>
      <c r="B33" s="32" t="s">
        <v>6095</v>
      </c>
      <c r="C33" s="32" t="s">
        <v>6101</v>
      </c>
      <c r="D33" s="32" t="s">
        <v>6100</v>
      </c>
      <c r="E33" s="32" t="s">
        <v>6099</v>
      </c>
      <c r="F33" s="35" t="s">
        <v>5043</v>
      </c>
      <c r="G33" s="71">
        <v>234</v>
      </c>
      <c r="H33" s="77" t="s">
        <v>206</v>
      </c>
      <c r="I33" s="40" t="str">
        <f>VLOOKUP(Table3[[#This Row],[RARC Code]],'New Rarc Code'!A16:B937,2,0)</f>
        <v>Separately billed services/tests have been bundled as they are considered components of the same procedure</v>
      </c>
      <c r="J33" s="40" t="s">
        <v>6104</v>
      </c>
    </row>
    <row r="34" spans="1:10" x14ac:dyDescent="0.25">
      <c r="A34" s="71" t="s">
        <v>6160</v>
      </c>
      <c r="B34" s="32" t="s">
        <v>6148</v>
      </c>
      <c r="C34" s="32" t="s">
        <v>6101</v>
      </c>
      <c r="D34" s="71" t="s">
        <v>6124</v>
      </c>
      <c r="E34" s="71" t="s">
        <v>6156</v>
      </c>
      <c r="F34" s="35" t="s">
        <v>5128</v>
      </c>
      <c r="G34" s="71">
        <v>59</v>
      </c>
      <c r="H34" s="77" t="s">
        <v>171</v>
      </c>
      <c r="I34" s="40" t="str">
        <f>VLOOKUP(Table3[[#This Row],[RARC Code]],'New Rarc Code'!A274:B1195,2,0)</f>
        <v>Workers' compensation jurisdictional fee schedule adjustment.</v>
      </c>
      <c r="J34" s="40"/>
    </row>
    <row r="35" spans="1:10" x14ac:dyDescent="0.25">
      <c r="A35" s="71" t="s">
        <v>6141</v>
      </c>
      <c r="B35" s="32" t="s">
        <v>6127</v>
      </c>
      <c r="C35" s="32" t="s">
        <v>6132</v>
      </c>
      <c r="D35" s="32" t="s">
        <v>6124</v>
      </c>
      <c r="E35" s="32" t="s">
        <v>6120</v>
      </c>
      <c r="F35" s="35" t="s">
        <v>5004</v>
      </c>
      <c r="G35" s="71">
        <v>19</v>
      </c>
      <c r="H35" s="77" t="s">
        <v>1903</v>
      </c>
      <c r="I35" s="40" t="str">
        <f>VLOOKUP(Table3[[#This Row],[RARC Code]],'New Rarc Code'!A17:B938,2,0)</f>
        <v>A workers' compensation insurer has reported having ongoing responsibility for medical services (ORM) for this diagnosis.</v>
      </c>
      <c r="J35" s="40"/>
    </row>
    <row r="36" spans="1:10" x14ac:dyDescent="0.25">
      <c r="A36" s="71" t="s">
        <v>6122</v>
      </c>
      <c r="B36" s="32" t="s">
        <v>6117</v>
      </c>
      <c r="C36" s="32" t="s">
        <v>6132</v>
      </c>
      <c r="D36" s="71" t="s">
        <v>6119</v>
      </c>
      <c r="E36" s="71" t="s">
        <v>6120</v>
      </c>
      <c r="F36" s="35" t="s">
        <v>5029</v>
      </c>
      <c r="G36" s="71">
        <v>22</v>
      </c>
      <c r="H36" s="40" t="s">
        <v>828</v>
      </c>
      <c r="I36" s="40" t="str">
        <f>VLOOKUP(Table3[[#This Row],[RARC Code]],'New Rarc Code'!A143:B1064,2,0)</f>
        <v>Consult plan benefit documents/provider manual for information about restrictions for this service</v>
      </c>
      <c r="J36" s="40"/>
    </row>
    <row r="37" spans="1:10" x14ac:dyDescent="0.25">
      <c r="A37" s="71" t="s">
        <v>6122</v>
      </c>
      <c r="B37" s="32" t="s">
        <v>6117</v>
      </c>
      <c r="C37" s="32" t="s">
        <v>6132</v>
      </c>
      <c r="D37" s="32" t="s">
        <v>6119</v>
      </c>
      <c r="E37" s="32" t="s">
        <v>6120</v>
      </c>
      <c r="F37" s="35" t="s">
        <v>4928</v>
      </c>
      <c r="G37" s="71">
        <v>109</v>
      </c>
      <c r="H37" s="77" t="s">
        <v>1346</v>
      </c>
      <c r="I37" s="40" t="str">
        <f>VLOOKUP(Table3[[#This Row],[RARC Code]],'New Rarc Code'!A19:B940,2,0)</f>
        <v>Misrouted claim. See the payer's claim submission instructions.</v>
      </c>
      <c r="J37" s="40" t="s">
        <v>6133</v>
      </c>
    </row>
    <row r="38" spans="1:10" x14ac:dyDescent="0.25">
      <c r="A38" s="71" t="s">
        <v>6122</v>
      </c>
      <c r="B38" s="32" t="s">
        <v>6117</v>
      </c>
      <c r="C38" s="32" t="s">
        <v>6132</v>
      </c>
      <c r="D38" s="32" t="s">
        <v>6119</v>
      </c>
      <c r="E38" s="32" t="s">
        <v>6120</v>
      </c>
      <c r="F38" s="35" t="s">
        <v>4928</v>
      </c>
      <c r="G38" s="71">
        <v>109</v>
      </c>
      <c r="H38" s="77" t="s">
        <v>924</v>
      </c>
      <c r="I38" s="40" t="str">
        <f>VLOOKUP(Table3[[#This Row],[RARC Code]],'New Rarc Code'!A260:B1181,2,0)</f>
        <v>Specific federal/state/local program may cover this service through another payer.</v>
      </c>
      <c r="J38" s="40" t="s">
        <v>6133</v>
      </c>
    </row>
    <row r="39" spans="1:10" x14ac:dyDescent="0.25">
      <c r="A39" s="71" t="s">
        <v>6122</v>
      </c>
      <c r="B39" s="32" t="s">
        <v>6127</v>
      </c>
      <c r="C39" s="32" t="s">
        <v>6132</v>
      </c>
      <c r="D39" s="32" t="s">
        <v>6124</v>
      </c>
      <c r="E39" s="32" t="s">
        <v>6120</v>
      </c>
      <c r="F39" s="35" t="s">
        <v>4928</v>
      </c>
      <c r="G39" s="71">
        <v>109</v>
      </c>
      <c r="H39" s="77" t="s">
        <v>1346</v>
      </c>
      <c r="I39" s="40" t="str">
        <f>VLOOKUP(Table3[[#This Row],[RARC Code]],'New Rarc Code'!A20:B941,2,0)</f>
        <v>Misrouted claim. See the payer's claim submission instructions.</v>
      </c>
      <c r="J39" s="40" t="s">
        <v>6133</v>
      </c>
    </row>
    <row r="40" spans="1:10" x14ac:dyDescent="0.25">
      <c r="A40" s="71" t="s">
        <v>6122</v>
      </c>
      <c r="B40" s="32" t="s">
        <v>6125</v>
      </c>
      <c r="C40" s="32" t="s">
        <v>6118</v>
      </c>
      <c r="D40" s="32" t="s">
        <v>6124</v>
      </c>
      <c r="E40" s="32" t="s">
        <v>6120</v>
      </c>
      <c r="F40" s="35" t="s">
        <v>4928</v>
      </c>
      <c r="G40" s="71">
        <v>109</v>
      </c>
      <c r="H40" s="77" t="s">
        <v>777</v>
      </c>
      <c r="I40" s="40" t="str">
        <f>VLOOKUP(Table3[[#This Row],[RARC Code]],'New Rarc Code'!A18:B939,2,0)</f>
        <v>This claim/service is not payable under this payer/contractor. Submit the claim to the correct payer</v>
      </c>
      <c r="J40" s="40" t="s">
        <v>6123</v>
      </c>
    </row>
    <row r="41" spans="1:10" x14ac:dyDescent="0.25">
      <c r="A41" s="71"/>
      <c r="B41" s="32"/>
      <c r="C41" s="32"/>
      <c r="D41" s="71"/>
      <c r="E41" s="71"/>
      <c r="F41" s="35" t="s">
        <v>145</v>
      </c>
      <c r="G41" s="71">
        <v>1</v>
      </c>
      <c r="H41" s="40"/>
      <c r="I41" s="40" t="e">
        <f>VLOOKUP(Table3[[#This Row],[RARC Code]],'New Rarc Code'!A21:B942,2,0)</f>
        <v>#N/A</v>
      </c>
      <c r="J41" s="40"/>
    </row>
    <row r="42" spans="1:10" x14ac:dyDescent="0.25">
      <c r="A42" s="71"/>
      <c r="B42" s="32"/>
      <c r="C42" s="32"/>
      <c r="D42" s="71"/>
      <c r="E42" s="71"/>
      <c r="F42" s="35" t="s">
        <v>146</v>
      </c>
      <c r="G42" s="71">
        <v>2</v>
      </c>
      <c r="H42" s="40"/>
      <c r="I42" s="40" t="e">
        <f>VLOOKUP(Table3[[#This Row],[RARC Code]],'New Rarc Code'!A121:B1042,2,0)</f>
        <v>#N/A</v>
      </c>
      <c r="J42" s="40"/>
    </row>
    <row r="43" spans="1:10" x14ac:dyDescent="0.25">
      <c r="A43" s="71"/>
      <c r="B43" s="32"/>
      <c r="C43" s="32"/>
      <c r="D43" s="32"/>
      <c r="E43" s="32"/>
      <c r="F43" s="35" t="s">
        <v>147</v>
      </c>
      <c r="G43" s="71">
        <v>3</v>
      </c>
      <c r="H43" s="40"/>
      <c r="I43" s="40" t="e">
        <f>VLOOKUP(Table3[[#This Row],[RARC Code]],'New Rarc Code'!A217:B1138,2,0)</f>
        <v>#N/A</v>
      </c>
      <c r="J43" s="40"/>
    </row>
    <row r="44" spans="1:10" x14ac:dyDescent="0.25">
      <c r="A44" s="71"/>
      <c r="B44" s="32"/>
      <c r="C44" s="32"/>
      <c r="D44" s="32"/>
      <c r="E44" s="32"/>
      <c r="F44" s="35" t="s">
        <v>5114</v>
      </c>
      <c r="G44" s="71">
        <v>4</v>
      </c>
      <c r="H44" s="40"/>
      <c r="I44" s="40" t="e">
        <f>VLOOKUP(Table3[[#This Row],[RARC Code]],'New Rarc Code'!A228:B1149,2,0)</f>
        <v>#N/A</v>
      </c>
      <c r="J44" s="40"/>
    </row>
    <row r="45" spans="1:10" x14ac:dyDescent="0.25">
      <c r="A45" s="71"/>
      <c r="B45" s="32"/>
      <c r="C45" s="32"/>
      <c r="D45" s="32"/>
      <c r="E45" s="32"/>
      <c r="F45" s="35" t="s">
        <v>5120</v>
      </c>
      <c r="G45" s="71">
        <v>5</v>
      </c>
      <c r="H45" s="40"/>
      <c r="I45" s="40" t="e">
        <f>VLOOKUP(Table3[[#This Row],[RARC Code]],'New Rarc Code'!A234:B1155,2,0)</f>
        <v>#N/A</v>
      </c>
      <c r="J45" s="40"/>
    </row>
    <row r="46" spans="1:10" x14ac:dyDescent="0.25">
      <c r="A46" s="71"/>
      <c r="B46" s="32"/>
      <c r="C46" s="32"/>
      <c r="D46" s="32"/>
      <c r="E46" s="32"/>
      <c r="F46" s="35" t="s">
        <v>173</v>
      </c>
      <c r="G46" s="71">
        <v>6</v>
      </c>
      <c r="H46" s="40"/>
      <c r="I46" s="40" t="e">
        <f>VLOOKUP(Table3[[#This Row],[RARC Code]],'New Rarc Code'!A242:B1163,2,0)</f>
        <v>#N/A</v>
      </c>
      <c r="J46" s="40"/>
    </row>
    <row r="47" spans="1:10" x14ac:dyDescent="0.25">
      <c r="A47" s="71"/>
      <c r="B47" s="32"/>
      <c r="C47" s="32"/>
      <c r="D47" s="32"/>
      <c r="E47" s="32"/>
      <c r="F47" s="35" t="s">
        <v>174</v>
      </c>
      <c r="G47" s="71">
        <v>7</v>
      </c>
      <c r="H47" s="40"/>
      <c r="I47" s="40" t="e">
        <f>VLOOKUP(Table3[[#This Row],[RARC Code]],'New Rarc Code'!A248:B1169,2,0)</f>
        <v>#N/A</v>
      </c>
      <c r="J47" s="40"/>
    </row>
    <row r="48" spans="1:10" x14ac:dyDescent="0.25">
      <c r="A48" s="71"/>
      <c r="B48" s="32"/>
      <c r="C48" s="32"/>
      <c r="D48" s="32"/>
      <c r="E48" s="32"/>
      <c r="F48" s="35" t="s">
        <v>5138</v>
      </c>
      <c r="G48" s="71">
        <v>8</v>
      </c>
      <c r="H48" s="40"/>
      <c r="I48" s="40" t="e">
        <f>VLOOKUP(Table3[[#This Row],[RARC Code]],'New Rarc Code'!A254:B1175,2,0)</f>
        <v>#N/A</v>
      </c>
      <c r="J48" s="40"/>
    </row>
    <row r="49" spans="1:10" x14ac:dyDescent="0.25">
      <c r="A49" s="71"/>
      <c r="B49" s="32"/>
      <c r="C49" s="32"/>
      <c r="D49" s="32"/>
      <c r="E49" s="32"/>
      <c r="F49" s="35" t="s">
        <v>175</v>
      </c>
      <c r="G49" s="71">
        <v>9</v>
      </c>
      <c r="H49" s="40"/>
      <c r="I49" s="40" t="e">
        <f>VLOOKUP(Table3[[#This Row],[RARC Code]],'New Rarc Code'!A257:B1178,2,0)</f>
        <v>#N/A</v>
      </c>
      <c r="J49" s="40"/>
    </row>
    <row r="50" spans="1:10" x14ac:dyDescent="0.25">
      <c r="A50" s="71"/>
      <c r="B50" s="32"/>
      <c r="C50" s="32"/>
      <c r="D50" s="71"/>
      <c r="E50" s="71"/>
      <c r="F50" s="35" t="s">
        <v>176</v>
      </c>
      <c r="G50" s="71">
        <v>10</v>
      </c>
      <c r="H50" s="40"/>
      <c r="I50" s="40" t="e">
        <f>VLOOKUP(Table3[[#This Row],[RARC Code]],'New Rarc Code'!A22:B943,2,0)</f>
        <v>#N/A</v>
      </c>
      <c r="J50" s="40"/>
    </row>
    <row r="51" spans="1:10" x14ac:dyDescent="0.25">
      <c r="A51" s="71"/>
      <c r="B51" s="32"/>
      <c r="C51" s="32"/>
      <c r="D51" s="71"/>
      <c r="E51" s="71"/>
      <c r="F51" s="35" t="s">
        <v>177</v>
      </c>
      <c r="G51" s="71">
        <v>11</v>
      </c>
      <c r="H51" s="40"/>
      <c r="I51" s="40" t="e">
        <f>VLOOKUP(Table3[[#This Row],[RARC Code]],'New Rarc Code'!A32:B953,2,0)</f>
        <v>#N/A</v>
      </c>
      <c r="J51" s="40"/>
    </row>
    <row r="52" spans="1:10" x14ac:dyDescent="0.25">
      <c r="A52" s="71"/>
      <c r="B52" s="32"/>
      <c r="C52" s="32"/>
      <c r="D52" s="71"/>
      <c r="E52" s="71"/>
      <c r="F52" s="35" t="s">
        <v>178</v>
      </c>
      <c r="G52" s="71">
        <v>12</v>
      </c>
      <c r="H52" s="40"/>
      <c r="I52" s="40" t="e">
        <f>VLOOKUP(Table3[[#This Row],[RARC Code]],'New Rarc Code'!A42:B963,2,0)</f>
        <v>#N/A</v>
      </c>
      <c r="J52" s="40"/>
    </row>
    <row r="53" spans="1:10" x14ac:dyDescent="0.25">
      <c r="A53" s="71"/>
      <c r="B53" s="32"/>
      <c r="C53" s="32"/>
      <c r="D53" s="71"/>
      <c r="E53" s="71"/>
      <c r="F53" s="35" t="s">
        <v>179</v>
      </c>
      <c r="G53" s="71">
        <v>13</v>
      </c>
      <c r="H53" s="40"/>
      <c r="I53" s="40" t="e">
        <f>VLOOKUP(Table3[[#This Row],[RARC Code]],'New Rarc Code'!A50:B971,2,0)</f>
        <v>#N/A</v>
      </c>
      <c r="J53" s="40"/>
    </row>
    <row r="54" spans="1:10" x14ac:dyDescent="0.25">
      <c r="A54" s="71"/>
      <c r="B54" s="32"/>
      <c r="C54" s="32"/>
      <c r="D54" s="71"/>
      <c r="E54" s="71"/>
      <c r="F54" s="35" t="s">
        <v>180</v>
      </c>
      <c r="G54" s="71">
        <v>14</v>
      </c>
      <c r="H54" s="40"/>
      <c r="I54" s="40" t="e">
        <f>VLOOKUP(Table3[[#This Row],[RARC Code]],'New Rarc Code'!A61:B982,2,0)</f>
        <v>#N/A</v>
      </c>
      <c r="J54" s="40"/>
    </row>
    <row r="55" spans="1:10" x14ac:dyDescent="0.25">
      <c r="A55" s="71"/>
      <c r="B55" s="32"/>
      <c r="C55" s="32"/>
      <c r="D55" s="71"/>
      <c r="E55" s="71"/>
      <c r="F55" s="35" t="s">
        <v>4964</v>
      </c>
      <c r="G55" s="71">
        <v>15</v>
      </c>
      <c r="H55" s="40"/>
      <c r="I55" s="40" t="e">
        <f>VLOOKUP(Table3[[#This Row],[RARC Code]],'New Rarc Code'!A71:B992,2,0)</f>
        <v>#N/A</v>
      </c>
      <c r="J55" s="40"/>
    </row>
    <row r="56" spans="1:10" x14ac:dyDescent="0.25">
      <c r="A56" s="71"/>
      <c r="B56" s="32"/>
      <c r="C56" s="32"/>
      <c r="D56" s="71"/>
      <c r="E56" s="71"/>
      <c r="F56" s="35" t="s">
        <v>4983</v>
      </c>
      <c r="G56" s="71">
        <v>17</v>
      </c>
      <c r="H56" s="40"/>
      <c r="I56" s="40" t="e">
        <f>VLOOKUP(Table3[[#This Row],[RARC Code]],'New Rarc Code'!A90:B1011,2,0)</f>
        <v>#N/A</v>
      </c>
      <c r="J56" s="40"/>
    </row>
    <row r="57" spans="1:10" x14ac:dyDescent="0.25">
      <c r="A57" s="71"/>
      <c r="B57" s="32"/>
      <c r="C57" s="32"/>
      <c r="D57" s="71"/>
      <c r="E57" s="71"/>
      <c r="F57" s="35" t="s">
        <v>5014</v>
      </c>
      <c r="G57" s="71">
        <v>20</v>
      </c>
      <c r="H57" s="40"/>
      <c r="I57" s="40" t="e">
        <f>VLOOKUP(Table3[[#This Row],[RARC Code]],'New Rarc Code'!A122:B1043,2,0)</f>
        <v>#N/A</v>
      </c>
      <c r="J57" s="40"/>
    </row>
    <row r="58" spans="1:10" x14ac:dyDescent="0.25">
      <c r="A58" s="71"/>
      <c r="B58" s="32"/>
      <c r="C58" s="32"/>
      <c r="D58" s="71"/>
      <c r="E58" s="71"/>
      <c r="F58" s="35" t="s">
        <v>5022</v>
      </c>
      <c r="G58" s="71">
        <v>21</v>
      </c>
      <c r="H58" s="40"/>
      <c r="I58" s="40" t="e">
        <f>VLOOKUP(Table3[[#This Row],[RARC Code]],'New Rarc Code'!A133:B1054,2,0)</f>
        <v>#N/A</v>
      </c>
      <c r="J58" s="40"/>
    </row>
    <row r="59" spans="1:10" x14ac:dyDescent="0.25">
      <c r="A59" s="71"/>
      <c r="B59" s="32"/>
      <c r="C59" s="32"/>
      <c r="D59" s="71"/>
      <c r="E59" s="71"/>
      <c r="F59" s="35" t="s">
        <v>5039</v>
      </c>
      <c r="G59" s="71">
        <v>23</v>
      </c>
      <c r="H59" s="40"/>
      <c r="I59" s="40" t="e">
        <f>VLOOKUP(Table3[[#This Row],[RARC Code]],'New Rarc Code'!A153:B1074,2,0)</f>
        <v>#N/A</v>
      </c>
      <c r="J59" s="40"/>
    </row>
    <row r="60" spans="1:10" x14ac:dyDescent="0.25">
      <c r="A60" s="71"/>
      <c r="B60" s="32"/>
      <c r="C60" s="32"/>
      <c r="D60" s="71"/>
      <c r="E60" s="71"/>
      <c r="F60" s="35" t="s">
        <v>5048</v>
      </c>
      <c r="G60" s="71">
        <v>24</v>
      </c>
      <c r="H60" s="40"/>
      <c r="I60" s="40" t="e">
        <f>VLOOKUP(Table3[[#This Row],[RARC Code]],'New Rarc Code'!A161:B1082,2,0)</f>
        <v>#N/A</v>
      </c>
      <c r="J60" s="40"/>
    </row>
    <row r="61" spans="1:10" x14ac:dyDescent="0.25">
      <c r="A61" s="71"/>
      <c r="B61" s="32"/>
      <c r="C61" s="32"/>
      <c r="D61" s="71"/>
      <c r="E61" s="71"/>
      <c r="F61" s="35" t="s">
        <v>5058</v>
      </c>
      <c r="G61" s="71">
        <v>25</v>
      </c>
      <c r="H61" s="40"/>
      <c r="I61" s="40" t="e">
        <f>VLOOKUP(Table3[[#This Row],[RARC Code]],'New Rarc Code'!A172:B1093,2,0)</f>
        <v>#N/A</v>
      </c>
      <c r="J61" s="40"/>
    </row>
    <row r="62" spans="1:10" x14ac:dyDescent="0.25">
      <c r="A62" s="71"/>
      <c r="B62" s="32"/>
      <c r="C62" s="32"/>
      <c r="D62" s="32"/>
      <c r="E62" s="32"/>
      <c r="F62" s="35" t="s">
        <v>5098</v>
      </c>
      <c r="G62" s="71">
        <v>29</v>
      </c>
      <c r="H62" s="40"/>
      <c r="I62" s="40" t="e">
        <f>VLOOKUP(Table3[[#This Row],[RARC Code]],'New Rarc Code'!A211:B1132,2,0)</f>
        <v>#N/A</v>
      </c>
      <c r="J62" s="40"/>
    </row>
    <row r="63" spans="1:10" x14ac:dyDescent="0.25">
      <c r="A63" s="71"/>
      <c r="B63" s="32"/>
      <c r="C63" s="32"/>
      <c r="D63" s="32"/>
      <c r="E63" s="32"/>
      <c r="F63" s="35" t="s">
        <v>5104</v>
      </c>
      <c r="G63" s="71">
        <v>30</v>
      </c>
      <c r="H63" s="40"/>
      <c r="I63" s="40" t="e">
        <f>VLOOKUP(Table3[[#This Row],[RARC Code]],'New Rarc Code'!A218:B1139,2,0)</f>
        <v>#N/A</v>
      </c>
      <c r="J63" s="40"/>
    </row>
    <row r="64" spans="1:10" x14ac:dyDescent="0.25">
      <c r="A64" s="71"/>
      <c r="B64" s="32"/>
      <c r="C64" s="32"/>
      <c r="D64" s="32"/>
      <c r="E64" s="32"/>
      <c r="F64" s="35" t="s">
        <v>5106</v>
      </c>
      <c r="G64" s="71">
        <v>32</v>
      </c>
      <c r="H64" s="40"/>
      <c r="I64" s="40" t="e">
        <f>VLOOKUP(Table3[[#This Row],[RARC Code]],'New Rarc Code'!A220:B1141,2,0)</f>
        <v>#N/A</v>
      </c>
      <c r="J64" s="40"/>
    </row>
    <row r="65" spans="1:10" x14ac:dyDescent="0.25">
      <c r="A65" s="71"/>
      <c r="B65" s="32"/>
      <c r="C65" s="32"/>
      <c r="D65" s="32"/>
      <c r="E65" s="32"/>
      <c r="F65" s="35" t="s">
        <v>5107</v>
      </c>
      <c r="G65" s="71">
        <v>33</v>
      </c>
      <c r="H65" s="40"/>
      <c r="I65" s="40" t="e">
        <f>VLOOKUP(Table3[[#This Row],[RARC Code]],'New Rarc Code'!A221:B1142,2,0)</f>
        <v>#N/A</v>
      </c>
      <c r="J65" s="40"/>
    </row>
    <row r="66" spans="1:10" x14ac:dyDescent="0.25">
      <c r="A66" s="71"/>
      <c r="B66" s="32"/>
      <c r="C66" s="32"/>
      <c r="D66" s="32"/>
      <c r="E66" s="32"/>
      <c r="F66" s="35" t="s">
        <v>5108</v>
      </c>
      <c r="G66" s="71">
        <v>34</v>
      </c>
      <c r="H66" s="40"/>
      <c r="I66" s="40" t="e">
        <f>VLOOKUP(Table3[[#This Row],[RARC Code]],'New Rarc Code'!A222:B1143,2,0)</f>
        <v>#N/A</v>
      </c>
      <c r="J66" s="40"/>
    </row>
    <row r="67" spans="1:10" x14ac:dyDescent="0.25">
      <c r="A67" s="71"/>
      <c r="B67" s="32"/>
      <c r="C67" s="32"/>
      <c r="D67" s="32"/>
      <c r="E67" s="32"/>
      <c r="F67" s="35" t="s">
        <v>5109</v>
      </c>
      <c r="G67" s="71">
        <v>35</v>
      </c>
      <c r="H67" s="40"/>
      <c r="I67" s="40" t="e">
        <f>VLOOKUP(Table3[[#This Row],[RARC Code]],'New Rarc Code'!A223:B1144,2,0)</f>
        <v>#N/A</v>
      </c>
      <c r="J67" s="40"/>
    </row>
    <row r="68" spans="1:10" x14ac:dyDescent="0.25">
      <c r="A68" s="71"/>
      <c r="B68" s="32"/>
      <c r="C68" s="32"/>
      <c r="D68" s="32"/>
      <c r="E68" s="32"/>
      <c r="F68" s="35" t="s">
        <v>5110</v>
      </c>
      <c r="G68" s="71">
        <v>36</v>
      </c>
      <c r="H68" s="40"/>
      <c r="I68" s="40" t="e">
        <f>VLOOKUP(Table3[[#This Row],[RARC Code]],'New Rarc Code'!A224:B1145,2,0)</f>
        <v>#N/A</v>
      </c>
      <c r="J68" s="40"/>
    </row>
    <row r="69" spans="1:10" x14ac:dyDescent="0.25">
      <c r="A69" s="71"/>
      <c r="B69" s="32"/>
      <c r="C69" s="32"/>
      <c r="D69" s="32"/>
      <c r="E69" s="32"/>
      <c r="F69" s="35" t="s">
        <v>5111</v>
      </c>
      <c r="G69" s="71">
        <v>37</v>
      </c>
      <c r="H69" s="40"/>
      <c r="I69" s="40" t="e">
        <f>VLOOKUP(Table3[[#This Row],[RARC Code]],'New Rarc Code'!A225:B1146,2,0)</f>
        <v>#N/A</v>
      </c>
      <c r="J69" s="40"/>
    </row>
    <row r="70" spans="1:10" x14ac:dyDescent="0.25">
      <c r="A70" s="71"/>
      <c r="B70" s="32"/>
      <c r="C70" s="32"/>
      <c r="D70" s="32"/>
      <c r="E70" s="32"/>
      <c r="F70" s="35" t="s">
        <v>5112</v>
      </c>
      <c r="G70" s="71">
        <v>38</v>
      </c>
      <c r="H70" s="40"/>
      <c r="I70" s="40" t="e">
        <f>VLOOKUP(Table3[[#This Row],[RARC Code]],'New Rarc Code'!A226:B1147,2,0)</f>
        <v>#N/A</v>
      </c>
      <c r="J70" s="40"/>
    </row>
    <row r="71" spans="1:10" x14ac:dyDescent="0.25">
      <c r="A71" s="71"/>
      <c r="B71" s="32"/>
      <c r="C71" s="32"/>
      <c r="D71" s="32"/>
      <c r="E71" s="32"/>
      <c r="F71" s="35" t="s">
        <v>5113</v>
      </c>
      <c r="G71" s="71">
        <v>39</v>
      </c>
      <c r="H71" s="40"/>
      <c r="I71" s="40" t="e">
        <f>VLOOKUP(Table3[[#This Row],[RARC Code]],'New Rarc Code'!A227:B1148,2,0)</f>
        <v>#N/A</v>
      </c>
      <c r="J71" s="40"/>
    </row>
    <row r="72" spans="1:10" x14ac:dyDescent="0.25">
      <c r="A72" s="71"/>
      <c r="B72" s="32"/>
      <c r="C72" s="32"/>
      <c r="D72" s="32"/>
      <c r="E72" s="32"/>
      <c r="F72" s="35" t="s">
        <v>5115</v>
      </c>
      <c r="G72" s="71">
        <v>40</v>
      </c>
      <c r="H72" s="40"/>
      <c r="I72" s="40" t="e">
        <f>VLOOKUP(Table3[[#This Row],[RARC Code]],'New Rarc Code'!A229:B1150,2,0)</f>
        <v>#N/A</v>
      </c>
      <c r="J72" s="40"/>
    </row>
    <row r="73" spans="1:10" x14ac:dyDescent="0.25">
      <c r="A73" s="71"/>
      <c r="B73" s="32"/>
      <c r="C73" s="32"/>
      <c r="D73" s="32"/>
      <c r="E73" s="32"/>
      <c r="F73" s="35" t="s">
        <v>5116</v>
      </c>
      <c r="G73" s="71">
        <v>42</v>
      </c>
      <c r="H73" s="40"/>
      <c r="I73" s="40" t="e">
        <f>VLOOKUP(Table3[[#This Row],[RARC Code]],'New Rarc Code'!A230:B1151,2,0)</f>
        <v>#N/A</v>
      </c>
      <c r="J73" s="40"/>
    </row>
    <row r="74" spans="1:10" x14ac:dyDescent="0.25">
      <c r="A74" s="71"/>
      <c r="B74" s="32"/>
      <c r="C74" s="32"/>
      <c r="D74" s="32"/>
      <c r="E74" s="32"/>
      <c r="F74" s="35" t="s">
        <v>5117</v>
      </c>
      <c r="G74" s="71">
        <v>44</v>
      </c>
      <c r="H74" s="40"/>
      <c r="I74" s="40" t="e">
        <f>VLOOKUP(Table3[[#This Row],[RARC Code]],'New Rarc Code'!A231:B1152,2,0)</f>
        <v>#N/A</v>
      </c>
      <c r="J74" s="40"/>
    </row>
    <row r="75" spans="1:10" x14ac:dyDescent="0.25">
      <c r="A75" s="71"/>
      <c r="B75" s="32"/>
      <c r="C75" s="32"/>
      <c r="D75" s="32"/>
      <c r="E75" s="32"/>
      <c r="F75" s="35" t="s">
        <v>5118</v>
      </c>
      <c r="G75" s="71">
        <v>45</v>
      </c>
      <c r="H75" s="40"/>
      <c r="I75" s="40" t="e">
        <f>VLOOKUP(Table3[[#This Row],[RARC Code]],'New Rarc Code'!A232:B1153,2,0)</f>
        <v>#N/A</v>
      </c>
      <c r="J75" s="40"/>
    </row>
    <row r="76" spans="1:10" x14ac:dyDescent="0.25">
      <c r="A76" s="71"/>
      <c r="B76" s="32"/>
      <c r="C76" s="32"/>
      <c r="D76" s="32"/>
      <c r="E76" s="32"/>
      <c r="F76" s="35" t="s">
        <v>5119</v>
      </c>
      <c r="G76" s="71">
        <v>49</v>
      </c>
      <c r="H76" s="40"/>
      <c r="I76" s="40" t="e">
        <f>VLOOKUP(Table3[[#This Row],[RARC Code]],'New Rarc Code'!A233:B1154,2,0)</f>
        <v>#N/A</v>
      </c>
      <c r="J76" s="40"/>
    </row>
    <row r="77" spans="1:10" x14ac:dyDescent="0.25">
      <c r="A77" s="71"/>
      <c r="B77" s="32"/>
      <c r="C77" s="32"/>
      <c r="D77" s="32"/>
      <c r="E77" s="32"/>
      <c r="F77" s="35" t="s">
        <v>5121</v>
      </c>
      <c r="G77" s="71">
        <v>50</v>
      </c>
      <c r="H77" s="40"/>
      <c r="I77" s="40" t="e">
        <f>VLOOKUP(Table3[[#This Row],[RARC Code]],'New Rarc Code'!A235:B1156,2,0)</f>
        <v>#N/A</v>
      </c>
      <c r="J77" s="40"/>
    </row>
    <row r="78" spans="1:10" x14ac:dyDescent="0.25">
      <c r="A78" s="71"/>
      <c r="B78" s="32"/>
      <c r="C78" s="32"/>
      <c r="D78" s="32"/>
      <c r="E78" s="32"/>
      <c r="F78" s="35" t="s">
        <v>5122</v>
      </c>
      <c r="G78" s="71">
        <v>51</v>
      </c>
      <c r="H78" s="40"/>
      <c r="I78" s="40" t="e">
        <f>VLOOKUP(Table3[[#This Row],[RARC Code]],'New Rarc Code'!A236:B1157,2,0)</f>
        <v>#N/A</v>
      </c>
      <c r="J78" s="40"/>
    </row>
    <row r="79" spans="1:10" x14ac:dyDescent="0.25">
      <c r="A79" s="71"/>
      <c r="B79" s="32"/>
      <c r="C79" s="32"/>
      <c r="D79" s="32"/>
      <c r="E79" s="32"/>
      <c r="F79" s="35" t="s">
        <v>5123</v>
      </c>
      <c r="G79" s="71">
        <v>53</v>
      </c>
      <c r="H79" s="40"/>
      <c r="I79" s="40" t="e">
        <f>VLOOKUP(Table3[[#This Row],[RARC Code]],'New Rarc Code'!A237:B1158,2,0)</f>
        <v>#N/A</v>
      </c>
      <c r="J79" s="40"/>
    </row>
    <row r="80" spans="1:10" x14ac:dyDescent="0.25">
      <c r="A80" s="71"/>
      <c r="B80" s="32"/>
      <c r="C80" s="32"/>
      <c r="D80" s="32"/>
      <c r="E80" s="32"/>
      <c r="F80" s="35" t="s">
        <v>5124</v>
      </c>
      <c r="G80" s="71">
        <v>54</v>
      </c>
      <c r="H80" s="40"/>
      <c r="I80" s="40" t="e">
        <f>VLOOKUP(Table3[[#This Row],[RARC Code]],'New Rarc Code'!A238:B1159,2,0)</f>
        <v>#N/A</v>
      </c>
      <c r="J80" s="40"/>
    </row>
    <row r="81" spans="1:10" x14ac:dyDescent="0.25">
      <c r="A81" s="71"/>
      <c r="B81" s="32"/>
      <c r="C81" s="32"/>
      <c r="D81" s="32"/>
      <c r="E81" s="32"/>
      <c r="F81" s="35" t="s">
        <v>5125</v>
      </c>
      <c r="G81" s="71">
        <v>55</v>
      </c>
      <c r="H81" s="40"/>
      <c r="I81" s="40" t="e">
        <f>VLOOKUP(Table3[[#This Row],[RARC Code]],'New Rarc Code'!A239:B1160,2,0)</f>
        <v>#N/A</v>
      </c>
      <c r="J81" s="40"/>
    </row>
    <row r="82" spans="1:10" x14ac:dyDescent="0.25">
      <c r="A82" s="71"/>
      <c r="B82" s="32"/>
      <c r="C82" s="32"/>
      <c r="D82" s="32"/>
      <c r="E82" s="32"/>
      <c r="F82" s="35" t="s">
        <v>5126</v>
      </c>
      <c r="G82" s="71">
        <v>56</v>
      </c>
      <c r="H82" s="40"/>
      <c r="I82" s="40" t="e">
        <f>VLOOKUP(Table3[[#This Row],[RARC Code]],'New Rarc Code'!A240:B1161,2,0)</f>
        <v>#N/A</v>
      </c>
      <c r="J82" s="40"/>
    </row>
    <row r="83" spans="1:10" x14ac:dyDescent="0.25">
      <c r="A83" s="71"/>
      <c r="B83" s="32"/>
      <c r="C83" s="32"/>
      <c r="D83" s="32"/>
      <c r="E83" s="32"/>
      <c r="F83" s="35" t="s">
        <v>5127</v>
      </c>
      <c r="G83" s="71">
        <v>58</v>
      </c>
      <c r="H83" s="40"/>
      <c r="I83" s="40" t="e">
        <f>VLOOKUP(Table3[[#This Row],[RARC Code]],'New Rarc Code'!A241:B1162,2,0)</f>
        <v>#N/A</v>
      </c>
      <c r="J83" s="40"/>
    </row>
    <row r="84" spans="1:10" x14ac:dyDescent="0.25">
      <c r="A84" s="71"/>
      <c r="B84" s="32"/>
      <c r="C84" s="32"/>
      <c r="D84" s="32"/>
      <c r="E84" s="32"/>
      <c r="F84" s="35" t="s">
        <v>5129</v>
      </c>
      <c r="G84" s="71">
        <v>60</v>
      </c>
      <c r="H84" s="40"/>
      <c r="I84" s="40" t="e">
        <f>VLOOKUP(Table3[[#This Row],[RARC Code]],'New Rarc Code'!A243:B1164,2,0)</f>
        <v>#N/A</v>
      </c>
      <c r="J84" s="40"/>
    </row>
    <row r="85" spans="1:10" x14ac:dyDescent="0.25">
      <c r="A85" s="71"/>
      <c r="B85" s="32"/>
      <c r="C85" s="32"/>
      <c r="D85" s="32"/>
      <c r="E85" s="32"/>
      <c r="F85" s="35" t="s">
        <v>5100</v>
      </c>
      <c r="G85" s="71">
        <v>61</v>
      </c>
      <c r="H85" s="40"/>
      <c r="I85" s="40" t="e">
        <f>VLOOKUP(Table3[[#This Row],[RARC Code]],'New Rarc Code'!A244:B1165,2,0)</f>
        <v>#N/A</v>
      </c>
      <c r="J85" s="40"/>
    </row>
    <row r="86" spans="1:10" x14ac:dyDescent="0.25">
      <c r="A86" s="71"/>
      <c r="B86" s="32"/>
      <c r="C86" s="32"/>
      <c r="D86" s="32"/>
      <c r="E86" s="32"/>
      <c r="F86" s="35" t="s">
        <v>5130</v>
      </c>
      <c r="G86" s="71">
        <v>62</v>
      </c>
      <c r="H86" s="40"/>
      <c r="I86" s="40" t="e">
        <f>VLOOKUP(Table3[[#This Row],[RARC Code]],'New Rarc Code'!A245:B1166,2,0)</f>
        <v>#N/A</v>
      </c>
      <c r="J86" s="40"/>
    </row>
    <row r="87" spans="1:10" x14ac:dyDescent="0.25">
      <c r="A87" s="71"/>
      <c r="B87" s="32"/>
      <c r="C87" s="32"/>
      <c r="D87" s="32"/>
      <c r="E87" s="32"/>
      <c r="F87" s="35" t="s">
        <v>5131</v>
      </c>
      <c r="G87" s="71">
        <v>66</v>
      </c>
      <c r="H87" s="40"/>
      <c r="I87" s="40" t="e">
        <f>VLOOKUP(Table3[[#This Row],[RARC Code]],'New Rarc Code'!A246:B1167,2,0)</f>
        <v>#N/A</v>
      </c>
      <c r="J87" s="40"/>
    </row>
    <row r="88" spans="1:10" x14ac:dyDescent="0.25">
      <c r="A88" s="71"/>
      <c r="B88" s="32"/>
      <c r="C88" s="32"/>
      <c r="D88" s="32"/>
      <c r="E88" s="32"/>
      <c r="F88" s="35" t="s">
        <v>5132</v>
      </c>
      <c r="G88" s="71">
        <v>69</v>
      </c>
      <c r="H88" s="40"/>
      <c r="I88" s="40" t="e">
        <f>VLOOKUP(Table3[[#This Row],[RARC Code]],'New Rarc Code'!A247:B1168,2,0)</f>
        <v>#N/A</v>
      </c>
      <c r="J88" s="40"/>
    </row>
    <row r="89" spans="1:10" x14ac:dyDescent="0.25">
      <c r="A89" s="71"/>
      <c r="B89" s="32"/>
      <c r="C89" s="32"/>
      <c r="D89" s="32"/>
      <c r="E89" s="32"/>
      <c r="F89" s="35" t="s">
        <v>5133</v>
      </c>
      <c r="G89" s="71">
        <v>70</v>
      </c>
      <c r="H89" s="40"/>
      <c r="I89" s="40" t="e">
        <f>VLOOKUP(Table3[[#This Row],[RARC Code]],'New Rarc Code'!A249:B1170,2,0)</f>
        <v>#N/A</v>
      </c>
      <c r="J89" s="40"/>
    </row>
    <row r="90" spans="1:10" x14ac:dyDescent="0.25">
      <c r="A90" s="71"/>
      <c r="B90" s="32"/>
      <c r="C90" s="32"/>
      <c r="D90" s="32"/>
      <c r="E90" s="32"/>
      <c r="F90" s="35" t="s">
        <v>5134</v>
      </c>
      <c r="G90" s="71">
        <v>74</v>
      </c>
      <c r="H90" s="40"/>
      <c r="I90" s="40" t="e">
        <f>VLOOKUP(Table3[[#This Row],[RARC Code]],'New Rarc Code'!A250:B1171,2,0)</f>
        <v>#N/A</v>
      </c>
      <c r="J90" s="40"/>
    </row>
    <row r="91" spans="1:10" x14ac:dyDescent="0.25">
      <c r="A91" s="71"/>
      <c r="B91" s="32"/>
      <c r="C91" s="32"/>
      <c r="D91" s="32"/>
      <c r="E91" s="32"/>
      <c r="F91" s="35" t="s">
        <v>5135</v>
      </c>
      <c r="G91" s="71">
        <v>75</v>
      </c>
      <c r="H91" s="40"/>
      <c r="I91" s="40" t="e">
        <f>VLOOKUP(Table3[[#This Row],[RARC Code]],'New Rarc Code'!A251:B1172,2,0)</f>
        <v>#N/A</v>
      </c>
      <c r="J91" s="40"/>
    </row>
    <row r="92" spans="1:10" x14ac:dyDescent="0.25">
      <c r="A92" s="71"/>
      <c r="B92" s="32"/>
      <c r="C92" s="32"/>
      <c r="D92" s="32"/>
      <c r="E92" s="32"/>
      <c r="F92" s="35" t="s">
        <v>5136</v>
      </c>
      <c r="G92" s="71">
        <v>76</v>
      </c>
      <c r="H92" s="40"/>
      <c r="I92" s="40" t="e">
        <f>VLOOKUP(Table3[[#This Row],[RARC Code]],'New Rarc Code'!A252:B1173,2,0)</f>
        <v>#N/A</v>
      </c>
      <c r="J92" s="40"/>
    </row>
    <row r="93" spans="1:10" x14ac:dyDescent="0.25">
      <c r="A93" s="71"/>
      <c r="B93" s="32"/>
      <c r="C93" s="32"/>
      <c r="D93" s="32"/>
      <c r="E93" s="32"/>
      <c r="F93" s="35" t="s">
        <v>5137</v>
      </c>
      <c r="G93" s="71">
        <v>78</v>
      </c>
      <c r="H93" s="40"/>
      <c r="I93" s="40" t="e">
        <f>VLOOKUP(Table3[[#This Row],[RARC Code]],'New Rarc Code'!A253:B1174,2,0)</f>
        <v>#N/A</v>
      </c>
      <c r="J93" s="40"/>
    </row>
    <row r="94" spans="1:10" x14ac:dyDescent="0.25">
      <c r="A94" s="71"/>
      <c r="B94" s="32"/>
      <c r="C94" s="32"/>
      <c r="D94" s="32"/>
      <c r="E94" s="32"/>
      <c r="F94" s="35" t="s">
        <v>5139</v>
      </c>
      <c r="G94" s="71">
        <v>85</v>
      </c>
      <c r="H94" s="40"/>
      <c r="I94" s="40" t="e">
        <f>VLOOKUP(Table3[[#This Row],[RARC Code]],'New Rarc Code'!A255:B1176,2,0)</f>
        <v>#N/A</v>
      </c>
      <c r="J94" s="40"/>
    </row>
    <row r="95" spans="1:10" x14ac:dyDescent="0.25">
      <c r="A95" s="71"/>
      <c r="B95" s="32"/>
      <c r="C95" s="32"/>
      <c r="D95" s="32"/>
      <c r="E95" s="32"/>
      <c r="F95" s="35" t="s">
        <v>5140</v>
      </c>
      <c r="G95" s="71">
        <v>89</v>
      </c>
      <c r="H95" s="40"/>
      <c r="I95" s="40" t="e">
        <f>VLOOKUP(Table3[[#This Row],[RARC Code]],'New Rarc Code'!A256:B1177,2,0)</f>
        <v>#N/A</v>
      </c>
      <c r="J95" s="40"/>
    </row>
    <row r="96" spans="1:10" x14ac:dyDescent="0.25">
      <c r="A96" s="71"/>
      <c r="B96" s="32"/>
      <c r="C96" s="32"/>
      <c r="D96" s="32"/>
      <c r="E96" s="32"/>
      <c r="F96" s="35" t="s">
        <v>5141</v>
      </c>
      <c r="G96" s="71">
        <v>90</v>
      </c>
      <c r="H96" s="40"/>
      <c r="I96" s="40" t="e">
        <f>VLOOKUP(Table3[[#This Row],[RARC Code]],'New Rarc Code'!A258:B1179,2,0)</f>
        <v>#N/A</v>
      </c>
      <c r="J96" s="40"/>
    </row>
    <row r="97" spans="1:10" x14ac:dyDescent="0.25">
      <c r="A97" s="71"/>
      <c r="B97" s="32"/>
      <c r="C97" s="32"/>
      <c r="D97" s="32"/>
      <c r="E97" s="32"/>
      <c r="F97" s="35" t="s">
        <v>5142</v>
      </c>
      <c r="G97" s="71">
        <v>91</v>
      </c>
      <c r="H97" s="40"/>
      <c r="I97" s="40" t="e">
        <f>VLOOKUP(Table3[[#This Row],[RARC Code]],'New Rarc Code'!A259:B1180,2,0)</f>
        <v>#N/A</v>
      </c>
      <c r="J97" s="40"/>
    </row>
    <row r="98" spans="1:10" x14ac:dyDescent="0.25">
      <c r="A98" s="71"/>
      <c r="B98" s="32"/>
      <c r="C98" s="32"/>
      <c r="D98" s="32"/>
      <c r="E98" s="32"/>
      <c r="F98" s="35" t="s">
        <v>5143</v>
      </c>
      <c r="G98" s="71">
        <v>94</v>
      </c>
      <c r="H98" s="40"/>
      <c r="I98" s="40" t="e">
        <f>VLOOKUP(Table3[[#This Row],[RARC Code]],'New Rarc Code'!A260:B1181,2,0)</f>
        <v>#N/A</v>
      </c>
      <c r="J98" s="40"/>
    </row>
    <row r="99" spans="1:10" x14ac:dyDescent="0.25">
      <c r="A99" s="71"/>
      <c r="B99" s="32"/>
      <c r="C99" s="32"/>
      <c r="D99" s="32"/>
      <c r="E99" s="32"/>
      <c r="F99" s="35" t="s">
        <v>5144</v>
      </c>
      <c r="G99" s="71">
        <v>95</v>
      </c>
      <c r="H99" s="77"/>
      <c r="I99" s="40" t="e">
        <f>VLOOKUP(Table3[[#This Row],[RARC Code]],'New Rarc Code'!A261:B1182,2,0)</f>
        <v>#N/A</v>
      </c>
      <c r="J99" s="40"/>
    </row>
    <row r="100" spans="1:10" x14ac:dyDescent="0.25">
      <c r="A100" s="71"/>
      <c r="B100" s="32"/>
      <c r="C100" s="32"/>
      <c r="D100" s="71"/>
      <c r="E100" s="71"/>
      <c r="F100" s="35" t="s">
        <v>4919</v>
      </c>
      <c r="G100" s="71">
        <v>100</v>
      </c>
      <c r="H100" s="40"/>
      <c r="I100" s="40" t="e">
        <f>VLOOKUP(Table3[[#This Row],[RARC Code]],'New Rarc Code'!A23:B944,2,0)</f>
        <v>#N/A</v>
      </c>
      <c r="J100" s="40"/>
    </row>
    <row r="101" spans="1:10" x14ac:dyDescent="0.25">
      <c r="A101" s="71"/>
      <c r="B101" s="32"/>
      <c r="C101" s="32"/>
      <c r="D101" s="71"/>
      <c r="E101" s="71"/>
      <c r="F101" s="35" t="s">
        <v>4920</v>
      </c>
      <c r="G101" s="71">
        <v>101</v>
      </c>
      <c r="H101" s="40"/>
      <c r="I101" s="40" t="e">
        <f>VLOOKUP(Table3[[#This Row],[RARC Code]],'New Rarc Code'!A24:B945,2,0)</f>
        <v>#N/A</v>
      </c>
      <c r="J101" s="40"/>
    </row>
    <row r="102" spans="1:10" x14ac:dyDescent="0.25">
      <c r="A102" s="71"/>
      <c r="B102" s="32"/>
      <c r="C102" s="32"/>
      <c r="D102" s="71"/>
      <c r="E102" s="71"/>
      <c r="F102" s="35" t="s">
        <v>4921</v>
      </c>
      <c r="G102" s="71">
        <v>102</v>
      </c>
      <c r="H102" s="40"/>
      <c r="I102" s="40" t="e">
        <f>VLOOKUP(Table3[[#This Row],[RARC Code]],'New Rarc Code'!A25:B946,2,0)</f>
        <v>#N/A</v>
      </c>
      <c r="J102" s="40"/>
    </row>
    <row r="103" spans="1:10" x14ac:dyDescent="0.25">
      <c r="A103" s="71"/>
      <c r="B103" s="32"/>
      <c r="C103" s="32"/>
      <c r="D103" s="71"/>
      <c r="E103" s="71"/>
      <c r="F103" s="35" t="s">
        <v>4922</v>
      </c>
      <c r="G103" s="71">
        <v>103</v>
      </c>
      <c r="H103" s="40"/>
      <c r="I103" s="40" t="e">
        <f>VLOOKUP(Table3[[#This Row],[RARC Code]],'New Rarc Code'!A26:B947,2,0)</f>
        <v>#N/A</v>
      </c>
      <c r="J103" s="40"/>
    </row>
    <row r="104" spans="1:10" x14ac:dyDescent="0.25">
      <c r="A104" s="71"/>
      <c r="B104" s="32"/>
      <c r="C104" s="32"/>
      <c r="D104" s="71"/>
      <c r="E104" s="71"/>
      <c r="F104" s="35" t="s">
        <v>4923</v>
      </c>
      <c r="G104" s="71">
        <v>104</v>
      </c>
      <c r="H104" s="40"/>
      <c r="I104" s="40" t="e">
        <f>VLOOKUP(Table3[[#This Row],[RARC Code]],'New Rarc Code'!A27:B948,2,0)</f>
        <v>#N/A</v>
      </c>
      <c r="J104" s="40"/>
    </row>
    <row r="105" spans="1:10" x14ac:dyDescent="0.25">
      <c r="A105" s="71"/>
      <c r="B105" s="32"/>
      <c r="C105" s="32"/>
      <c r="D105" s="71"/>
      <c r="E105" s="71"/>
      <c r="F105" s="35" t="s">
        <v>4924</v>
      </c>
      <c r="G105" s="71">
        <v>105</v>
      </c>
      <c r="H105" s="40"/>
      <c r="I105" s="40" t="e">
        <f>VLOOKUP(Table3[[#This Row],[RARC Code]],'New Rarc Code'!A28:B949,2,0)</f>
        <v>#N/A</v>
      </c>
      <c r="J105" s="40"/>
    </row>
    <row r="106" spans="1:10" x14ac:dyDescent="0.25">
      <c r="A106" s="71"/>
      <c r="B106" s="32"/>
      <c r="C106" s="32"/>
      <c r="D106" s="71"/>
      <c r="E106" s="71"/>
      <c r="F106" s="35" t="s">
        <v>4925</v>
      </c>
      <c r="G106" s="71">
        <v>106</v>
      </c>
      <c r="H106" s="40"/>
      <c r="I106" s="40" t="e">
        <f>VLOOKUP(Table3[[#This Row],[RARC Code]],'New Rarc Code'!A29:B950,2,0)</f>
        <v>#N/A</v>
      </c>
      <c r="J106" s="40"/>
    </row>
    <row r="107" spans="1:10" x14ac:dyDescent="0.25">
      <c r="A107" s="71"/>
      <c r="B107" s="32"/>
      <c r="C107" s="32"/>
      <c r="D107" s="71"/>
      <c r="E107" s="71"/>
      <c r="F107" s="35" t="s">
        <v>4926</v>
      </c>
      <c r="G107" s="71">
        <v>107</v>
      </c>
      <c r="H107" s="40"/>
      <c r="I107" s="40" t="e">
        <f>VLOOKUP(Table3[[#This Row],[RARC Code]],'New Rarc Code'!A30:B951,2,0)</f>
        <v>#N/A</v>
      </c>
      <c r="J107" s="40"/>
    </row>
    <row r="108" spans="1:10" x14ac:dyDescent="0.25">
      <c r="A108" s="71"/>
      <c r="B108" s="32"/>
      <c r="C108" s="32"/>
      <c r="D108" s="71"/>
      <c r="E108" s="71"/>
      <c r="F108" s="35" t="s">
        <v>4927</v>
      </c>
      <c r="G108" s="71">
        <v>108</v>
      </c>
      <c r="H108" s="40"/>
      <c r="I108" s="40" t="e">
        <f>VLOOKUP(Table3[[#This Row],[RARC Code]],'New Rarc Code'!A31:B952,2,0)</f>
        <v>#N/A</v>
      </c>
      <c r="J108" s="40"/>
    </row>
    <row r="109" spans="1:10" x14ac:dyDescent="0.25">
      <c r="A109" s="71"/>
      <c r="B109" s="32"/>
      <c r="C109" s="32"/>
      <c r="D109" s="71"/>
      <c r="E109" s="71"/>
      <c r="F109" s="35" t="s">
        <v>4929</v>
      </c>
      <c r="G109" s="71">
        <v>110</v>
      </c>
      <c r="H109" s="40"/>
      <c r="I109" s="40" t="e">
        <f>VLOOKUP(Table3[[#This Row],[RARC Code]],'New Rarc Code'!A33:B954,2,0)</f>
        <v>#N/A</v>
      </c>
      <c r="J109" s="40"/>
    </row>
    <row r="110" spans="1:10" x14ac:dyDescent="0.25">
      <c r="A110" s="71"/>
      <c r="B110" s="32"/>
      <c r="C110" s="32"/>
      <c r="D110" s="71"/>
      <c r="E110" s="71"/>
      <c r="F110" s="35" t="s">
        <v>4930</v>
      </c>
      <c r="G110" s="71">
        <v>111</v>
      </c>
      <c r="H110" s="40"/>
      <c r="I110" s="40" t="e">
        <f>VLOOKUP(Table3[[#This Row],[RARC Code]],'New Rarc Code'!A34:B955,2,0)</f>
        <v>#N/A</v>
      </c>
      <c r="J110" s="40"/>
    </row>
    <row r="111" spans="1:10" x14ac:dyDescent="0.25">
      <c r="A111" s="71"/>
      <c r="B111" s="32"/>
      <c r="C111" s="32"/>
      <c r="D111" s="71"/>
      <c r="E111" s="71"/>
      <c r="F111" s="35" t="s">
        <v>4931</v>
      </c>
      <c r="G111" s="71">
        <v>112</v>
      </c>
      <c r="H111" s="40"/>
      <c r="I111" s="40" t="e">
        <f>VLOOKUP(Table3[[#This Row],[RARC Code]],'New Rarc Code'!A35:B956,2,0)</f>
        <v>#N/A</v>
      </c>
      <c r="J111" s="40"/>
    </row>
    <row r="112" spans="1:10" x14ac:dyDescent="0.25">
      <c r="A112" s="77"/>
      <c r="B112" s="32"/>
      <c r="C112" s="32"/>
      <c r="D112" s="71"/>
      <c r="E112" s="71"/>
      <c r="F112" s="35" t="s">
        <v>4932</v>
      </c>
      <c r="G112" s="71">
        <v>114</v>
      </c>
      <c r="H112" s="32"/>
      <c r="I112" s="40" t="e">
        <f>VLOOKUP(Table3[[#This Row],[RARC Code]],'New Rarc Code'!A36:B957,2,0)</f>
        <v>#N/A</v>
      </c>
      <c r="J112" s="40"/>
    </row>
    <row r="113" spans="1:10" x14ac:dyDescent="0.25">
      <c r="A113" s="71"/>
      <c r="B113" s="32"/>
      <c r="C113" s="32"/>
      <c r="D113" s="71"/>
      <c r="E113" s="71"/>
      <c r="F113" s="35" t="s">
        <v>4933</v>
      </c>
      <c r="G113" s="71">
        <v>115</v>
      </c>
      <c r="H113" s="40"/>
      <c r="I113" s="40" t="e">
        <f>VLOOKUP(Table3[[#This Row],[RARC Code]],'New Rarc Code'!A37:B958,2,0)</f>
        <v>#N/A</v>
      </c>
      <c r="J113" s="40"/>
    </row>
    <row r="114" spans="1:10" x14ac:dyDescent="0.25">
      <c r="A114" s="71"/>
      <c r="B114" s="32"/>
      <c r="C114" s="32"/>
      <c r="D114" s="71"/>
      <c r="E114" s="71"/>
      <c r="F114" s="35" t="s">
        <v>4934</v>
      </c>
      <c r="G114" s="71">
        <v>116</v>
      </c>
      <c r="H114" s="40"/>
      <c r="I114" s="40" t="e">
        <f>VLOOKUP(Table3[[#This Row],[RARC Code]],'New Rarc Code'!A38:B959,2,0)</f>
        <v>#N/A</v>
      </c>
      <c r="J114" s="40"/>
    </row>
    <row r="115" spans="1:10" x14ac:dyDescent="0.25">
      <c r="A115" s="71"/>
      <c r="B115" s="32"/>
      <c r="C115" s="32"/>
      <c r="D115" s="71"/>
      <c r="E115" s="71"/>
      <c r="F115" s="35" t="s">
        <v>4935</v>
      </c>
      <c r="G115" s="71">
        <v>117</v>
      </c>
      <c r="H115" s="40"/>
      <c r="I115" s="40" t="e">
        <f>VLOOKUP(Table3[[#This Row],[RARC Code]],'New Rarc Code'!A39:B960,2,0)</f>
        <v>#N/A</v>
      </c>
      <c r="J115" s="40"/>
    </row>
    <row r="116" spans="1:10" x14ac:dyDescent="0.25">
      <c r="A116" s="71"/>
      <c r="B116" s="32"/>
      <c r="C116" s="32"/>
      <c r="D116" s="71"/>
      <c r="E116" s="71"/>
      <c r="F116" s="35" t="s">
        <v>4936</v>
      </c>
      <c r="G116" s="71">
        <v>118</v>
      </c>
      <c r="H116" s="40"/>
      <c r="I116" s="40" t="e">
        <f>VLOOKUP(Table3[[#This Row],[RARC Code]],'New Rarc Code'!A40:B961,2,0)</f>
        <v>#N/A</v>
      </c>
      <c r="J116" s="40"/>
    </row>
    <row r="117" spans="1:10" x14ac:dyDescent="0.25">
      <c r="A117" s="71"/>
      <c r="B117" s="32"/>
      <c r="C117" s="32"/>
      <c r="D117" s="71"/>
      <c r="E117" s="71"/>
      <c r="F117" s="35" t="s">
        <v>4937</v>
      </c>
      <c r="G117" s="71">
        <v>119</v>
      </c>
      <c r="H117" s="40"/>
      <c r="I117" s="40" t="e">
        <f>VLOOKUP(Table3[[#This Row],[RARC Code]],'New Rarc Code'!A41:B962,2,0)</f>
        <v>#N/A</v>
      </c>
      <c r="J117" s="40"/>
    </row>
    <row r="118" spans="1:10" x14ac:dyDescent="0.25">
      <c r="A118" s="71"/>
      <c r="B118" s="32"/>
      <c r="C118" s="32"/>
      <c r="D118" s="71"/>
      <c r="E118" s="71"/>
      <c r="F118" s="35" t="s">
        <v>4938</v>
      </c>
      <c r="G118" s="71">
        <v>120</v>
      </c>
      <c r="H118" s="40"/>
      <c r="I118" s="40" t="e">
        <f>VLOOKUP(Table3[[#This Row],[RARC Code]],'New Rarc Code'!A43:B964,2,0)</f>
        <v>#N/A</v>
      </c>
      <c r="J118" s="40"/>
    </row>
    <row r="119" spans="1:10" x14ac:dyDescent="0.25">
      <c r="A119" s="71"/>
      <c r="B119" s="32"/>
      <c r="C119" s="32"/>
      <c r="D119" s="71"/>
      <c r="E119" s="71"/>
      <c r="F119" s="35" t="s">
        <v>4939</v>
      </c>
      <c r="G119" s="71">
        <v>121</v>
      </c>
      <c r="H119" s="40"/>
      <c r="I119" s="40" t="e">
        <f>VLOOKUP(Table3[[#This Row],[RARC Code]],'New Rarc Code'!A44:B965,2,0)</f>
        <v>#N/A</v>
      </c>
      <c r="J119" s="40"/>
    </row>
    <row r="120" spans="1:10" x14ac:dyDescent="0.25">
      <c r="A120" s="71"/>
      <c r="B120" s="32"/>
      <c r="C120" s="32"/>
      <c r="D120" s="71"/>
      <c r="E120" s="71"/>
      <c r="F120" s="35" t="s">
        <v>4940</v>
      </c>
      <c r="G120" s="71">
        <v>122</v>
      </c>
      <c r="H120" s="40"/>
      <c r="I120" s="40" t="e">
        <f>VLOOKUP(Table3[[#This Row],[RARC Code]],'New Rarc Code'!A45:B966,2,0)</f>
        <v>#N/A</v>
      </c>
      <c r="J120" s="40"/>
    </row>
    <row r="121" spans="1:10" x14ac:dyDescent="0.25">
      <c r="A121" s="71"/>
      <c r="B121" s="32"/>
      <c r="C121" s="32"/>
      <c r="D121" s="71"/>
      <c r="E121" s="71"/>
      <c r="F121" s="35" t="s">
        <v>4941</v>
      </c>
      <c r="G121" s="71">
        <v>125</v>
      </c>
      <c r="H121" s="40"/>
      <c r="I121" s="40" t="e">
        <f>VLOOKUP(Table3[[#This Row],[RARC Code]],'New Rarc Code'!A46:B967,2,0)</f>
        <v>#N/A</v>
      </c>
      <c r="J121" s="40"/>
    </row>
    <row r="122" spans="1:10" x14ac:dyDescent="0.25">
      <c r="A122" s="71"/>
      <c r="B122" s="32"/>
      <c r="C122" s="32"/>
      <c r="D122" s="71"/>
      <c r="E122" s="71"/>
      <c r="F122" s="35" t="s">
        <v>4942</v>
      </c>
      <c r="G122" s="71">
        <v>127</v>
      </c>
      <c r="H122" s="40"/>
      <c r="I122" s="40" t="e">
        <f>VLOOKUP(Table3[[#This Row],[RARC Code]],'New Rarc Code'!A47:B968,2,0)</f>
        <v>#N/A</v>
      </c>
      <c r="J122" s="40"/>
    </row>
    <row r="123" spans="1:10" x14ac:dyDescent="0.25">
      <c r="A123" s="71"/>
      <c r="B123" s="32"/>
      <c r="C123" s="32"/>
      <c r="D123" s="71"/>
      <c r="E123" s="71"/>
      <c r="F123" s="35" t="s">
        <v>4943</v>
      </c>
      <c r="G123" s="71">
        <v>128</v>
      </c>
      <c r="H123" s="40"/>
      <c r="I123" s="40" t="e">
        <f>VLOOKUP(Table3[[#This Row],[RARC Code]],'New Rarc Code'!A48:B969,2,0)</f>
        <v>#N/A</v>
      </c>
      <c r="J123" s="40"/>
    </row>
    <row r="124" spans="1:10" x14ac:dyDescent="0.25">
      <c r="A124" s="71"/>
      <c r="B124" s="32"/>
      <c r="C124" s="32"/>
      <c r="D124" s="71"/>
      <c r="E124" s="71"/>
      <c r="F124" s="35" t="s">
        <v>4944</v>
      </c>
      <c r="G124" s="71">
        <v>129</v>
      </c>
      <c r="H124" s="40"/>
      <c r="I124" s="40" t="e">
        <f>VLOOKUP(Table3[[#This Row],[RARC Code]],'New Rarc Code'!A49:B970,2,0)</f>
        <v>#N/A</v>
      </c>
      <c r="J124" s="40"/>
    </row>
    <row r="125" spans="1:10" x14ac:dyDescent="0.25">
      <c r="A125" s="71"/>
      <c r="B125" s="32"/>
      <c r="C125" s="32"/>
      <c r="D125" s="71"/>
      <c r="E125" s="71"/>
      <c r="F125" s="35" t="s">
        <v>4945</v>
      </c>
      <c r="G125" s="71">
        <v>130</v>
      </c>
      <c r="H125" s="40"/>
      <c r="I125" s="40" t="e">
        <f>VLOOKUP(Table3[[#This Row],[RARC Code]],'New Rarc Code'!A51:B972,2,0)</f>
        <v>#N/A</v>
      </c>
      <c r="J125" s="40"/>
    </row>
    <row r="126" spans="1:10" x14ac:dyDescent="0.25">
      <c r="A126" s="71"/>
      <c r="B126" s="32"/>
      <c r="C126" s="32"/>
      <c r="D126" s="71"/>
      <c r="E126" s="71"/>
      <c r="F126" s="35" t="s">
        <v>4946</v>
      </c>
      <c r="G126" s="71">
        <v>131</v>
      </c>
      <c r="H126" s="40"/>
      <c r="I126" s="40" t="e">
        <f>VLOOKUP(Table3[[#This Row],[RARC Code]],'New Rarc Code'!A52:B973,2,0)</f>
        <v>#N/A</v>
      </c>
      <c r="J126" s="40"/>
    </row>
    <row r="127" spans="1:10" x14ac:dyDescent="0.25">
      <c r="A127" s="71"/>
      <c r="B127" s="32"/>
      <c r="C127" s="32"/>
      <c r="D127" s="71"/>
      <c r="E127" s="71"/>
      <c r="F127" s="35" t="s">
        <v>4947</v>
      </c>
      <c r="G127" s="71">
        <v>132</v>
      </c>
      <c r="H127" s="40"/>
      <c r="I127" s="40" t="e">
        <f>VLOOKUP(Table3[[#This Row],[RARC Code]],'New Rarc Code'!A53:B974,2,0)</f>
        <v>#N/A</v>
      </c>
      <c r="J127" s="40"/>
    </row>
    <row r="128" spans="1:10" x14ac:dyDescent="0.25">
      <c r="A128" s="71"/>
      <c r="B128" s="32"/>
      <c r="C128" s="32"/>
      <c r="D128" s="71"/>
      <c r="E128" s="71"/>
      <c r="F128" s="35" t="s">
        <v>4948</v>
      </c>
      <c r="G128" s="71">
        <v>133</v>
      </c>
      <c r="H128" s="40"/>
      <c r="I128" s="40" t="e">
        <f>VLOOKUP(Table3[[#This Row],[RARC Code]],'New Rarc Code'!A54:B975,2,0)</f>
        <v>#N/A</v>
      </c>
      <c r="J128" s="40"/>
    </row>
    <row r="129" spans="1:10" x14ac:dyDescent="0.25">
      <c r="A129" s="71"/>
      <c r="B129" s="32"/>
      <c r="C129" s="32"/>
      <c r="D129" s="71"/>
      <c r="E129" s="71"/>
      <c r="F129" s="35" t="s">
        <v>4949</v>
      </c>
      <c r="G129" s="71">
        <v>134</v>
      </c>
      <c r="H129" s="40"/>
      <c r="I129" s="40" t="e">
        <f>VLOOKUP(Table3[[#This Row],[RARC Code]],'New Rarc Code'!A55:B976,2,0)</f>
        <v>#N/A</v>
      </c>
      <c r="J129" s="40"/>
    </row>
    <row r="130" spans="1:10" x14ac:dyDescent="0.25">
      <c r="A130" s="71"/>
      <c r="B130" s="32"/>
      <c r="C130" s="32"/>
      <c r="D130" s="71"/>
      <c r="E130" s="71"/>
      <c r="F130" s="35" t="s">
        <v>4950</v>
      </c>
      <c r="G130" s="71">
        <v>135</v>
      </c>
      <c r="H130" s="40"/>
      <c r="I130" s="40" t="e">
        <f>VLOOKUP(Table3[[#This Row],[RARC Code]],'New Rarc Code'!A56:B977,2,0)</f>
        <v>#N/A</v>
      </c>
      <c r="J130" s="40"/>
    </row>
    <row r="131" spans="1:10" x14ac:dyDescent="0.25">
      <c r="A131" s="71"/>
      <c r="B131" s="32"/>
      <c r="C131" s="32"/>
      <c r="D131" s="71"/>
      <c r="E131" s="71"/>
      <c r="F131" s="35" t="s">
        <v>4951</v>
      </c>
      <c r="G131" s="71">
        <v>136</v>
      </c>
      <c r="H131" s="40"/>
      <c r="I131" s="40" t="e">
        <f>VLOOKUP(Table3[[#This Row],[RARC Code]],'New Rarc Code'!A57:B978,2,0)</f>
        <v>#N/A</v>
      </c>
      <c r="J131" s="40"/>
    </row>
    <row r="132" spans="1:10" x14ac:dyDescent="0.25">
      <c r="A132" s="71"/>
      <c r="B132" s="32"/>
      <c r="C132" s="32"/>
      <c r="D132" s="71"/>
      <c r="E132" s="71"/>
      <c r="F132" s="35" t="s">
        <v>4952</v>
      </c>
      <c r="G132" s="71">
        <v>137</v>
      </c>
      <c r="H132" s="40"/>
      <c r="I132" s="40" t="e">
        <f>VLOOKUP(Table3[[#This Row],[RARC Code]],'New Rarc Code'!A58:B979,2,0)</f>
        <v>#N/A</v>
      </c>
      <c r="J132" s="40"/>
    </row>
    <row r="133" spans="1:10" x14ac:dyDescent="0.25">
      <c r="A133" s="71"/>
      <c r="B133" s="32"/>
      <c r="C133" s="32"/>
      <c r="D133" s="71"/>
      <c r="E133" s="71"/>
      <c r="F133" s="35" t="s">
        <v>4953</v>
      </c>
      <c r="G133" s="71">
        <v>138</v>
      </c>
      <c r="H133" s="40"/>
      <c r="I133" s="40" t="e">
        <f>VLOOKUP(Table3[[#This Row],[RARC Code]],'New Rarc Code'!A59:B980,2,0)</f>
        <v>#N/A</v>
      </c>
      <c r="J133" s="40"/>
    </row>
    <row r="134" spans="1:10" x14ac:dyDescent="0.25">
      <c r="A134" s="71"/>
      <c r="B134" s="32"/>
      <c r="C134" s="32"/>
      <c r="D134" s="71"/>
      <c r="E134" s="71"/>
      <c r="F134" s="35" t="s">
        <v>4954</v>
      </c>
      <c r="G134" s="71">
        <v>139</v>
      </c>
      <c r="H134" s="40"/>
      <c r="I134" s="40" t="e">
        <f>VLOOKUP(Table3[[#This Row],[RARC Code]],'New Rarc Code'!A60:B981,2,0)</f>
        <v>#N/A</v>
      </c>
      <c r="J134" s="40"/>
    </row>
    <row r="135" spans="1:10" x14ac:dyDescent="0.25">
      <c r="A135" s="71"/>
      <c r="B135" s="32"/>
      <c r="C135" s="32"/>
      <c r="D135" s="71"/>
      <c r="E135" s="71"/>
      <c r="F135" s="35" t="s">
        <v>4955</v>
      </c>
      <c r="G135" s="71">
        <v>140</v>
      </c>
      <c r="H135" s="40"/>
      <c r="I135" s="40" t="e">
        <f>VLOOKUP(Table3[[#This Row],[RARC Code]],'New Rarc Code'!A62:B983,2,0)</f>
        <v>#N/A</v>
      </c>
      <c r="J135" s="40"/>
    </row>
    <row r="136" spans="1:10" x14ac:dyDescent="0.25">
      <c r="A136" s="71"/>
      <c r="B136" s="32"/>
      <c r="C136" s="32"/>
      <c r="D136" s="71"/>
      <c r="E136" s="71"/>
      <c r="F136" s="35" t="s">
        <v>4956</v>
      </c>
      <c r="G136" s="71">
        <v>141</v>
      </c>
      <c r="H136" s="40"/>
      <c r="I136" s="40" t="e">
        <f>VLOOKUP(Table3[[#This Row],[RARC Code]],'New Rarc Code'!A63:B984,2,0)</f>
        <v>#N/A</v>
      </c>
      <c r="J136" s="40"/>
    </row>
    <row r="137" spans="1:10" x14ac:dyDescent="0.25">
      <c r="A137" s="71"/>
      <c r="B137" s="32"/>
      <c r="C137" s="32"/>
      <c r="D137" s="71"/>
      <c r="E137" s="71"/>
      <c r="F137" s="35" t="s">
        <v>4957</v>
      </c>
      <c r="G137" s="71">
        <v>142</v>
      </c>
      <c r="H137" s="40"/>
      <c r="I137" s="40" t="e">
        <f>VLOOKUP(Table3[[#This Row],[RARC Code]],'New Rarc Code'!A64:B985,2,0)</f>
        <v>#N/A</v>
      </c>
      <c r="J137" s="40"/>
    </row>
    <row r="138" spans="1:10" x14ac:dyDescent="0.25">
      <c r="A138" s="71"/>
      <c r="B138" s="32"/>
      <c r="C138" s="32"/>
      <c r="D138" s="71"/>
      <c r="E138" s="71"/>
      <c r="F138" s="35" t="s">
        <v>4958</v>
      </c>
      <c r="G138" s="71">
        <v>143</v>
      </c>
      <c r="H138" s="40"/>
      <c r="I138" s="40" t="e">
        <f>VLOOKUP(Table3[[#This Row],[RARC Code]],'New Rarc Code'!A65:B986,2,0)</f>
        <v>#N/A</v>
      </c>
      <c r="J138" s="40"/>
    </row>
    <row r="139" spans="1:10" x14ac:dyDescent="0.25">
      <c r="A139" s="71"/>
      <c r="B139" s="32"/>
      <c r="C139" s="32"/>
      <c r="D139" s="71"/>
      <c r="E139" s="71"/>
      <c r="F139" s="35" t="s">
        <v>4959</v>
      </c>
      <c r="G139" s="71">
        <v>144</v>
      </c>
      <c r="H139" s="40"/>
      <c r="I139" s="40" t="e">
        <f>VLOOKUP(Table3[[#This Row],[RARC Code]],'New Rarc Code'!A66:B987,2,0)</f>
        <v>#N/A</v>
      </c>
      <c r="J139" s="40"/>
    </row>
    <row r="140" spans="1:10" x14ac:dyDescent="0.25">
      <c r="A140" s="71"/>
      <c r="B140" s="32"/>
      <c r="C140" s="32"/>
      <c r="D140" s="71"/>
      <c r="E140" s="71"/>
      <c r="F140" s="35" t="s">
        <v>4960</v>
      </c>
      <c r="G140" s="71">
        <v>146</v>
      </c>
      <c r="H140" s="40"/>
      <c r="I140" s="40" t="e">
        <f>VLOOKUP(Table3[[#This Row],[RARC Code]],'New Rarc Code'!A67:B988,2,0)</f>
        <v>#N/A</v>
      </c>
      <c r="J140" s="40"/>
    </row>
    <row r="141" spans="1:10" x14ac:dyDescent="0.25">
      <c r="A141" s="71"/>
      <c r="B141" s="32"/>
      <c r="C141" s="32"/>
      <c r="D141" s="71"/>
      <c r="E141" s="71"/>
      <c r="F141" s="35" t="s">
        <v>4961</v>
      </c>
      <c r="G141" s="71">
        <v>147</v>
      </c>
      <c r="H141" s="40"/>
      <c r="I141" s="40" t="e">
        <f>VLOOKUP(Table3[[#This Row],[RARC Code]],'New Rarc Code'!A68:B989,2,0)</f>
        <v>#N/A</v>
      </c>
      <c r="J141" s="40"/>
    </row>
    <row r="142" spans="1:10" x14ac:dyDescent="0.25">
      <c r="A142" s="71"/>
      <c r="B142" s="32"/>
      <c r="C142" s="32"/>
      <c r="D142" s="71"/>
      <c r="E142" s="71"/>
      <c r="F142" s="35" t="s">
        <v>4962</v>
      </c>
      <c r="G142" s="71">
        <v>148</v>
      </c>
      <c r="H142" s="40"/>
      <c r="I142" s="40" t="e">
        <f>VLOOKUP(Table3[[#This Row],[RARC Code]],'New Rarc Code'!A69:B990,2,0)</f>
        <v>#N/A</v>
      </c>
      <c r="J142" s="40"/>
    </row>
    <row r="143" spans="1:10" x14ac:dyDescent="0.25">
      <c r="A143" s="71"/>
      <c r="B143" s="32"/>
      <c r="C143" s="32"/>
      <c r="D143" s="71"/>
      <c r="E143" s="71"/>
      <c r="F143" s="35" t="s">
        <v>4963</v>
      </c>
      <c r="G143" s="71">
        <v>149</v>
      </c>
      <c r="H143" s="40"/>
      <c r="I143" s="40" t="e">
        <f>VLOOKUP(Table3[[#This Row],[RARC Code]],'New Rarc Code'!A70:B991,2,0)</f>
        <v>#N/A</v>
      </c>
      <c r="J143" s="40"/>
    </row>
    <row r="144" spans="1:10" x14ac:dyDescent="0.25">
      <c r="A144" s="71"/>
      <c r="B144" s="32"/>
      <c r="C144" s="32"/>
      <c r="D144" s="71"/>
      <c r="E144" s="71"/>
      <c r="F144" s="35" t="s">
        <v>4965</v>
      </c>
      <c r="G144" s="71">
        <v>150</v>
      </c>
      <c r="H144" s="40"/>
      <c r="I144" s="40" t="e">
        <f>VLOOKUP(Table3[[#This Row],[RARC Code]],'New Rarc Code'!A72:B993,2,0)</f>
        <v>#N/A</v>
      </c>
      <c r="J144" s="40"/>
    </row>
    <row r="145" spans="1:10" x14ac:dyDescent="0.25">
      <c r="A145" s="71"/>
      <c r="B145" s="32"/>
      <c r="C145" s="32"/>
      <c r="D145" s="71"/>
      <c r="E145" s="71"/>
      <c r="F145" s="35" t="s">
        <v>4966</v>
      </c>
      <c r="G145" s="71">
        <v>151</v>
      </c>
      <c r="H145" s="40"/>
      <c r="I145" s="40" t="e">
        <f>VLOOKUP(Table3[[#This Row],[RARC Code]],'New Rarc Code'!A73:B994,2,0)</f>
        <v>#N/A</v>
      </c>
      <c r="J145" s="40"/>
    </row>
    <row r="146" spans="1:10" x14ac:dyDescent="0.25">
      <c r="A146" s="71"/>
      <c r="B146" s="32"/>
      <c r="C146" s="32"/>
      <c r="D146" s="71"/>
      <c r="E146" s="71"/>
      <c r="F146" s="35" t="s">
        <v>4967</v>
      </c>
      <c r="G146" s="71">
        <v>152</v>
      </c>
      <c r="H146" s="40"/>
      <c r="I146" s="40" t="e">
        <f>VLOOKUP(Table3[[#This Row],[RARC Code]],'New Rarc Code'!A74:B995,2,0)</f>
        <v>#N/A</v>
      </c>
      <c r="J146" s="40"/>
    </row>
    <row r="147" spans="1:10" x14ac:dyDescent="0.25">
      <c r="A147" s="71"/>
      <c r="B147" s="32"/>
      <c r="C147" s="32"/>
      <c r="D147" s="71"/>
      <c r="E147" s="71"/>
      <c r="F147" s="35" t="s">
        <v>4968</v>
      </c>
      <c r="G147" s="71">
        <v>153</v>
      </c>
      <c r="H147" s="40"/>
      <c r="I147" s="40" t="e">
        <f>VLOOKUP(Table3[[#This Row],[RARC Code]],'New Rarc Code'!A75:B996,2,0)</f>
        <v>#N/A</v>
      </c>
      <c r="J147" s="40"/>
    </row>
    <row r="148" spans="1:10" x14ac:dyDescent="0.25">
      <c r="A148" s="71"/>
      <c r="B148" s="32"/>
      <c r="C148" s="32"/>
      <c r="D148" s="71"/>
      <c r="E148" s="71"/>
      <c r="F148" s="35" t="s">
        <v>4969</v>
      </c>
      <c r="G148" s="71">
        <v>154</v>
      </c>
      <c r="H148" s="40"/>
      <c r="I148" s="40" t="e">
        <f>VLOOKUP(Table3[[#This Row],[RARC Code]],'New Rarc Code'!A76:B997,2,0)</f>
        <v>#N/A</v>
      </c>
      <c r="J148" s="40"/>
    </row>
    <row r="149" spans="1:10" x14ac:dyDescent="0.25">
      <c r="A149" s="71"/>
      <c r="B149" s="32"/>
      <c r="C149" s="32"/>
      <c r="D149" s="71"/>
      <c r="E149" s="71"/>
      <c r="F149" s="35" t="s">
        <v>4970</v>
      </c>
      <c r="G149" s="71">
        <v>155</v>
      </c>
      <c r="H149" s="40"/>
      <c r="I149" s="40" t="e">
        <f>VLOOKUP(Table3[[#This Row],[RARC Code]],'New Rarc Code'!A77:B998,2,0)</f>
        <v>#N/A</v>
      </c>
      <c r="J149" s="40"/>
    </row>
    <row r="150" spans="1:10" x14ac:dyDescent="0.25">
      <c r="A150" s="71"/>
      <c r="B150" s="32"/>
      <c r="C150" s="32"/>
      <c r="D150" s="71"/>
      <c r="E150" s="71"/>
      <c r="F150" s="35" t="s">
        <v>4971</v>
      </c>
      <c r="G150" s="71">
        <v>157</v>
      </c>
      <c r="H150" s="40"/>
      <c r="I150" s="40" t="e">
        <f>VLOOKUP(Table3[[#This Row],[RARC Code]],'New Rarc Code'!A78:B999,2,0)</f>
        <v>#N/A</v>
      </c>
      <c r="J150" s="40"/>
    </row>
    <row r="151" spans="1:10" x14ac:dyDescent="0.25">
      <c r="A151" s="71"/>
      <c r="B151" s="32"/>
      <c r="C151" s="32"/>
      <c r="D151" s="71"/>
      <c r="E151" s="71"/>
      <c r="F151" s="35" t="s">
        <v>4972</v>
      </c>
      <c r="G151" s="71">
        <v>158</v>
      </c>
      <c r="H151" s="40"/>
      <c r="I151" s="40" t="e">
        <f>VLOOKUP(Table3[[#This Row],[RARC Code]],'New Rarc Code'!A79:B1000,2,0)</f>
        <v>#N/A</v>
      </c>
      <c r="J151" s="40"/>
    </row>
    <row r="152" spans="1:10" x14ac:dyDescent="0.25">
      <c r="A152" s="71"/>
      <c r="B152" s="32"/>
      <c r="C152" s="32"/>
      <c r="D152" s="71"/>
      <c r="E152" s="71"/>
      <c r="F152" s="35" t="s">
        <v>4973</v>
      </c>
      <c r="G152" s="71">
        <v>159</v>
      </c>
      <c r="H152" s="40"/>
      <c r="I152" s="40" t="e">
        <f>VLOOKUP(Table3[[#This Row],[RARC Code]],'New Rarc Code'!A80:B1001,2,0)</f>
        <v>#N/A</v>
      </c>
      <c r="J152" s="40"/>
    </row>
    <row r="153" spans="1:10" x14ac:dyDescent="0.25">
      <c r="A153" s="71"/>
      <c r="B153" s="32"/>
      <c r="C153" s="32"/>
      <c r="D153" s="71"/>
      <c r="E153" s="71"/>
      <c r="F153" s="35" t="s">
        <v>4975</v>
      </c>
      <c r="G153" s="71">
        <v>160</v>
      </c>
      <c r="H153" s="40"/>
      <c r="I153" s="40" t="e">
        <f>VLOOKUP(Table3[[#This Row],[RARC Code]],'New Rarc Code'!A81:B1002,2,0)</f>
        <v>#N/A</v>
      </c>
      <c r="J153" s="40"/>
    </row>
    <row r="154" spans="1:10" x14ac:dyDescent="0.25">
      <c r="A154" s="71"/>
      <c r="B154" s="32"/>
      <c r="C154" s="32"/>
      <c r="D154" s="71"/>
      <c r="E154" s="71"/>
      <c r="F154" s="35" t="s">
        <v>152</v>
      </c>
      <c r="G154" s="71">
        <v>161</v>
      </c>
      <c r="H154" s="40"/>
      <c r="I154" s="40" t="e">
        <f>VLOOKUP(Table3[[#This Row],[RARC Code]],'New Rarc Code'!A82:B1003,2,0)</f>
        <v>#N/A</v>
      </c>
      <c r="J154" s="40"/>
    </row>
    <row r="155" spans="1:10" x14ac:dyDescent="0.25">
      <c r="A155" s="71"/>
      <c r="B155" s="32"/>
      <c r="C155" s="32"/>
      <c r="D155" s="71"/>
      <c r="E155" s="71"/>
      <c r="F155" s="35" t="s">
        <v>4976</v>
      </c>
      <c r="G155" s="71">
        <v>162</v>
      </c>
      <c r="H155" s="40"/>
      <c r="I155" s="40" t="e">
        <f>VLOOKUP(Table3[[#This Row],[RARC Code]],'New Rarc Code'!A83:B1004,2,0)</f>
        <v>#N/A</v>
      </c>
      <c r="J155" s="40"/>
    </row>
    <row r="156" spans="1:10" x14ac:dyDescent="0.25">
      <c r="A156" s="71"/>
      <c r="B156" s="32"/>
      <c r="C156" s="32"/>
      <c r="D156" s="71"/>
      <c r="E156" s="71"/>
      <c r="F156" s="35" t="s">
        <v>4977</v>
      </c>
      <c r="G156" s="71">
        <v>163</v>
      </c>
      <c r="H156" s="40"/>
      <c r="I156" s="40" t="e">
        <f>VLOOKUP(Table3[[#This Row],[RARC Code]],'New Rarc Code'!A84:B1005,2,0)</f>
        <v>#N/A</v>
      </c>
      <c r="J156" s="40"/>
    </row>
    <row r="157" spans="1:10" x14ac:dyDescent="0.25">
      <c r="A157" s="71"/>
      <c r="B157" s="32"/>
      <c r="C157" s="32"/>
      <c r="D157" s="71"/>
      <c r="E157" s="71"/>
      <c r="F157" s="35" t="s">
        <v>4978</v>
      </c>
      <c r="G157" s="71">
        <v>164</v>
      </c>
      <c r="H157" s="40"/>
      <c r="I157" s="40" t="e">
        <f>VLOOKUP(Table3[[#This Row],[RARC Code]],'New Rarc Code'!A85:B1006,2,0)</f>
        <v>#N/A</v>
      </c>
      <c r="J157" s="40"/>
    </row>
    <row r="158" spans="1:10" x14ac:dyDescent="0.25">
      <c r="A158" s="71"/>
      <c r="B158" s="32"/>
      <c r="C158" s="32"/>
      <c r="D158" s="71"/>
      <c r="E158" s="71"/>
      <c r="F158" s="35" t="s">
        <v>4979</v>
      </c>
      <c r="G158" s="71">
        <v>165</v>
      </c>
      <c r="H158" s="40"/>
      <c r="I158" s="40" t="e">
        <f>VLOOKUP(Table3[[#This Row],[RARC Code]],'New Rarc Code'!A86:B1007,2,0)</f>
        <v>#N/A</v>
      </c>
      <c r="J158" s="40"/>
    </row>
    <row r="159" spans="1:10" x14ac:dyDescent="0.25">
      <c r="A159" s="71"/>
      <c r="B159" s="32"/>
      <c r="C159" s="32"/>
      <c r="D159" s="71"/>
      <c r="E159" s="71"/>
      <c r="F159" s="35" t="s">
        <v>4980</v>
      </c>
      <c r="G159" s="71">
        <v>166</v>
      </c>
      <c r="H159" s="40"/>
      <c r="I159" s="40" t="e">
        <f>VLOOKUP(Table3[[#This Row],[RARC Code]],'New Rarc Code'!A87:B1008,2,0)</f>
        <v>#N/A</v>
      </c>
      <c r="J159" s="40"/>
    </row>
    <row r="160" spans="1:10" x14ac:dyDescent="0.25">
      <c r="A160" s="71"/>
      <c r="B160" s="32"/>
      <c r="C160" s="32"/>
      <c r="D160" s="71"/>
      <c r="E160" s="71"/>
      <c r="F160" s="35" t="s">
        <v>4981</v>
      </c>
      <c r="G160" s="71">
        <v>167</v>
      </c>
      <c r="H160" s="40"/>
      <c r="I160" s="40" t="e">
        <f>VLOOKUP(Table3[[#This Row],[RARC Code]],'New Rarc Code'!A88:B1009,2,0)</f>
        <v>#N/A</v>
      </c>
      <c r="J160" s="40"/>
    </row>
    <row r="161" spans="1:10" x14ac:dyDescent="0.25">
      <c r="A161" s="71"/>
      <c r="B161" s="32"/>
      <c r="C161" s="32"/>
      <c r="D161" s="71"/>
      <c r="E161" s="71"/>
      <c r="F161" s="35" t="s">
        <v>4982</v>
      </c>
      <c r="G161" s="71">
        <v>169</v>
      </c>
      <c r="H161" s="40"/>
      <c r="I161" s="40" t="e">
        <f>VLOOKUP(Table3[[#This Row],[RARC Code]],'New Rarc Code'!A89:B1010,2,0)</f>
        <v>#N/A</v>
      </c>
      <c r="J161" s="40"/>
    </row>
    <row r="162" spans="1:10" x14ac:dyDescent="0.25">
      <c r="A162" s="71"/>
      <c r="B162" s="32"/>
      <c r="C162" s="32"/>
      <c r="D162" s="71"/>
      <c r="E162" s="71"/>
      <c r="F162" s="35" t="s">
        <v>4984</v>
      </c>
      <c r="G162" s="71">
        <v>170</v>
      </c>
      <c r="H162" s="40"/>
      <c r="I162" s="40" t="e">
        <f>VLOOKUP(Table3[[#This Row],[RARC Code]],'New Rarc Code'!A91:B1012,2,0)</f>
        <v>#N/A</v>
      </c>
      <c r="J162" s="40"/>
    </row>
    <row r="163" spans="1:10" x14ac:dyDescent="0.25">
      <c r="A163" s="71"/>
      <c r="B163" s="32"/>
      <c r="C163" s="32"/>
      <c r="D163" s="71"/>
      <c r="E163" s="71"/>
      <c r="F163" s="35" t="s">
        <v>4985</v>
      </c>
      <c r="G163" s="71">
        <v>171</v>
      </c>
      <c r="H163" s="40"/>
      <c r="I163" s="40" t="e">
        <f>VLOOKUP(Table3[[#This Row],[RARC Code]],'New Rarc Code'!A92:B1013,2,0)</f>
        <v>#N/A</v>
      </c>
      <c r="J163" s="40"/>
    </row>
    <row r="164" spans="1:10" x14ac:dyDescent="0.25">
      <c r="A164" s="71"/>
      <c r="B164" s="32"/>
      <c r="C164" s="32"/>
      <c r="D164" s="71"/>
      <c r="E164" s="71"/>
      <c r="F164" s="35" t="s">
        <v>4986</v>
      </c>
      <c r="G164" s="71">
        <v>172</v>
      </c>
      <c r="H164" s="40"/>
      <c r="I164" s="40" t="e">
        <f>VLOOKUP(Table3[[#This Row],[RARC Code]],'New Rarc Code'!A93:B1014,2,0)</f>
        <v>#N/A</v>
      </c>
      <c r="J164" s="40"/>
    </row>
    <row r="165" spans="1:10" x14ac:dyDescent="0.25">
      <c r="A165" s="71"/>
      <c r="B165" s="32"/>
      <c r="C165" s="32"/>
      <c r="D165" s="71"/>
      <c r="E165" s="71"/>
      <c r="F165" s="35" t="s">
        <v>4987</v>
      </c>
      <c r="G165" s="71">
        <v>173</v>
      </c>
      <c r="H165" s="40"/>
      <c r="I165" s="40" t="e">
        <f>VLOOKUP(Table3[[#This Row],[RARC Code]],'New Rarc Code'!A94:B1015,2,0)</f>
        <v>#N/A</v>
      </c>
      <c r="J165" s="40"/>
    </row>
    <row r="166" spans="1:10" x14ac:dyDescent="0.25">
      <c r="A166" s="71"/>
      <c r="B166" s="32"/>
      <c r="C166" s="32"/>
      <c r="D166" s="71"/>
      <c r="E166" s="71"/>
      <c r="F166" s="35" t="s">
        <v>4988</v>
      </c>
      <c r="G166" s="71">
        <v>174</v>
      </c>
      <c r="H166" s="40"/>
      <c r="I166" s="40" t="e">
        <f>VLOOKUP(Table3[[#This Row],[RARC Code]],'New Rarc Code'!A95:B1016,2,0)</f>
        <v>#N/A</v>
      </c>
      <c r="J166" s="40"/>
    </row>
    <row r="167" spans="1:10" x14ac:dyDescent="0.25">
      <c r="A167" s="71"/>
      <c r="B167" s="32"/>
      <c r="C167" s="32"/>
      <c r="D167" s="71"/>
      <c r="E167" s="71"/>
      <c r="F167" s="35" t="s">
        <v>4989</v>
      </c>
      <c r="G167" s="71">
        <v>175</v>
      </c>
      <c r="H167" s="40"/>
      <c r="I167" s="40" t="e">
        <f>VLOOKUP(Table3[[#This Row],[RARC Code]],'New Rarc Code'!A96:B1017,2,0)</f>
        <v>#N/A</v>
      </c>
      <c r="J167" s="40"/>
    </row>
    <row r="168" spans="1:10" x14ac:dyDescent="0.25">
      <c r="A168" s="71"/>
      <c r="B168" s="32"/>
      <c r="C168" s="32"/>
      <c r="D168" s="71"/>
      <c r="E168" s="71"/>
      <c r="F168" s="35" t="s">
        <v>4990</v>
      </c>
      <c r="G168" s="71">
        <v>176</v>
      </c>
      <c r="H168" s="40"/>
      <c r="I168" s="40" t="e">
        <f>VLOOKUP(Table3[[#This Row],[RARC Code]],'New Rarc Code'!A97:B1018,2,0)</f>
        <v>#N/A</v>
      </c>
      <c r="J168" s="40"/>
    </row>
    <row r="169" spans="1:10" x14ac:dyDescent="0.25">
      <c r="A169" s="71"/>
      <c r="B169" s="32"/>
      <c r="C169" s="32"/>
      <c r="D169" s="71"/>
      <c r="E169" s="71"/>
      <c r="F169" s="35" t="s">
        <v>4991</v>
      </c>
      <c r="G169" s="71">
        <v>177</v>
      </c>
      <c r="H169" s="40"/>
      <c r="I169" s="40" t="e">
        <f>VLOOKUP(Table3[[#This Row],[RARC Code]],'New Rarc Code'!A98:B1019,2,0)</f>
        <v>#N/A</v>
      </c>
      <c r="J169" s="40"/>
    </row>
    <row r="170" spans="1:10" x14ac:dyDescent="0.25">
      <c r="A170" s="71"/>
      <c r="B170" s="32"/>
      <c r="C170" s="32"/>
      <c r="D170" s="71"/>
      <c r="E170" s="71"/>
      <c r="F170" s="35" t="s">
        <v>4992</v>
      </c>
      <c r="G170" s="71">
        <v>178</v>
      </c>
      <c r="H170" s="40"/>
      <c r="I170" s="40" t="e">
        <f>VLOOKUP(Table3[[#This Row],[RARC Code]],'New Rarc Code'!A99:B1020,2,0)</f>
        <v>#N/A</v>
      </c>
      <c r="J170" s="40"/>
    </row>
    <row r="171" spans="1:10" x14ac:dyDescent="0.25">
      <c r="A171" s="71"/>
      <c r="B171" s="32"/>
      <c r="C171" s="32"/>
      <c r="D171" s="71"/>
      <c r="E171" s="71"/>
      <c r="F171" s="35" t="s">
        <v>4993</v>
      </c>
      <c r="G171" s="71">
        <v>179</v>
      </c>
      <c r="H171" s="40"/>
      <c r="I171" s="40" t="e">
        <f>VLOOKUP(Table3[[#This Row],[RARC Code]],'New Rarc Code'!A100:B1021,2,0)</f>
        <v>#N/A</v>
      </c>
      <c r="J171" s="40"/>
    </row>
    <row r="172" spans="1:10" x14ac:dyDescent="0.25">
      <c r="A172" s="71"/>
      <c r="B172" s="32"/>
      <c r="C172" s="32"/>
      <c r="D172" s="71"/>
      <c r="E172" s="71"/>
      <c r="F172" s="35" t="s">
        <v>4995</v>
      </c>
      <c r="G172" s="71">
        <v>180</v>
      </c>
      <c r="H172" s="40"/>
      <c r="I172" s="40" t="e">
        <f>VLOOKUP(Table3[[#This Row],[RARC Code]],'New Rarc Code'!A102:B1023,2,0)</f>
        <v>#N/A</v>
      </c>
      <c r="J172" s="40"/>
    </row>
    <row r="173" spans="1:10" x14ac:dyDescent="0.25">
      <c r="A173" s="71"/>
      <c r="B173" s="32"/>
      <c r="C173" s="32"/>
      <c r="D173" s="71"/>
      <c r="E173" s="71"/>
      <c r="F173" s="35" t="s">
        <v>4996</v>
      </c>
      <c r="G173" s="71">
        <v>181</v>
      </c>
      <c r="H173" s="40"/>
      <c r="I173" s="40" t="e">
        <f>VLOOKUP(Table3[[#This Row],[RARC Code]],'New Rarc Code'!A103:B1024,2,0)</f>
        <v>#N/A</v>
      </c>
      <c r="J173" s="40"/>
    </row>
    <row r="174" spans="1:10" x14ac:dyDescent="0.25">
      <c r="A174" s="71"/>
      <c r="B174" s="32"/>
      <c r="C174" s="32"/>
      <c r="D174" s="71"/>
      <c r="E174" s="71"/>
      <c r="F174" s="35" t="s">
        <v>4997</v>
      </c>
      <c r="G174" s="71">
        <v>182</v>
      </c>
      <c r="H174" s="40"/>
      <c r="I174" s="40" t="e">
        <f>VLOOKUP(Table3[[#This Row],[RARC Code]],'New Rarc Code'!A104:B1025,2,0)</f>
        <v>#N/A</v>
      </c>
      <c r="J174" s="40"/>
    </row>
    <row r="175" spans="1:10" x14ac:dyDescent="0.25">
      <c r="A175" s="71"/>
      <c r="B175" s="32"/>
      <c r="C175" s="32"/>
      <c r="D175" s="71"/>
      <c r="E175" s="71"/>
      <c r="F175" s="35" t="s">
        <v>4998</v>
      </c>
      <c r="G175" s="71">
        <v>183</v>
      </c>
      <c r="H175" s="40"/>
      <c r="I175" s="40" t="e">
        <f>VLOOKUP(Table3[[#This Row],[RARC Code]],'New Rarc Code'!A105:B1026,2,0)</f>
        <v>#N/A</v>
      </c>
      <c r="J175" s="40"/>
    </row>
    <row r="176" spans="1:10" x14ac:dyDescent="0.25">
      <c r="A176" s="71"/>
      <c r="B176" s="32"/>
      <c r="C176" s="32"/>
      <c r="D176" s="71"/>
      <c r="E176" s="71"/>
      <c r="F176" s="35" t="s">
        <v>4999</v>
      </c>
      <c r="G176" s="71">
        <v>184</v>
      </c>
      <c r="H176" s="40"/>
      <c r="I176" s="40" t="e">
        <f>VLOOKUP(Table3[[#This Row],[RARC Code]],'New Rarc Code'!A106:B1027,2,0)</f>
        <v>#N/A</v>
      </c>
      <c r="J176" s="40"/>
    </row>
    <row r="177" spans="1:10" x14ac:dyDescent="0.25">
      <c r="A177" s="71"/>
      <c r="B177" s="32"/>
      <c r="C177" s="32"/>
      <c r="D177" s="71"/>
      <c r="E177" s="71"/>
      <c r="F177" s="35" t="s">
        <v>5000</v>
      </c>
      <c r="G177" s="71">
        <v>185</v>
      </c>
      <c r="H177" s="40"/>
      <c r="I177" s="40" t="e">
        <f>VLOOKUP(Table3[[#This Row],[RARC Code]],'New Rarc Code'!A107:B1028,2,0)</f>
        <v>#N/A</v>
      </c>
      <c r="J177" s="40"/>
    </row>
    <row r="178" spans="1:10" x14ac:dyDescent="0.25">
      <c r="A178" s="71"/>
      <c r="B178" s="32"/>
      <c r="C178" s="32"/>
      <c r="D178" s="71"/>
      <c r="E178" s="71"/>
      <c r="F178" s="35" t="s">
        <v>5001</v>
      </c>
      <c r="G178" s="71">
        <v>186</v>
      </c>
      <c r="H178" s="40"/>
      <c r="I178" s="40" t="e">
        <f>VLOOKUP(Table3[[#This Row],[RARC Code]],'New Rarc Code'!A108:B1029,2,0)</f>
        <v>#N/A</v>
      </c>
      <c r="J178" s="40"/>
    </row>
    <row r="179" spans="1:10" x14ac:dyDescent="0.25">
      <c r="A179" s="71"/>
      <c r="B179" s="32"/>
      <c r="C179" s="32"/>
      <c r="D179" s="71"/>
      <c r="E179" s="71"/>
      <c r="F179" s="35" t="s">
        <v>153</v>
      </c>
      <c r="G179" s="71">
        <v>187</v>
      </c>
      <c r="H179" s="40"/>
      <c r="I179" s="40" t="e">
        <f>VLOOKUP(Table3[[#This Row],[RARC Code]],'New Rarc Code'!A109:B1030,2,0)</f>
        <v>#N/A</v>
      </c>
      <c r="J179" s="40"/>
    </row>
    <row r="180" spans="1:10" x14ac:dyDescent="0.25">
      <c r="A180" s="71"/>
      <c r="B180" s="32"/>
      <c r="C180" s="32"/>
      <c r="D180" s="71"/>
      <c r="E180" s="71"/>
      <c r="F180" s="35" t="s">
        <v>5002</v>
      </c>
      <c r="G180" s="71">
        <v>188</v>
      </c>
      <c r="H180" s="40"/>
      <c r="I180" s="40" t="e">
        <f>VLOOKUP(Table3[[#This Row],[RARC Code]],'New Rarc Code'!A110:B1031,2,0)</f>
        <v>#N/A</v>
      </c>
      <c r="J180" s="40"/>
    </row>
    <row r="181" spans="1:10" x14ac:dyDescent="0.25">
      <c r="A181" s="71"/>
      <c r="B181" s="32"/>
      <c r="C181" s="32"/>
      <c r="D181" s="71"/>
      <c r="E181" s="71"/>
      <c r="F181" s="35" t="s">
        <v>5003</v>
      </c>
      <c r="G181" s="71">
        <v>189</v>
      </c>
      <c r="H181" s="40"/>
      <c r="I181" s="40" t="e">
        <f>VLOOKUP(Table3[[#This Row],[RARC Code]],'New Rarc Code'!A111:B1032,2,0)</f>
        <v>#N/A</v>
      </c>
      <c r="J181" s="40"/>
    </row>
    <row r="182" spans="1:10" x14ac:dyDescent="0.25">
      <c r="A182" s="71"/>
      <c r="B182" s="32"/>
      <c r="C182" s="32"/>
      <c r="D182" s="71"/>
      <c r="E182" s="71"/>
      <c r="F182" s="35" t="s">
        <v>5005</v>
      </c>
      <c r="G182" s="71">
        <v>190</v>
      </c>
      <c r="H182" s="40"/>
      <c r="I182" s="40" t="e">
        <f>VLOOKUP(Table3[[#This Row],[RARC Code]],'New Rarc Code'!A112:B1033,2,0)</f>
        <v>#N/A</v>
      </c>
      <c r="J182" s="40"/>
    </row>
    <row r="183" spans="1:10" x14ac:dyDescent="0.25">
      <c r="A183" s="71"/>
      <c r="B183" s="32"/>
      <c r="C183" s="32"/>
      <c r="D183" s="71"/>
      <c r="E183" s="71"/>
      <c r="F183" s="35" t="s">
        <v>5006</v>
      </c>
      <c r="G183" s="71">
        <v>191</v>
      </c>
      <c r="H183" s="40"/>
      <c r="I183" s="40" t="e">
        <f>VLOOKUP(Table3[[#This Row],[RARC Code]],'New Rarc Code'!A113:B1034,2,0)</f>
        <v>#N/A</v>
      </c>
      <c r="J183" s="40"/>
    </row>
    <row r="184" spans="1:10" x14ac:dyDescent="0.25">
      <c r="A184" s="71"/>
      <c r="B184" s="32"/>
      <c r="C184" s="32"/>
      <c r="D184" s="71"/>
      <c r="E184" s="71"/>
      <c r="F184" s="35" t="s">
        <v>5007</v>
      </c>
      <c r="G184" s="71">
        <v>192</v>
      </c>
      <c r="H184" s="40"/>
      <c r="I184" s="40" t="e">
        <f>VLOOKUP(Table3[[#This Row],[RARC Code]],'New Rarc Code'!A114:B1035,2,0)</f>
        <v>#N/A</v>
      </c>
      <c r="J184" s="40"/>
    </row>
    <row r="185" spans="1:10" x14ac:dyDescent="0.25">
      <c r="A185" s="71"/>
      <c r="B185" s="32"/>
      <c r="C185" s="32"/>
      <c r="D185" s="71"/>
      <c r="E185" s="71"/>
      <c r="F185" s="35" t="s">
        <v>5008</v>
      </c>
      <c r="G185" s="71">
        <v>193</v>
      </c>
      <c r="H185" s="40"/>
      <c r="I185" s="40" t="e">
        <f>VLOOKUP(Table3[[#This Row],[RARC Code]],'New Rarc Code'!A115:B1036,2,0)</f>
        <v>#N/A</v>
      </c>
      <c r="J185" s="40"/>
    </row>
    <row r="186" spans="1:10" x14ac:dyDescent="0.25">
      <c r="A186" s="71"/>
      <c r="B186" s="32"/>
      <c r="C186" s="32"/>
      <c r="D186" s="71"/>
      <c r="E186" s="71"/>
      <c r="F186" s="35" t="s">
        <v>5009</v>
      </c>
      <c r="G186" s="71">
        <v>194</v>
      </c>
      <c r="H186" s="40"/>
      <c r="I186" s="40" t="e">
        <f>VLOOKUP(Table3[[#This Row],[RARC Code]],'New Rarc Code'!A116:B1037,2,0)</f>
        <v>#N/A</v>
      </c>
      <c r="J186" s="40"/>
    </row>
    <row r="187" spans="1:10" x14ac:dyDescent="0.25">
      <c r="A187" s="71"/>
      <c r="B187" s="32"/>
      <c r="C187" s="32"/>
      <c r="D187" s="71"/>
      <c r="E187" s="71"/>
      <c r="F187" s="35" t="s">
        <v>5010</v>
      </c>
      <c r="G187" s="71">
        <v>195</v>
      </c>
      <c r="H187" s="40"/>
      <c r="I187" s="40" t="e">
        <f>VLOOKUP(Table3[[#This Row],[RARC Code]],'New Rarc Code'!A117:B1038,2,0)</f>
        <v>#N/A</v>
      </c>
      <c r="J187" s="40"/>
    </row>
    <row r="188" spans="1:10" x14ac:dyDescent="0.25">
      <c r="A188" s="71"/>
      <c r="B188" s="32"/>
      <c r="C188" s="32"/>
      <c r="D188" s="71"/>
      <c r="E188" s="71"/>
      <c r="F188" s="35" t="s">
        <v>5011</v>
      </c>
      <c r="G188" s="71">
        <v>197</v>
      </c>
      <c r="H188" s="40"/>
      <c r="I188" s="40" t="e">
        <f>VLOOKUP(Table3[[#This Row],[RARC Code]],'New Rarc Code'!A118:B1039,2,0)</f>
        <v>#N/A</v>
      </c>
      <c r="J188" s="40"/>
    </row>
    <row r="189" spans="1:10" x14ac:dyDescent="0.25">
      <c r="A189" s="71"/>
      <c r="B189" s="32"/>
      <c r="C189" s="32"/>
      <c r="D189" s="71"/>
      <c r="E189" s="71"/>
      <c r="F189" s="35" t="s">
        <v>5012</v>
      </c>
      <c r="G189" s="71">
        <v>198</v>
      </c>
      <c r="H189" s="40"/>
      <c r="I189" s="40" t="e">
        <f>VLOOKUP(Table3[[#This Row],[RARC Code]],'New Rarc Code'!A119:B1040,2,0)</f>
        <v>#N/A</v>
      </c>
      <c r="J189" s="40"/>
    </row>
    <row r="190" spans="1:10" x14ac:dyDescent="0.25">
      <c r="A190" s="71"/>
      <c r="B190" s="32"/>
      <c r="C190" s="32"/>
      <c r="D190" s="71"/>
      <c r="E190" s="71"/>
      <c r="F190" s="35" t="s">
        <v>5013</v>
      </c>
      <c r="G190" s="71">
        <v>199</v>
      </c>
      <c r="H190" s="40"/>
      <c r="I190" s="40" t="e">
        <f>VLOOKUP(Table3[[#This Row],[RARC Code]],'New Rarc Code'!A120:B1041,2,0)</f>
        <v>#N/A</v>
      </c>
      <c r="J190" s="40"/>
    </row>
    <row r="191" spans="1:10" x14ac:dyDescent="0.25">
      <c r="A191" s="71"/>
      <c r="B191" s="32"/>
      <c r="C191" s="32"/>
      <c r="D191" s="71"/>
      <c r="E191" s="71"/>
      <c r="F191" s="35" t="s">
        <v>156</v>
      </c>
      <c r="G191" s="71">
        <v>200</v>
      </c>
      <c r="H191" s="40"/>
      <c r="I191" s="40" t="e">
        <f>VLOOKUP(Table3[[#This Row],[RARC Code]],'New Rarc Code'!A123:B1044,2,0)</f>
        <v>#N/A</v>
      </c>
      <c r="J191" s="40"/>
    </row>
    <row r="192" spans="1:10" x14ac:dyDescent="0.25">
      <c r="A192" s="71"/>
      <c r="B192" s="32"/>
      <c r="C192" s="32"/>
      <c r="D192" s="71"/>
      <c r="E192" s="71"/>
      <c r="F192" s="35" t="s">
        <v>5015</v>
      </c>
      <c r="G192" s="71">
        <v>201</v>
      </c>
      <c r="H192" s="40"/>
      <c r="I192" s="40" t="e">
        <f>VLOOKUP(Table3[[#This Row],[RARC Code]],'New Rarc Code'!A124:B1045,2,0)</f>
        <v>#N/A</v>
      </c>
      <c r="J192" s="40"/>
    </row>
    <row r="193" spans="1:10" x14ac:dyDescent="0.25">
      <c r="A193" s="71"/>
      <c r="B193" s="32"/>
      <c r="C193" s="32"/>
      <c r="D193" s="71"/>
      <c r="E193" s="71"/>
      <c r="F193" s="35" t="s">
        <v>5016</v>
      </c>
      <c r="G193" s="71">
        <v>202</v>
      </c>
      <c r="H193" s="40"/>
      <c r="I193" s="40" t="e">
        <f>VLOOKUP(Table3[[#This Row],[RARC Code]],'New Rarc Code'!A125:B1046,2,0)</f>
        <v>#N/A</v>
      </c>
      <c r="J193" s="40"/>
    </row>
    <row r="194" spans="1:10" x14ac:dyDescent="0.25">
      <c r="A194" s="71"/>
      <c r="B194" s="32"/>
      <c r="C194" s="32"/>
      <c r="D194" s="71"/>
      <c r="E194" s="71"/>
      <c r="F194" s="35" t="s">
        <v>5017</v>
      </c>
      <c r="G194" s="71">
        <v>203</v>
      </c>
      <c r="H194" s="40"/>
      <c r="I194" s="40" t="e">
        <f>VLOOKUP(Table3[[#This Row],[RARC Code]],'New Rarc Code'!A126:B1047,2,0)</f>
        <v>#N/A</v>
      </c>
      <c r="J194" s="40"/>
    </row>
    <row r="195" spans="1:10" x14ac:dyDescent="0.25">
      <c r="A195" s="71"/>
      <c r="B195" s="32"/>
      <c r="C195" s="32"/>
      <c r="D195" s="71"/>
      <c r="E195" s="71"/>
      <c r="F195" s="35" t="s">
        <v>157</v>
      </c>
      <c r="G195" s="71">
        <v>204</v>
      </c>
      <c r="H195" s="40"/>
      <c r="I195" s="40" t="e">
        <f>VLOOKUP(Table3[[#This Row],[RARC Code]],'New Rarc Code'!A127:B1048,2,0)</f>
        <v>#N/A</v>
      </c>
      <c r="J195" s="40"/>
    </row>
    <row r="196" spans="1:10" x14ac:dyDescent="0.25">
      <c r="A196" s="71"/>
      <c r="B196" s="32"/>
      <c r="C196" s="32"/>
      <c r="D196" s="71"/>
      <c r="E196" s="71"/>
      <c r="F196" s="35" t="s">
        <v>158</v>
      </c>
      <c r="G196" s="71">
        <v>205</v>
      </c>
      <c r="H196" s="40"/>
      <c r="I196" s="40" t="e">
        <f>VLOOKUP(Table3[[#This Row],[RARC Code]],'New Rarc Code'!A128:B1049,2,0)</f>
        <v>#N/A</v>
      </c>
      <c r="J196" s="40"/>
    </row>
    <row r="197" spans="1:10" x14ac:dyDescent="0.25">
      <c r="A197" s="71"/>
      <c r="B197" s="32"/>
      <c r="C197" s="32"/>
      <c r="D197" s="71"/>
      <c r="E197" s="71"/>
      <c r="F197" s="35" t="s">
        <v>5018</v>
      </c>
      <c r="G197" s="71">
        <v>206</v>
      </c>
      <c r="H197" s="40"/>
      <c r="I197" s="40" t="e">
        <f>VLOOKUP(Table3[[#This Row],[RARC Code]],'New Rarc Code'!A129:B1050,2,0)</f>
        <v>#N/A</v>
      </c>
      <c r="J197" s="40"/>
    </row>
    <row r="198" spans="1:10" x14ac:dyDescent="0.25">
      <c r="A198" s="71"/>
      <c r="B198" s="32"/>
      <c r="C198" s="32"/>
      <c r="D198" s="71"/>
      <c r="E198" s="71"/>
      <c r="F198" s="35" t="s">
        <v>5019</v>
      </c>
      <c r="G198" s="71">
        <v>207</v>
      </c>
      <c r="H198" s="40"/>
      <c r="I198" s="40" t="e">
        <f>VLOOKUP(Table3[[#This Row],[RARC Code]],'New Rarc Code'!A130:B1051,2,0)</f>
        <v>#N/A</v>
      </c>
      <c r="J198" s="40"/>
    </row>
    <row r="199" spans="1:10" x14ac:dyDescent="0.25">
      <c r="A199" s="71"/>
      <c r="B199" s="32"/>
      <c r="C199" s="32"/>
      <c r="D199" s="71"/>
      <c r="E199" s="71"/>
      <c r="F199" s="35" t="s">
        <v>5020</v>
      </c>
      <c r="G199" s="71">
        <v>208</v>
      </c>
      <c r="H199" s="40"/>
      <c r="I199" s="40" t="e">
        <f>VLOOKUP(Table3[[#This Row],[RARC Code]],'New Rarc Code'!A131:B1052,2,0)</f>
        <v>#N/A</v>
      </c>
      <c r="J199" s="40"/>
    </row>
    <row r="200" spans="1:10" x14ac:dyDescent="0.25">
      <c r="A200" s="71"/>
      <c r="B200" s="32"/>
      <c r="C200" s="32"/>
      <c r="D200" s="71"/>
      <c r="E200" s="71"/>
      <c r="F200" s="35" t="s">
        <v>5021</v>
      </c>
      <c r="G200" s="71">
        <v>209</v>
      </c>
      <c r="H200" s="40"/>
      <c r="I200" s="40" t="e">
        <f>VLOOKUP(Table3[[#This Row],[RARC Code]],'New Rarc Code'!A132:B1053,2,0)</f>
        <v>#N/A</v>
      </c>
      <c r="J200" s="40"/>
    </row>
    <row r="201" spans="1:10" x14ac:dyDescent="0.25">
      <c r="A201" s="71"/>
      <c r="B201" s="32"/>
      <c r="C201" s="32"/>
      <c r="D201" s="71"/>
      <c r="E201" s="71"/>
      <c r="F201" s="35" t="s">
        <v>159</v>
      </c>
      <c r="G201" s="71">
        <v>210</v>
      </c>
      <c r="H201" s="40"/>
      <c r="I201" s="40" t="e">
        <f>VLOOKUP(Table3[[#This Row],[RARC Code]],'New Rarc Code'!A134:B1055,2,0)</f>
        <v>#N/A</v>
      </c>
      <c r="J201" s="40"/>
    </row>
    <row r="202" spans="1:10" x14ac:dyDescent="0.25">
      <c r="A202" s="71"/>
      <c r="B202" s="32"/>
      <c r="C202" s="32"/>
      <c r="D202" s="71"/>
      <c r="E202" s="71"/>
      <c r="F202" s="35" t="s">
        <v>5023</v>
      </c>
      <c r="G202" s="71">
        <v>211</v>
      </c>
      <c r="H202" s="40"/>
      <c r="I202" s="40" t="e">
        <f>VLOOKUP(Table3[[#This Row],[RARC Code]],'New Rarc Code'!A135:B1056,2,0)</f>
        <v>#N/A</v>
      </c>
      <c r="J202" s="40"/>
    </row>
    <row r="203" spans="1:10" x14ac:dyDescent="0.25">
      <c r="A203" s="71"/>
      <c r="B203" s="32"/>
      <c r="C203" s="32"/>
      <c r="D203" s="71"/>
      <c r="E203" s="71"/>
      <c r="F203" s="35" t="s">
        <v>160</v>
      </c>
      <c r="G203" s="71">
        <v>212</v>
      </c>
      <c r="H203" s="40"/>
      <c r="I203" s="40" t="e">
        <f>VLOOKUP(Table3[[#This Row],[RARC Code]],'New Rarc Code'!A136:B1057,2,0)</f>
        <v>#N/A</v>
      </c>
      <c r="J203" s="40"/>
    </row>
    <row r="204" spans="1:10" x14ac:dyDescent="0.25">
      <c r="A204" s="71"/>
      <c r="B204" s="32"/>
      <c r="C204" s="32"/>
      <c r="D204" s="71"/>
      <c r="E204" s="71"/>
      <c r="F204" s="35" t="s">
        <v>5024</v>
      </c>
      <c r="G204" s="71">
        <v>213</v>
      </c>
      <c r="H204" s="40"/>
      <c r="I204" s="40" t="e">
        <f>VLOOKUP(Table3[[#This Row],[RARC Code]],'New Rarc Code'!A137:B1058,2,0)</f>
        <v>#N/A</v>
      </c>
      <c r="J204" s="40"/>
    </row>
    <row r="205" spans="1:10" x14ac:dyDescent="0.25">
      <c r="A205" s="71"/>
      <c r="B205" s="32"/>
      <c r="C205" s="32"/>
      <c r="D205" s="71"/>
      <c r="E205" s="71"/>
      <c r="F205" s="35" t="s">
        <v>161</v>
      </c>
      <c r="G205" s="71">
        <v>215</v>
      </c>
      <c r="H205" s="40"/>
      <c r="I205" s="40" t="e">
        <f>VLOOKUP(Table3[[#This Row],[RARC Code]],'New Rarc Code'!A138:B1059,2,0)</f>
        <v>#N/A</v>
      </c>
      <c r="J205" s="40"/>
    </row>
    <row r="206" spans="1:10" x14ac:dyDescent="0.25">
      <c r="A206" s="71"/>
      <c r="B206" s="32"/>
      <c r="C206" s="32"/>
      <c r="D206" s="71"/>
      <c r="E206" s="71"/>
      <c r="F206" s="35" t="s">
        <v>5025</v>
      </c>
      <c r="G206" s="71">
        <v>216</v>
      </c>
      <c r="H206" s="40"/>
      <c r="I206" s="40" t="e">
        <f>VLOOKUP(Table3[[#This Row],[RARC Code]],'New Rarc Code'!A139:B1060,2,0)</f>
        <v>#N/A</v>
      </c>
      <c r="J206" s="40"/>
    </row>
    <row r="207" spans="1:10" x14ac:dyDescent="0.25">
      <c r="A207" s="71"/>
      <c r="B207" s="32"/>
      <c r="C207" s="32"/>
      <c r="D207" s="71"/>
      <c r="E207" s="71"/>
      <c r="F207" s="35" t="s">
        <v>5026</v>
      </c>
      <c r="G207" s="71">
        <v>217</v>
      </c>
      <c r="H207" s="40"/>
      <c r="I207" s="40" t="e">
        <f>VLOOKUP(Table3[[#This Row],[RARC Code]],'New Rarc Code'!A140:B1061,2,0)</f>
        <v>#N/A</v>
      </c>
      <c r="J207" s="40"/>
    </row>
    <row r="208" spans="1:10" x14ac:dyDescent="0.25">
      <c r="A208" s="71"/>
      <c r="B208" s="32"/>
      <c r="C208" s="32"/>
      <c r="D208" s="71"/>
      <c r="E208" s="71"/>
      <c r="F208" s="35" t="s">
        <v>5027</v>
      </c>
      <c r="G208" s="71">
        <v>218</v>
      </c>
      <c r="H208" s="40"/>
      <c r="I208" s="40" t="e">
        <f>VLOOKUP(Table3[[#This Row],[RARC Code]],'New Rarc Code'!A141:B1062,2,0)</f>
        <v>#N/A</v>
      </c>
      <c r="J208" s="40"/>
    </row>
    <row r="209" spans="1:10" x14ac:dyDescent="0.25">
      <c r="A209" s="71"/>
      <c r="B209" s="32"/>
      <c r="C209" s="32"/>
      <c r="D209" s="71"/>
      <c r="E209" s="71"/>
      <c r="F209" s="35" t="s">
        <v>5028</v>
      </c>
      <c r="G209" s="71">
        <v>219</v>
      </c>
      <c r="H209" s="40"/>
      <c r="I209" s="40" t="e">
        <f>VLOOKUP(Table3[[#This Row],[RARC Code]],'New Rarc Code'!A142:B1063,2,0)</f>
        <v>#N/A</v>
      </c>
      <c r="J209" s="40"/>
    </row>
    <row r="210" spans="1:10" x14ac:dyDescent="0.25">
      <c r="A210" s="71"/>
      <c r="B210" s="32"/>
      <c r="C210" s="32"/>
      <c r="D210" s="71"/>
      <c r="E210" s="71"/>
      <c r="F210" s="35" t="s">
        <v>5030</v>
      </c>
      <c r="G210" s="71">
        <v>220</v>
      </c>
      <c r="H210" s="40"/>
      <c r="I210" s="40" t="e">
        <f>VLOOKUP(Table3[[#This Row],[RARC Code]],'New Rarc Code'!A144:B1065,2,0)</f>
        <v>#N/A</v>
      </c>
      <c r="J210" s="40"/>
    </row>
    <row r="211" spans="1:10" x14ac:dyDescent="0.25">
      <c r="A211" s="71"/>
      <c r="B211" s="32"/>
      <c r="C211" s="32"/>
      <c r="D211" s="71"/>
      <c r="E211" s="71"/>
      <c r="F211" s="35" t="s">
        <v>5030</v>
      </c>
      <c r="G211" s="71">
        <v>221</v>
      </c>
      <c r="H211" s="40"/>
      <c r="I211" s="40" t="e">
        <f>VLOOKUP(Table3[[#This Row],[RARC Code]],'New Rarc Code'!A145:B1066,2,0)</f>
        <v>#N/A</v>
      </c>
      <c r="J211" s="40"/>
    </row>
    <row r="212" spans="1:10" x14ac:dyDescent="0.25">
      <c r="A212" s="71"/>
      <c r="B212" s="32"/>
      <c r="C212" s="32"/>
      <c r="D212" s="71"/>
      <c r="E212" s="71"/>
      <c r="F212" s="35" t="s">
        <v>5031</v>
      </c>
      <c r="G212" s="71">
        <v>222</v>
      </c>
      <c r="H212" s="40"/>
      <c r="I212" s="40" t="e">
        <f>VLOOKUP(Table3[[#This Row],[RARC Code]],'New Rarc Code'!A146:B1067,2,0)</f>
        <v>#N/A</v>
      </c>
      <c r="J212" s="40"/>
    </row>
    <row r="213" spans="1:10" x14ac:dyDescent="0.25">
      <c r="A213" s="71"/>
      <c r="B213" s="32"/>
      <c r="C213" s="32"/>
      <c r="D213" s="71"/>
      <c r="E213" s="71"/>
      <c r="F213" s="35" t="s">
        <v>5032</v>
      </c>
      <c r="G213" s="71">
        <v>223</v>
      </c>
      <c r="H213" s="40"/>
      <c r="I213" s="40" t="e">
        <f>VLOOKUP(Table3[[#This Row],[RARC Code]],'New Rarc Code'!A147:B1068,2,0)</f>
        <v>#N/A</v>
      </c>
      <c r="J213" s="40"/>
    </row>
    <row r="214" spans="1:10" x14ac:dyDescent="0.25">
      <c r="A214" s="71"/>
      <c r="B214" s="32"/>
      <c r="C214" s="32"/>
      <c r="D214" s="71"/>
      <c r="E214" s="71"/>
      <c r="F214" s="35" t="s">
        <v>5033</v>
      </c>
      <c r="G214" s="71">
        <v>224</v>
      </c>
      <c r="H214" s="40"/>
      <c r="I214" s="40" t="e">
        <f>VLOOKUP(Table3[[#This Row],[RARC Code]],'New Rarc Code'!A148:B1069,2,0)</f>
        <v>#N/A</v>
      </c>
      <c r="J214" s="40"/>
    </row>
    <row r="215" spans="1:10" x14ac:dyDescent="0.25">
      <c r="A215" s="71"/>
      <c r="B215" s="32"/>
      <c r="C215" s="32"/>
      <c r="D215" s="71"/>
      <c r="E215" s="71"/>
      <c r="F215" s="35" t="s">
        <v>5034</v>
      </c>
      <c r="G215" s="71">
        <v>225</v>
      </c>
      <c r="H215" s="40"/>
      <c r="I215" s="40" t="e">
        <f>VLOOKUP(Table3[[#This Row],[RARC Code]],'New Rarc Code'!A149:B1070,2,0)</f>
        <v>#N/A</v>
      </c>
      <c r="J215" s="40"/>
    </row>
    <row r="216" spans="1:10" x14ac:dyDescent="0.25">
      <c r="A216" s="71"/>
      <c r="B216" s="32"/>
      <c r="C216" s="32"/>
      <c r="D216" s="71"/>
      <c r="E216" s="71"/>
      <c r="F216" s="35" t="s">
        <v>5035</v>
      </c>
      <c r="G216" s="71">
        <v>226</v>
      </c>
      <c r="H216" s="40"/>
      <c r="I216" s="40" t="e">
        <f>VLOOKUP(Table3[[#This Row],[RARC Code]],'New Rarc Code'!A150:B1071,2,0)</f>
        <v>#N/A</v>
      </c>
      <c r="J216" s="40"/>
    </row>
    <row r="217" spans="1:10" x14ac:dyDescent="0.25">
      <c r="A217" s="71"/>
      <c r="B217" s="32"/>
      <c r="C217" s="32"/>
      <c r="D217" s="71"/>
      <c r="E217" s="71"/>
      <c r="F217" s="35" t="s">
        <v>5037</v>
      </c>
      <c r="G217" s="71">
        <v>228</v>
      </c>
      <c r="H217" s="40"/>
      <c r="I217" s="40" t="e">
        <f>VLOOKUP(Table3[[#This Row],[RARC Code]],'New Rarc Code'!A151:B1072,2,0)</f>
        <v>#N/A</v>
      </c>
      <c r="J217" s="40"/>
    </row>
    <row r="218" spans="1:10" x14ac:dyDescent="0.25">
      <c r="A218" s="71"/>
      <c r="B218" s="32"/>
      <c r="C218" s="32"/>
      <c r="D218" s="71"/>
      <c r="E218" s="71"/>
      <c r="F218" s="35" t="s">
        <v>5038</v>
      </c>
      <c r="G218" s="71">
        <v>229</v>
      </c>
      <c r="H218" s="40"/>
      <c r="I218" s="40" t="e">
        <f>VLOOKUP(Table3[[#This Row],[RARC Code]],'New Rarc Code'!A152:B1073,2,0)</f>
        <v>#N/A</v>
      </c>
      <c r="J218" s="40"/>
    </row>
    <row r="219" spans="1:10" x14ac:dyDescent="0.25">
      <c r="A219" s="71"/>
      <c r="B219" s="32"/>
      <c r="C219" s="32"/>
      <c r="D219" s="71"/>
      <c r="E219" s="71"/>
      <c r="F219" s="35" t="s">
        <v>5041</v>
      </c>
      <c r="G219" s="71">
        <v>232</v>
      </c>
      <c r="H219" s="40"/>
      <c r="I219" s="40" t="e">
        <f>VLOOKUP(Table3[[#This Row],[RARC Code]],'New Rarc Code'!A154:B1075,2,0)</f>
        <v>#N/A</v>
      </c>
      <c r="J219" s="40"/>
    </row>
    <row r="220" spans="1:10" x14ac:dyDescent="0.25">
      <c r="A220" s="71"/>
      <c r="B220" s="32"/>
      <c r="C220" s="32"/>
      <c r="D220" s="71"/>
      <c r="E220" s="71"/>
      <c r="F220" s="35" t="s">
        <v>5042</v>
      </c>
      <c r="G220" s="71">
        <v>233</v>
      </c>
      <c r="H220" s="40"/>
      <c r="I220" s="40" t="e">
        <f>VLOOKUP(Table3[[#This Row],[RARC Code]],'New Rarc Code'!A155:B1076,2,0)</f>
        <v>#N/A</v>
      </c>
      <c r="J220" s="40"/>
    </row>
    <row r="221" spans="1:10" x14ac:dyDescent="0.25">
      <c r="A221" s="71"/>
      <c r="B221" s="32"/>
      <c r="C221" s="32"/>
      <c r="D221" s="71"/>
      <c r="E221" s="71"/>
      <c r="F221" s="35" t="s">
        <v>162</v>
      </c>
      <c r="G221" s="71">
        <v>235</v>
      </c>
      <c r="H221" s="40"/>
      <c r="I221" s="40" t="e">
        <f>VLOOKUP(Table3[[#This Row],[RARC Code]],'New Rarc Code'!A156:B1077,2,0)</f>
        <v>#N/A</v>
      </c>
      <c r="J221" s="40"/>
    </row>
    <row r="222" spans="1:10" x14ac:dyDescent="0.25">
      <c r="A222" s="71"/>
      <c r="B222" s="32"/>
      <c r="C222" s="32"/>
      <c r="D222" s="71"/>
      <c r="E222" s="71"/>
      <c r="F222" s="35" t="s">
        <v>5044</v>
      </c>
      <c r="G222" s="71">
        <v>236</v>
      </c>
      <c r="H222" s="40"/>
      <c r="I222" s="40" t="e">
        <f>VLOOKUP(Table3[[#This Row],[RARC Code]],'New Rarc Code'!A157:B1078,2,0)</f>
        <v>#N/A</v>
      </c>
      <c r="J222" s="40"/>
    </row>
    <row r="223" spans="1:10" x14ac:dyDescent="0.25">
      <c r="A223" s="71"/>
      <c r="B223" s="32"/>
      <c r="C223" s="32"/>
      <c r="D223" s="71"/>
      <c r="E223" s="71"/>
      <c r="F223" s="35" t="s">
        <v>5045</v>
      </c>
      <c r="G223" s="71">
        <v>237</v>
      </c>
      <c r="H223" s="40"/>
      <c r="I223" s="40" t="e">
        <f>VLOOKUP(Table3[[#This Row],[RARC Code]],'New Rarc Code'!A158:B1079,2,0)</f>
        <v>#N/A</v>
      </c>
      <c r="J223" s="40"/>
    </row>
    <row r="224" spans="1:10" x14ac:dyDescent="0.25">
      <c r="A224" s="71"/>
      <c r="B224" s="32"/>
      <c r="C224" s="32"/>
      <c r="D224" s="71"/>
      <c r="E224" s="71"/>
      <c r="F224" s="35" t="s">
        <v>5046</v>
      </c>
      <c r="G224" s="71">
        <v>238</v>
      </c>
      <c r="H224" s="40"/>
      <c r="I224" s="40" t="e">
        <f>VLOOKUP(Table3[[#This Row],[RARC Code]],'New Rarc Code'!A159:B1080,2,0)</f>
        <v>#N/A</v>
      </c>
      <c r="J224" s="40"/>
    </row>
    <row r="225" spans="1:10" x14ac:dyDescent="0.25">
      <c r="A225" s="71"/>
      <c r="B225" s="32"/>
      <c r="C225" s="32"/>
      <c r="D225" s="71"/>
      <c r="E225" s="71"/>
      <c r="F225" s="35" t="s">
        <v>5047</v>
      </c>
      <c r="G225" s="71">
        <v>239</v>
      </c>
      <c r="H225" s="40"/>
      <c r="I225" s="40" t="e">
        <f>VLOOKUP(Table3[[#This Row],[RARC Code]],'New Rarc Code'!A160:B1081,2,0)</f>
        <v>#N/A</v>
      </c>
      <c r="J225" s="40"/>
    </row>
    <row r="226" spans="1:10" x14ac:dyDescent="0.25">
      <c r="A226" s="71"/>
      <c r="B226" s="32"/>
      <c r="C226" s="32"/>
      <c r="D226" s="71"/>
      <c r="E226" s="71"/>
      <c r="F226" s="35" t="s">
        <v>5049</v>
      </c>
      <c r="G226" s="71">
        <v>240</v>
      </c>
      <c r="H226" s="40"/>
      <c r="I226" s="40" t="e">
        <f>VLOOKUP(Table3[[#This Row],[RARC Code]],'New Rarc Code'!A162:B1083,2,0)</f>
        <v>#N/A</v>
      </c>
      <c r="J226" s="40"/>
    </row>
    <row r="227" spans="1:10" x14ac:dyDescent="0.25">
      <c r="A227" s="71"/>
      <c r="B227" s="32"/>
      <c r="C227" s="32"/>
      <c r="D227" s="71"/>
      <c r="E227" s="71"/>
      <c r="F227" s="35" t="s">
        <v>5050</v>
      </c>
      <c r="G227" s="71">
        <v>241</v>
      </c>
      <c r="H227" s="40"/>
      <c r="I227" s="40" t="e">
        <f>VLOOKUP(Table3[[#This Row],[RARC Code]],'New Rarc Code'!A163:B1084,2,0)</f>
        <v>#N/A</v>
      </c>
      <c r="J227" s="40"/>
    </row>
    <row r="228" spans="1:10" x14ac:dyDescent="0.25">
      <c r="A228" s="71"/>
      <c r="B228" s="32"/>
      <c r="C228" s="32"/>
      <c r="D228" s="71"/>
      <c r="E228" s="71"/>
      <c r="F228" s="35" t="s">
        <v>4993</v>
      </c>
      <c r="G228" s="71">
        <v>242</v>
      </c>
      <c r="H228" s="40"/>
      <c r="I228" s="40" t="e">
        <f>VLOOKUP(Table3[[#This Row],[RARC Code]],'New Rarc Code'!A164:B1085,2,0)</f>
        <v>#N/A</v>
      </c>
      <c r="J228" s="40"/>
    </row>
    <row r="229" spans="1:10" x14ac:dyDescent="0.25">
      <c r="A229" s="71"/>
      <c r="B229" s="32"/>
      <c r="C229" s="32"/>
      <c r="D229" s="71"/>
      <c r="E229" s="71"/>
      <c r="F229" s="35" t="s">
        <v>5051</v>
      </c>
      <c r="G229" s="71">
        <v>243</v>
      </c>
      <c r="H229" s="40"/>
      <c r="I229" s="40" t="e">
        <f>VLOOKUP(Table3[[#This Row],[RARC Code]],'New Rarc Code'!A165:B1086,2,0)</f>
        <v>#N/A</v>
      </c>
      <c r="J229" s="40"/>
    </row>
    <row r="230" spans="1:10" x14ac:dyDescent="0.25">
      <c r="A230" s="71"/>
      <c r="B230" s="32"/>
      <c r="C230" s="32"/>
      <c r="D230" s="71"/>
      <c r="E230" s="71"/>
      <c r="F230" s="35" t="s">
        <v>5052</v>
      </c>
      <c r="G230" s="71">
        <v>244</v>
      </c>
      <c r="H230" s="40"/>
      <c r="I230" s="40" t="e">
        <f>VLOOKUP(Table3[[#This Row],[RARC Code]],'New Rarc Code'!A166:B1087,2,0)</f>
        <v>#N/A</v>
      </c>
      <c r="J230" s="40"/>
    </row>
    <row r="231" spans="1:10" x14ac:dyDescent="0.25">
      <c r="A231" s="71"/>
      <c r="B231" s="32"/>
      <c r="C231" s="32"/>
      <c r="D231" s="71"/>
      <c r="E231" s="71"/>
      <c r="F231" s="35" t="s">
        <v>5053</v>
      </c>
      <c r="G231" s="71">
        <v>245</v>
      </c>
      <c r="H231" s="40"/>
      <c r="I231" s="40" t="e">
        <f>VLOOKUP(Table3[[#This Row],[RARC Code]],'New Rarc Code'!A167:B1088,2,0)</f>
        <v>#N/A</v>
      </c>
      <c r="J231" s="40"/>
    </row>
    <row r="232" spans="1:10" x14ac:dyDescent="0.25">
      <c r="A232" s="71"/>
      <c r="B232" s="32"/>
      <c r="C232" s="32"/>
      <c r="D232" s="71"/>
      <c r="E232" s="71"/>
      <c r="F232" s="35" t="s">
        <v>5054</v>
      </c>
      <c r="G232" s="71">
        <v>246</v>
      </c>
      <c r="H232" s="40"/>
      <c r="I232" s="40" t="e">
        <f>VLOOKUP(Table3[[#This Row],[RARC Code]],'New Rarc Code'!A168:B1089,2,0)</f>
        <v>#N/A</v>
      </c>
      <c r="J232" s="40"/>
    </row>
    <row r="233" spans="1:10" x14ac:dyDescent="0.25">
      <c r="A233" s="71"/>
      <c r="B233" s="32"/>
      <c r="C233" s="32"/>
      <c r="D233" s="71"/>
      <c r="E233" s="71"/>
      <c r="F233" s="35" t="s">
        <v>5055</v>
      </c>
      <c r="G233" s="71">
        <v>247</v>
      </c>
      <c r="H233" s="40"/>
      <c r="I233" s="40" t="e">
        <f>VLOOKUP(Table3[[#This Row],[RARC Code]],'New Rarc Code'!A169:B1090,2,0)</f>
        <v>#N/A</v>
      </c>
      <c r="J233" s="40"/>
    </row>
    <row r="234" spans="1:10" x14ac:dyDescent="0.25">
      <c r="A234" s="71"/>
      <c r="B234" s="32"/>
      <c r="C234" s="32"/>
      <c r="D234" s="71"/>
      <c r="E234" s="71"/>
      <c r="F234" s="35" t="s">
        <v>5056</v>
      </c>
      <c r="G234" s="71">
        <v>248</v>
      </c>
      <c r="H234" s="40"/>
      <c r="I234" s="40" t="e">
        <f>VLOOKUP(Table3[[#This Row],[RARC Code]],'New Rarc Code'!A170:B1091,2,0)</f>
        <v>#N/A</v>
      </c>
      <c r="J234" s="40"/>
    </row>
    <row r="235" spans="1:10" x14ac:dyDescent="0.25">
      <c r="A235" s="71"/>
      <c r="B235" s="32"/>
      <c r="C235" s="32"/>
      <c r="D235" s="71"/>
      <c r="E235" s="71"/>
      <c r="F235" s="35" t="s">
        <v>5057</v>
      </c>
      <c r="G235" s="71">
        <v>249</v>
      </c>
      <c r="H235" s="40"/>
      <c r="I235" s="40" t="e">
        <f>VLOOKUP(Table3[[#This Row],[RARC Code]],'New Rarc Code'!A171:B1092,2,0)</f>
        <v>#N/A</v>
      </c>
      <c r="J235" s="40"/>
    </row>
    <row r="236" spans="1:10" x14ac:dyDescent="0.25">
      <c r="A236" s="71"/>
      <c r="B236" s="32"/>
      <c r="C236" s="32"/>
      <c r="D236" s="71"/>
      <c r="E236" s="71"/>
      <c r="F236" s="35" t="s">
        <v>5059</v>
      </c>
      <c r="G236" s="71">
        <v>250</v>
      </c>
      <c r="H236" s="40"/>
      <c r="I236" s="40" t="e">
        <f>VLOOKUP(Table3[[#This Row],[RARC Code]],'New Rarc Code'!A173:B1094,2,0)</f>
        <v>#N/A</v>
      </c>
      <c r="J236" s="40"/>
    </row>
    <row r="237" spans="1:10" x14ac:dyDescent="0.25">
      <c r="A237" s="71"/>
      <c r="B237" s="32"/>
      <c r="C237" s="32"/>
      <c r="D237" s="71"/>
      <c r="E237" s="71"/>
      <c r="F237" s="35" t="s">
        <v>5060</v>
      </c>
      <c r="G237" s="71">
        <v>251</v>
      </c>
      <c r="H237" s="40"/>
      <c r="I237" s="40" t="e">
        <f>VLOOKUP(Table3[[#This Row],[RARC Code]],'New Rarc Code'!A174:B1095,2,0)</f>
        <v>#N/A</v>
      </c>
      <c r="J237" s="40"/>
    </row>
    <row r="238" spans="1:10" x14ac:dyDescent="0.25">
      <c r="A238" s="71"/>
      <c r="B238" s="32"/>
      <c r="C238" s="32"/>
      <c r="D238" s="71"/>
      <c r="E238" s="71"/>
      <c r="F238" s="35" t="s">
        <v>5062</v>
      </c>
      <c r="G238" s="71">
        <v>253</v>
      </c>
      <c r="H238" s="40"/>
      <c r="I238" s="40" t="e">
        <f>VLOOKUP(Table3[[#This Row],[RARC Code]],'New Rarc Code'!A175:B1096,2,0)</f>
        <v>#N/A</v>
      </c>
      <c r="J238" s="40"/>
    </row>
    <row r="239" spans="1:10" x14ac:dyDescent="0.25">
      <c r="A239" s="71"/>
      <c r="B239" s="32"/>
      <c r="C239" s="32"/>
      <c r="D239" s="71"/>
      <c r="E239" s="71"/>
      <c r="F239" s="35" t="s">
        <v>5063</v>
      </c>
      <c r="G239" s="71">
        <v>254</v>
      </c>
      <c r="H239" s="40"/>
      <c r="I239" s="40" t="e">
        <f>VLOOKUP(Table3[[#This Row],[RARC Code]],'New Rarc Code'!A176:B1097,2,0)</f>
        <v>#N/A</v>
      </c>
      <c r="J239" s="40"/>
    </row>
    <row r="240" spans="1:10" x14ac:dyDescent="0.25">
      <c r="A240" s="71"/>
      <c r="B240" s="32"/>
      <c r="C240" s="32"/>
      <c r="D240" s="32"/>
      <c r="E240" s="32"/>
      <c r="F240" s="35" t="s">
        <v>5065</v>
      </c>
      <c r="G240" s="71">
        <v>257</v>
      </c>
      <c r="H240" s="40"/>
      <c r="I240" s="40" t="e">
        <f>VLOOKUP(Table3[[#This Row],[RARC Code]],'New Rarc Code'!A177:B1098,2,0)</f>
        <v>#N/A</v>
      </c>
      <c r="J240" s="40"/>
    </row>
    <row r="241" spans="1:10" x14ac:dyDescent="0.25">
      <c r="A241" s="71"/>
      <c r="B241" s="32"/>
      <c r="C241" s="32"/>
      <c r="D241" s="32"/>
      <c r="E241" s="32"/>
      <c r="F241" s="35" t="s">
        <v>4928</v>
      </c>
      <c r="G241" s="71">
        <v>258</v>
      </c>
      <c r="H241" s="40"/>
      <c r="I241" s="40" t="e">
        <f>VLOOKUP(Table3[[#This Row],[RARC Code]],'New Rarc Code'!A178:B1099,2,0)</f>
        <v>#N/A</v>
      </c>
      <c r="J241" s="40"/>
    </row>
    <row r="242" spans="1:10" x14ac:dyDescent="0.25">
      <c r="A242" s="71"/>
      <c r="B242" s="32"/>
      <c r="C242" s="32"/>
      <c r="D242" s="32"/>
      <c r="E242" s="32"/>
      <c r="F242" s="35" t="s">
        <v>5066</v>
      </c>
      <c r="G242" s="71">
        <v>259</v>
      </c>
      <c r="H242" s="40"/>
      <c r="I242" s="40" t="e">
        <f>VLOOKUP(Table3[[#This Row],[RARC Code]],'New Rarc Code'!A179:B1100,2,0)</f>
        <v>#N/A</v>
      </c>
      <c r="J242" s="40"/>
    </row>
    <row r="243" spans="1:10" x14ac:dyDescent="0.25">
      <c r="A243" s="71"/>
      <c r="B243" s="32"/>
      <c r="C243" s="32"/>
      <c r="D243" s="32"/>
      <c r="E243" s="32"/>
      <c r="F243" s="35" t="s">
        <v>5067</v>
      </c>
      <c r="G243" s="71">
        <v>260</v>
      </c>
      <c r="H243" s="40"/>
      <c r="I243" s="40" t="e">
        <f>VLOOKUP(Table3[[#This Row],[RARC Code]],'New Rarc Code'!A181:B1102,2,0)</f>
        <v>#N/A</v>
      </c>
      <c r="J243" s="40"/>
    </row>
    <row r="244" spans="1:10" x14ac:dyDescent="0.25">
      <c r="A244" s="71"/>
      <c r="B244" s="32"/>
      <c r="C244" s="32"/>
      <c r="D244" s="32"/>
      <c r="E244" s="32"/>
      <c r="F244" s="35" t="s">
        <v>5068</v>
      </c>
      <c r="G244" s="71">
        <v>261</v>
      </c>
      <c r="H244" s="40"/>
      <c r="I244" s="40" t="e">
        <f>VLOOKUP(Table3[[#This Row],[RARC Code]],'New Rarc Code'!A182:B1103,2,0)</f>
        <v>#N/A</v>
      </c>
      <c r="J244" s="40"/>
    </row>
    <row r="245" spans="1:10" x14ac:dyDescent="0.25">
      <c r="A245" s="71"/>
      <c r="B245" s="32"/>
      <c r="C245" s="32"/>
      <c r="D245" s="32"/>
      <c r="E245" s="32"/>
      <c r="F245" s="35" t="s">
        <v>5069</v>
      </c>
      <c r="G245" s="71">
        <v>262</v>
      </c>
      <c r="H245" s="40"/>
      <c r="I245" s="40" t="e">
        <f>VLOOKUP(Table3[[#This Row],[RARC Code]],'New Rarc Code'!A183:B1104,2,0)</f>
        <v>#N/A</v>
      </c>
      <c r="J245" s="40"/>
    </row>
    <row r="246" spans="1:10" x14ac:dyDescent="0.25">
      <c r="A246" s="71"/>
      <c r="B246" s="32"/>
      <c r="C246" s="32"/>
      <c r="D246" s="32"/>
      <c r="E246" s="32"/>
      <c r="F246" s="35" t="s">
        <v>5070</v>
      </c>
      <c r="G246" s="71">
        <v>263</v>
      </c>
      <c r="H246" s="40"/>
      <c r="I246" s="40" t="e">
        <f>VLOOKUP(Table3[[#This Row],[RARC Code]],'New Rarc Code'!A184:B1105,2,0)</f>
        <v>#N/A</v>
      </c>
      <c r="J246" s="40"/>
    </row>
    <row r="247" spans="1:10" x14ac:dyDescent="0.25">
      <c r="A247" s="71"/>
      <c r="B247" s="32"/>
      <c r="C247" s="32"/>
      <c r="D247" s="32"/>
      <c r="E247" s="32"/>
      <c r="F247" s="35" t="s">
        <v>5071</v>
      </c>
      <c r="G247" s="71">
        <v>264</v>
      </c>
      <c r="H247" s="40"/>
      <c r="I247" s="40" t="e">
        <f>VLOOKUP(Table3[[#This Row],[RARC Code]],'New Rarc Code'!A185:B1106,2,0)</f>
        <v>#N/A</v>
      </c>
      <c r="J247" s="40"/>
    </row>
    <row r="248" spans="1:10" x14ac:dyDescent="0.25">
      <c r="A248" s="71"/>
      <c r="B248" s="32"/>
      <c r="C248" s="32"/>
      <c r="D248" s="32"/>
      <c r="E248" s="32"/>
      <c r="F248" s="35" t="s">
        <v>5072</v>
      </c>
      <c r="G248" s="71">
        <v>265</v>
      </c>
      <c r="H248" s="40"/>
      <c r="I248" s="40" t="e">
        <f>VLOOKUP(Table3[[#This Row],[RARC Code]],'New Rarc Code'!A186:B1107,2,0)</f>
        <v>#N/A</v>
      </c>
      <c r="J248" s="40"/>
    </row>
    <row r="249" spans="1:10" x14ac:dyDescent="0.25">
      <c r="A249" s="71"/>
      <c r="B249" s="32"/>
      <c r="C249" s="32"/>
      <c r="D249" s="32"/>
      <c r="E249" s="32"/>
      <c r="F249" s="35" t="s">
        <v>5073</v>
      </c>
      <c r="G249" s="71">
        <v>266</v>
      </c>
      <c r="H249" s="40"/>
      <c r="I249" s="40" t="e">
        <f>VLOOKUP(Table3[[#This Row],[RARC Code]],'New Rarc Code'!A187:B1108,2,0)</f>
        <v>#N/A</v>
      </c>
      <c r="J249" s="40"/>
    </row>
    <row r="250" spans="1:10" x14ac:dyDescent="0.25">
      <c r="A250" s="71"/>
      <c r="B250" s="32"/>
      <c r="C250" s="32"/>
      <c r="D250" s="32"/>
      <c r="E250" s="32"/>
      <c r="F250" s="35" t="s">
        <v>5074</v>
      </c>
      <c r="G250" s="71">
        <v>267</v>
      </c>
      <c r="H250" s="40"/>
      <c r="I250" s="40" t="e">
        <f>VLOOKUP(Table3[[#This Row],[RARC Code]],'New Rarc Code'!A188:B1109,2,0)</f>
        <v>#N/A</v>
      </c>
      <c r="J250" s="40"/>
    </row>
    <row r="251" spans="1:10" x14ac:dyDescent="0.25">
      <c r="A251" s="71"/>
      <c r="B251" s="32"/>
      <c r="C251" s="32"/>
      <c r="D251" s="32"/>
      <c r="E251" s="32"/>
      <c r="F251" s="35" t="s">
        <v>5075</v>
      </c>
      <c r="G251" s="71">
        <v>268</v>
      </c>
      <c r="H251" s="40"/>
      <c r="I251" s="40" t="e">
        <f>VLOOKUP(Table3[[#This Row],[RARC Code]],'New Rarc Code'!A189:B1110,2,0)</f>
        <v>#N/A</v>
      </c>
      <c r="J251" s="40"/>
    </row>
    <row r="252" spans="1:10" x14ac:dyDescent="0.25">
      <c r="A252" s="71"/>
      <c r="B252" s="32"/>
      <c r="C252" s="32"/>
      <c r="D252" s="32"/>
      <c r="E252" s="32"/>
      <c r="F252" s="35" t="s">
        <v>5076</v>
      </c>
      <c r="G252" s="71">
        <v>269</v>
      </c>
      <c r="H252" s="40"/>
      <c r="I252" s="40" t="e">
        <f>VLOOKUP(Table3[[#This Row],[RARC Code]],'New Rarc Code'!A190:B1111,2,0)</f>
        <v>#N/A</v>
      </c>
      <c r="J252" s="40"/>
    </row>
    <row r="253" spans="1:10" x14ac:dyDescent="0.25">
      <c r="A253" s="71"/>
      <c r="B253" s="32"/>
      <c r="C253" s="32"/>
      <c r="D253" s="32"/>
      <c r="E253" s="32"/>
      <c r="F253" s="35" t="s">
        <v>5078</v>
      </c>
      <c r="G253" s="71">
        <v>270</v>
      </c>
      <c r="H253" s="40"/>
      <c r="I253" s="40" t="e">
        <f>VLOOKUP(Table3[[#This Row],[RARC Code]],'New Rarc Code'!A191:B1112,2,0)</f>
        <v>#N/A</v>
      </c>
      <c r="J253" s="40"/>
    </row>
    <row r="254" spans="1:10" x14ac:dyDescent="0.25">
      <c r="A254" s="71"/>
      <c r="B254" s="33"/>
      <c r="C254" s="33"/>
      <c r="D254" s="33"/>
      <c r="E254" s="33"/>
      <c r="F254" s="35" t="s">
        <v>5079</v>
      </c>
      <c r="G254" s="71">
        <v>271</v>
      </c>
      <c r="H254" s="40"/>
      <c r="I254" s="40" t="e">
        <f>VLOOKUP(Table3[[#This Row],[RARC Code]],'New Rarc Code'!A192:B1113,2,0)</f>
        <v>#N/A</v>
      </c>
      <c r="J254" s="40"/>
    </row>
    <row r="255" spans="1:10" x14ac:dyDescent="0.25">
      <c r="A255" s="71"/>
      <c r="B255" s="32"/>
      <c r="C255" s="32"/>
      <c r="D255" s="32"/>
      <c r="E255" s="32"/>
      <c r="F255" s="35" t="s">
        <v>5080</v>
      </c>
      <c r="G255" s="71">
        <v>272</v>
      </c>
      <c r="H255" s="40"/>
      <c r="I255" s="40" t="e">
        <f>VLOOKUP(Table3[[#This Row],[RARC Code]],'New Rarc Code'!A193:B1114,2,0)</f>
        <v>#N/A</v>
      </c>
      <c r="J255" s="40"/>
    </row>
    <row r="256" spans="1:10" x14ac:dyDescent="0.25">
      <c r="A256" s="75"/>
      <c r="B256" s="33"/>
      <c r="C256" s="33"/>
      <c r="D256" s="33"/>
      <c r="E256" s="33"/>
      <c r="F256" s="38" t="s">
        <v>5081</v>
      </c>
      <c r="G256" s="75">
        <v>273</v>
      </c>
      <c r="H256" s="40"/>
      <c r="I256" s="40" t="e">
        <f>VLOOKUP(Table3[[#This Row],[RARC Code]],'New Rarc Code'!A194:B1115,2,0)</f>
        <v>#N/A</v>
      </c>
      <c r="J256" s="40"/>
    </row>
    <row r="257" spans="1:10" x14ac:dyDescent="0.25">
      <c r="A257" s="75"/>
      <c r="B257" s="33"/>
      <c r="C257" s="33"/>
      <c r="D257" s="33"/>
      <c r="E257" s="33"/>
      <c r="F257" s="38" t="s">
        <v>5082</v>
      </c>
      <c r="G257" s="75">
        <v>274</v>
      </c>
      <c r="H257" s="40"/>
      <c r="I257" s="40" t="e">
        <f>VLOOKUP(Table3[[#This Row],[RARC Code]],'New Rarc Code'!A195:B1116,2,0)</f>
        <v>#N/A</v>
      </c>
      <c r="J257" s="40"/>
    </row>
    <row r="258" spans="1:10" x14ac:dyDescent="0.25">
      <c r="A258" s="75"/>
      <c r="B258" s="33"/>
      <c r="C258" s="33"/>
      <c r="D258" s="33"/>
      <c r="E258" s="33"/>
      <c r="F258" s="38" t="s">
        <v>5083</v>
      </c>
      <c r="G258" s="75">
        <v>275</v>
      </c>
      <c r="H258" s="40"/>
      <c r="I258" s="40" t="e">
        <f>VLOOKUP(Table3[[#This Row],[RARC Code]],'New Rarc Code'!A196:B1117,2,0)</f>
        <v>#N/A</v>
      </c>
      <c r="J258" s="40"/>
    </row>
    <row r="259" spans="1:10" x14ac:dyDescent="0.25">
      <c r="A259" s="75"/>
      <c r="B259" s="33"/>
      <c r="C259" s="33"/>
      <c r="D259" s="33"/>
      <c r="E259" s="33"/>
      <c r="F259" s="38" t="s">
        <v>5084</v>
      </c>
      <c r="G259" s="75">
        <v>276</v>
      </c>
      <c r="H259" s="40"/>
      <c r="I259" s="40" t="e">
        <f>VLOOKUP(Table3[[#This Row],[RARC Code]],'New Rarc Code'!A197:B1118,2,0)</f>
        <v>#N/A</v>
      </c>
      <c r="J259" s="40"/>
    </row>
    <row r="260" spans="1:10" x14ac:dyDescent="0.25">
      <c r="A260" s="75"/>
      <c r="B260" s="33"/>
      <c r="C260" s="33"/>
      <c r="D260" s="33"/>
      <c r="E260" s="33"/>
      <c r="F260" s="38" t="s">
        <v>5085</v>
      </c>
      <c r="G260" s="75">
        <v>277</v>
      </c>
      <c r="H260" s="40"/>
      <c r="I260" s="40" t="e">
        <f>VLOOKUP(Table3[[#This Row],[RARC Code]],'New Rarc Code'!A198:B1119,2,0)</f>
        <v>#N/A</v>
      </c>
      <c r="J260" s="40"/>
    </row>
    <row r="261" spans="1:10" x14ac:dyDescent="0.25">
      <c r="A261" s="75"/>
      <c r="B261" s="33"/>
      <c r="C261" s="33"/>
      <c r="D261" s="33"/>
      <c r="E261" s="33"/>
      <c r="F261" s="38" t="s">
        <v>5086</v>
      </c>
      <c r="G261" s="75">
        <v>278</v>
      </c>
      <c r="H261" s="40"/>
      <c r="I261" s="40" t="e">
        <f>VLOOKUP(Table3[[#This Row],[RARC Code]],'New Rarc Code'!A199:B1120,2,0)</f>
        <v>#N/A</v>
      </c>
      <c r="J261" s="40"/>
    </row>
    <row r="262" spans="1:10" x14ac:dyDescent="0.25">
      <c r="A262" s="75"/>
      <c r="B262" s="33"/>
      <c r="C262" s="33"/>
      <c r="D262" s="33"/>
      <c r="E262" s="33"/>
      <c r="F262" s="38" t="s">
        <v>5087</v>
      </c>
      <c r="G262" s="75">
        <v>279</v>
      </c>
      <c r="H262" s="40"/>
      <c r="I262" s="40" t="e">
        <f>VLOOKUP(Table3[[#This Row],[RARC Code]],'New Rarc Code'!A200:B1121,2,0)</f>
        <v>#N/A</v>
      </c>
      <c r="J262" s="40"/>
    </row>
    <row r="263" spans="1:10" x14ac:dyDescent="0.25">
      <c r="A263" s="75"/>
      <c r="B263" s="33"/>
      <c r="C263" s="33"/>
      <c r="D263" s="33"/>
      <c r="E263" s="33"/>
      <c r="F263" s="38" t="s">
        <v>5088</v>
      </c>
      <c r="G263" s="75">
        <v>280</v>
      </c>
      <c r="H263" s="40"/>
      <c r="I263" s="40" t="e">
        <f>VLOOKUP(Table3[[#This Row],[RARC Code]],'New Rarc Code'!A201:B1122,2,0)</f>
        <v>#N/A</v>
      </c>
      <c r="J263" s="40"/>
    </row>
    <row r="264" spans="1:10" x14ac:dyDescent="0.25">
      <c r="A264" s="75"/>
      <c r="B264" s="33"/>
      <c r="C264" s="33"/>
      <c r="D264" s="33"/>
      <c r="E264" s="33"/>
      <c r="F264" s="38" t="s">
        <v>5089</v>
      </c>
      <c r="G264" s="75">
        <v>281</v>
      </c>
      <c r="H264" s="40"/>
      <c r="I264" s="40" t="e">
        <f>VLOOKUP(Table3[[#This Row],[RARC Code]],'New Rarc Code'!A202:B1123,2,0)</f>
        <v>#N/A</v>
      </c>
      <c r="J264" s="40"/>
    </row>
    <row r="265" spans="1:10" x14ac:dyDescent="0.25">
      <c r="A265" s="75"/>
      <c r="B265" s="33"/>
      <c r="C265" s="33"/>
      <c r="D265" s="33"/>
      <c r="E265" s="33"/>
      <c r="F265" s="38" t="s">
        <v>5090</v>
      </c>
      <c r="G265" s="75">
        <v>282</v>
      </c>
      <c r="H265" s="40"/>
      <c r="I265" s="40" t="e">
        <f>VLOOKUP(Table3[[#This Row],[RARC Code]],'New Rarc Code'!A203:B1124,2,0)</f>
        <v>#N/A</v>
      </c>
      <c r="J265" s="40"/>
    </row>
    <row r="266" spans="1:10" x14ac:dyDescent="0.25">
      <c r="A266" s="75"/>
      <c r="B266" s="33"/>
      <c r="C266" s="33"/>
      <c r="D266" s="33"/>
      <c r="E266" s="33"/>
      <c r="F266" s="38" t="s">
        <v>5091</v>
      </c>
      <c r="G266" s="75">
        <v>283</v>
      </c>
      <c r="H266" s="40"/>
      <c r="I266" s="40" t="e">
        <f>VLOOKUP(Table3[[#This Row],[RARC Code]],'New Rarc Code'!A204:B1125,2,0)</f>
        <v>#N/A</v>
      </c>
      <c r="J266" s="40"/>
    </row>
    <row r="267" spans="1:10" x14ac:dyDescent="0.25">
      <c r="A267" s="75"/>
      <c r="B267" s="33"/>
      <c r="C267" s="33"/>
      <c r="D267" s="33"/>
      <c r="E267" s="33"/>
      <c r="F267" s="38" t="s">
        <v>5092</v>
      </c>
      <c r="G267" s="75">
        <v>284</v>
      </c>
      <c r="H267" s="40"/>
      <c r="I267" s="40" t="e">
        <f>VLOOKUP(Table3[[#This Row],[RARC Code]],'New Rarc Code'!A205:B1126,2,0)</f>
        <v>#N/A</v>
      </c>
      <c r="J267" s="40"/>
    </row>
    <row r="268" spans="1:10" x14ac:dyDescent="0.25">
      <c r="A268" s="75"/>
      <c r="B268" s="33"/>
      <c r="C268" s="33"/>
      <c r="D268" s="33"/>
      <c r="E268" s="33"/>
      <c r="F268" s="35" t="s">
        <v>5093</v>
      </c>
      <c r="G268" s="71">
        <v>285</v>
      </c>
      <c r="H268" s="40"/>
      <c r="I268" s="40" t="e">
        <f>VLOOKUP(Table3[[#This Row],[RARC Code]],'New Rarc Code'!A206:B1127,2,0)</f>
        <v>#N/A</v>
      </c>
      <c r="J268" s="40"/>
    </row>
    <row r="269" spans="1:10" x14ac:dyDescent="0.25">
      <c r="A269" s="75"/>
      <c r="B269" s="33"/>
      <c r="C269" s="33"/>
      <c r="D269" s="33"/>
      <c r="E269" s="33"/>
      <c r="F269" s="35" t="s">
        <v>5094</v>
      </c>
      <c r="G269" s="71">
        <v>286</v>
      </c>
      <c r="H269" s="40"/>
      <c r="I269" s="40" t="e">
        <f>VLOOKUP(Table3[[#This Row],[RARC Code]],'New Rarc Code'!A207:B1128,2,0)</f>
        <v>#N/A</v>
      </c>
      <c r="J269" s="40"/>
    </row>
    <row r="270" spans="1:10" x14ac:dyDescent="0.25">
      <c r="A270" s="75"/>
      <c r="B270" s="33"/>
      <c r="C270" s="33"/>
      <c r="D270" s="33"/>
      <c r="E270" s="33"/>
      <c r="F270" s="38" t="s">
        <v>5095</v>
      </c>
      <c r="G270" s="75">
        <v>287</v>
      </c>
      <c r="H270" s="40"/>
      <c r="I270" s="40" t="e">
        <f>VLOOKUP(Table3[[#This Row],[RARC Code]],'New Rarc Code'!A208:B1129,2,0)</f>
        <v>#N/A</v>
      </c>
      <c r="J270" s="40"/>
    </row>
    <row r="271" spans="1:10" x14ac:dyDescent="0.25">
      <c r="A271" s="75"/>
      <c r="B271" s="33"/>
      <c r="C271" s="33"/>
      <c r="D271" s="33"/>
      <c r="E271" s="33"/>
      <c r="F271" s="35" t="s">
        <v>5096</v>
      </c>
      <c r="G271" s="71">
        <v>288</v>
      </c>
      <c r="H271" s="40"/>
      <c r="I271" s="40" t="e">
        <f>VLOOKUP(Table3[[#This Row],[RARC Code]],'New Rarc Code'!A209:B1130,2,0)</f>
        <v>#N/A</v>
      </c>
      <c r="J271" s="40"/>
    </row>
    <row r="272" spans="1:10" x14ac:dyDescent="0.25">
      <c r="A272" s="75"/>
      <c r="B272" s="33"/>
      <c r="C272" s="33"/>
      <c r="D272" s="33"/>
      <c r="E272" s="33"/>
      <c r="F272" s="38" t="s">
        <v>5097</v>
      </c>
      <c r="G272" s="75">
        <v>289</v>
      </c>
      <c r="H272" s="40"/>
      <c r="I272" s="40" t="e">
        <f>VLOOKUP(Table3[[#This Row],[RARC Code]],'New Rarc Code'!A210:B1131,2,0)</f>
        <v>#N/A</v>
      </c>
      <c r="J272" s="40"/>
    </row>
    <row r="273" spans="1:10" x14ac:dyDescent="0.25">
      <c r="A273" s="75"/>
      <c r="B273" s="33"/>
      <c r="C273" s="33"/>
      <c r="D273" s="33"/>
      <c r="E273" s="33"/>
      <c r="F273" s="38" t="s">
        <v>5099</v>
      </c>
      <c r="G273" s="75">
        <v>290</v>
      </c>
      <c r="H273" s="40"/>
      <c r="I273" s="40" t="e">
        <f>VLOOKUP(Table3[[#This Row],[RARC Code]],'New Rarc Code'!A212:B1133,2,0)</f>
        <v>#N/A</v>
      </c>
      <c r="J273" s="40"/>
    </row>
    <row r="274" spans="1:10" x14ac:dyDescent="0.25">
      <c r="A274" s="75"/>
      <c r="B274" s="33"/>
      <c r="C274" s="33"/>
      <c r="D274" s="33"/>
      <c r="E274" s="33"/>
      <c r="F274" s="38" t="s">
        <v>5100</v>
      </c>
      <c r="G274" s="75">
        <v>291</v>
      </c>
      <c r="H274" s="40"/>
      <c r="I274" s="40" t="e">
        <f>VLOOKUP(Table3[[#This Row],[RARC Code]],'New Rarc Code'!A213:B1134,2,0)</f>
        <v>#N/A</v>
      </c>
      <c r="J274" s="40"/>
    </row>
    <row r="275" spans="1:10" x14ac:dyDescent="0.25">
      <c r="A275" s="75"/>
      <c r="B275" s="33"/>
      <c r="C275" s="33"/>
      <c r="D275" s="33"/>
      <c r="E275" s="33"/>
      <c r="F275" s="38" t="s">
        <v>5101</v>
      </c>
      <c r="G275" s="75">
        <v>292</v>
      </c>
      <c r="H275" s="40"/>
      <c r="I275" s="40" t="e">
        <f>VLOOKUP(Table3[[#This Row],[RARC Code]],'New Rarc Code'!A214:B1135,2,0)</f>
        <v>#N/A</v>
      </c>
      <c r="J275" s="40"/>
    </row>
    <row r="276" spans="1:10" x14ac:dyDescent="0.25">
      <c r="A276" s="75"/>
      <c r="B276" s="33"/>
      <c r="C276" s="33"/>
      <c r="D276" s="33"/>
      <c r="E276" s="33"/>
      <c r="F276" s="38" t="s">
        <v>5102</v>
      </c>
      <c r="G276" s="75">
        <v>293</v>
      </c>
      <c r="H276" s="40"/>
      <c r="I276" s="40" t="e">
        <f>VLOOKUP(Table3[[#This Row],[RARC Code]],'New Rarc Code'!A215:B1136,2,0)</f>
        <v>#N/A</v>
      </c>
      <c r="J276" s="40"/>
    </row>
    <row r="277" spans="1:10" x14ac:dyDescent="0.25">
      <c r="A277" s="75"/>
      <c r="B277" s="33"/>
      <c r="C277" s="33"/>
      <c r="D277" s="33"/>
      <c r="E277" s="33"/>
      <c r="F277" s="32" t="s">
        <v>5103</v>
      </c>
      <c r="G277" s="75">
        <v>294</v>
      </c>
      <c r="H277" s="40"/>
      <c r="I277" s="40" t="e">
        <f>VLOOKUP(Table3[[#This Row],[RARC Code]],'New Rarc Code'!A216:B1137,2,0)</f>
        <v>#N/A</v>
      </c>
      <c r="J277" s="40"/>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75D5-DB0F-4FE6-A427-188F5F768458}">
  <dimension ref="A1:E926"/>
  <sheetViews>
    <sheetView topLeftCell="A902" zoomScale="130" zoomScaleNormal="130" workbookViewId="0">
      <selection activeCell="B926" sqref="B926"/>
    </sheetView>
  </sheetViews>
  <sheetFormatPr defaultRowHeight="15" x14ac:dyDescent="0.25"/>
  <cols>
    <col min="1" max="1" width="6.7109375" bestFit="1" customWidth="1"/>
    <col min="2" max="2" width="60.7109375" customWidth="1"/>
    <col min="3" max="3" width="7.5703125" bestFit="1" customWidth="1"/>
    <col min="4" max="4" width="40.7109375" customWidth="1"/>
  </cols>
  <sheetData>
    <row r="1" spans="1:5" ht="16.5" x14ac:dyDescent="0.25">
      <c r="A1" s="70" t="s">
        <v>2444</v>
      </c>
      <c r="B1" s="73" t="s">
        <v>4917</v>
      </c>
      <c r="C1" s="70" t="s">
        <v>3693</v>
      </c>
    </row>
    <row r="2" spans="1:5" x14ac:dyDescent="0.25">
      <c r="A2" s="71">
        <v>22</v>
      </c>
      <c r="B2" s="74" t="s">
        <v>6154</v>
      </c>
      <c r="C2" s="74" t="s">
        <v>4918</v>
      </c>
      <c r="E2" t="s">
        <v>6387</v>
      </c>
    </row>
    <row r="3" spans="1:5" x14ac:dyDescent="0.25">
      <c r="A3" s="71">
        <v>242</v>
      </c>
      <c r="B3" s="74" t="s">
        <v>4993</v>
      </c>
      <c r="C3" s="74" t="s">
        <v>4918</v>
      </c>
    </row>
    <row r="4" spans="1:5" x14ac:dyDescent="0.25">
      <c r="A4" s="71">
        <v>275</v>
      </c>
      <c r="B4" s="74" t="s">
        <v>165</v>
      </c>
      <c r="C4" s="74" t="s">
        <v>4918</v>
      </c>
    </row>
    <row r="5" spans="1:5" x14ac:dyDescent="0.25">
      <c r="A5" s="71" t="s">
        <v>181</v>
      </c>
      <c r="B5" s="74" t="s">
        <v>5146</v>
      </c>
      <c r="C5" s="74" t="s">
        <v>4918</v>
      </c>
    </row>
    <row r="6" spans="1:5" x14ac:dyDescent="0.25">
      <c r="A6" s="71" t="s">
        <v>196</v>
      </c>
      <c r="B6" s="74" t="s">
        <v>5147</v>
      </c>
      <c r="C6" s="74" t="s">
        <v>4918</v>
      </c>
    </row>
    <row r="7" spans="1:5" x14ac:dyDescent="0.25">
      <c r="A7" s="71" t="s">
        <v>5148</v>
      </c>
      <c r="B7" s="74" t="s">
        <v>5149</v>
      </c>
      <c r="C7" s="74" t="s">
        <v>4918</v>
      </c>
    </row>
    <row r="8" spans="1:5" x14ac:dyDescent="0.25">
      <c r="A8" s="71" t="s">
        <v>343</v>
      </c>
      <c r="B8" s="74" t="s">
        <v>5150</v>
      </c>
      <c r="C8" s="74" t="s">
        <v>4918</v>
      </c>
    </row>
    <row r="9" spans="1:5" x14ac:dyDescent="0.25">
      <c r="A9" s="71" t="s">
        <v>345</v>
      </c>
      <c r="B9" s="74" t="s">
        <v>5151</v>
      </c>
      <c r="C9" s="74" t="s">
        <v>4918</v>
      </c>
    </row>
    <row r="10" spans="1:5" x14ac:dyDescent="0.25">
      <c r="A10" s="71" t="s">
        <v>5152</v>
      </c>
      <c r="B10" s="74" t="s">
        <v>5153</v>
      </c>
      <c r="C10" s="74" t="s">
        <v>4918</v>
      </c>
    </row>
    <row r="11" spans="1:5" x14ac:dyDescent="0.25">
      <c r="A11" s="71" t="s">
        <v>351</v>
      </c>
      <c r="B11" s="74" t="s">
        <v>5154</v>
      </c>
      <c r="C11" s="74" t="s">
        <v>4918</v>
      </c>
    </row>
    <row r="12" spans="1:5" x14ac:dyDescent="0.25">
      <c r="A12" s="71" t="s">
        <v>5155</v>
      </c>
      <c r="B12" s="74" t="s">
        <v>5156</v>
      </c>
      <c r="C12" s="74" t="s">
        <v>4918</v>
      </c>
    </row>
    <row r="13" spans="1:5" x14ac:dyDescent="0.25">
      <c r="A13" s="71" t="s">
        <v>353</v>
      </c>
      <c r="B13" s="74" t="s">
        <v>5157</v>
      </c>
      <c r="C13" s="74" t="s">
        <v>4918</v>
      </c>
    </row>
    <row r="14" spans="1:5" x14ac:dyDescent="0.25">
      <c r="A14" s="71" t="s">
        <v>198</v>
      </c>
      <c r="B14" s="74" t="s">
        <v>5158</v>
      </c>
      <c r="C14" s="74" t="s">
        <v>4918</v>
      </c>
    </row>
    <row r="15" spans="1:5" x14ac:dyDescent="0.25">
      <c r="A15" s="71" t="s">
        <v>5159</v>
      </c>
      <c r="B15" s="74" t="s">
        <v>5160</v>
      </c>
      <c r="C15" s="74" t="s">
        <v>4918</v>
      </c>
    </row>
    <row r="16" spans="1:5" x14ac:dyDescent="0.25">
      <c r="A16" s="71" t="s">
        <v>355</v>
      </c>
      <c r="B16" s="74" t="s">
        <v>5161</v>
      </c>
      <c r="C16" s="74" t="s">
        <v>4918</v>
      </c>
    </row>
    <row r="17" spans="1:3" x14ac:dyDescent="0.25">
      <c r="A17" s="71" t="s">
        <v>357</v>
      </c>
      <c r="B17" s="74" t="s">
        <v>5162</v>
      </c>
      <c r="C17" s="74" t="s">
        <v>4918</v>
      </c>
    </row>
    <row r="18" spans="1:3" x14ac:dyDescent="0.25">
      <c r="A18" s="71" t="s">
        <v>359</v>
      </c>
      <c r="B18" s="74" t="s">
        <v>5163</v>
      </c>
      <c r="C18" s="74" t="s">
        <v>4918</v>
      </c>
    </row>
    <row r="19" spans="1:3" x14ac:dyDescent="0.25">
      <c r="A19" s="71" t="s">
        <v>361</v>
      </c>
      <c r="B19" s="74" t="s">
        <v>5164</v>
      </c>
      <c r="C19" s="74" t="s">
        <v>4918</v>
      </c>
    </row>
    <row r="20" spans="1:3" x14ac:dyDescent="0.25">
      <c r="A20" s="71" t="s">
        <v>363</v>
      </c>
      <c r="B20" s="74" t="s">
        <v>5165</v>
      </c>
      <c r="C20" s="74" t="s">
        <v>4918</v>
      </c>
    </row>
    <row r="21" spans="1:3" x14ac:dyDescent="0.25">
      <c r="A21" s="71" t="s">
        <v>365</v>
      </c>
      <c r="B21" s="74" t="s">
        <v>5166</v>
      </c>
      <c r="C21" s="74" t="s">
        <v>4918</v>
      </c>
    </row>
    <row r="22" spans="1:3" x14ac:dyDescent="0.25">
      <c r="A22" s="71" t="s">
        <v>5167</v>
      </c>
      <c r="B22" s="74" t="s">
        <v>5168</v>
      </c>
      <c r="C22" s="74" t="s">
        <v>4918</v>
      </c>
    </row>
    <row r="23" spans="1:3" x14ac:dyDescent="0.25">
      <c r="A23" s="71" t="s">
        <v>369</v>
      </c>
      <c r="B23" s="74" t="s">
        <v>5169</v>
      </c>
      <c r="C23" s="74" t="s">
        <v>4918</v>
      </c>
    </row>
    <row r="24" spans="1:3" x14ac:dyDescent="0.25">
      <c r="A24" s="71" t="s">
        <v>200</v>
      </c>
      <c r="B24" s="74" t="s">
        <v>5170</v>
      </c>
      <c r="C24" s="74" t="s">
        <v>4918</v>
      </c>
    </row>
    <row r="25" spans="1:3" x14ac:dyDescent="0.25">
      <c r="A25" s="71" t="s">
        <v>371</v>
      </c>
      <c r="B25" s="74" t="s">
        <v>5171</v>
      </c>
      <c r="C25" s="74" t="s">
        <v>4918</v>
      </c>
    </row>
    <row r="26" spans="1:3" x14ac:dyDescent="0.25">
      <c r="A26" s="71" t="s">
        <v>373</v>
      </c>
      <c r="B26" s="74" t="s">
        <v>5172</v>
      </c>
      <c r="C26" s="74" t="s">
        <v>4918</v>
      </c>
    </row>
    <row r="27" spans="1:3" x14ac:dyDescent="0.25">
      <c r="A27" s="71" t="s">
        <v>375</v>
      </c>
      <c r="B27" s="74" t="s">
        <v>5173</v>
      </c>
      <c r="C27" s="74" t="s">
        <v>4918</v>
      </c>
    </row>
    <row r="28" spans="1:3" x14ac:dyDescent="0.25">
      <c r="A28" s="71" t="s">
        <v>377</v>
      </c>
      <c r="B28" s="74" t="s">
        <v>5174</v>
      </c>
      <c r="C28" s="74" t="s">
        <v>4918</v>
      </c>
    </row>
    <row r="29" spans="1:3" x14ac:dyDescent="0.25">
      <c r="A29" s="71" t="s">
        <v>379</v>
      </c>
      <c r="B29" s="74" t="s">
        <v>5175</v>
      </c>
      <c r="C29" s="74" t="s">
        <v>4918</v>
      </c>
    </row>
    <row r="30" spans="1:3" x14ac:dyDescent="0.25">
      <c r="A30" s="71" t="s">
        <v>381</v>
      </c>
      <c r="B30" s="74" t="s">
        <v>5176</v>
      </c>
      <c r="C30" s="74" t="s">
        <v>4918</v>
      </c>
    </row>
    <row r="31" spans="1:3" x14ac:dyDescent="0.25">
      <c r="A31" s="71" t="s">
        <v>383</v>
      </c>
      <c r="B31" s="74" t="s">
        <v>5177</v>
      </c>
      <c r="C31" s="74" t="s">
        <v>4918</v>
      </c>
    </row>
    <row r="32" spans="1:3" x14ac:dyDescent="0.25">
      <c r="A32" s="71" t="s">
        <v>5178</v>
      </c>
      <c r="B32" s="74" t="s">
        <v>5179</v>
      </c>
      <c r="C32" s="74" t="s">
        <v>4918</v>
      </c>
    </row>
    <row r="33" spans="1:3" x14ac:dyDescent="0.25">
      <c r="A33" s="71" t="s">
        <v>385</v>
      </c>
      <c r="B33" s="74" t="s">
        <v>5180</v>
      </c>
      <c r="C33" s="74" t="s">
        <v>4918</v>
      </c>
    </row>
    <row r="34" spans="1:3" x14ac:dyDescent="0.25">
      <c r="A34" s="71" t="s">
        <v>202</v>
      </c>
      <c r="B34" s="74" t="s">
        <v>5181</v>
      </c>
      <c r="C34" s="74" t="s">
        <v>4918</v>
      </c>
    </row>
    <row r="35" spans="1:3" x14ac:dyDescent="0.25">
      <c r="A35" s="71" t="s">
        <v>387</v>
      </c>
      <c r="B35" s="74" t="s">
        <v>5182</v>
      </c>
      <c r="C35" s="74" t="s">
        <v>4918</v>
      </c>
    </row>
    <row r="36" spans="1:3" x14ac:dyDescent="0.25">
      <c r="A36" s="71" t="s">
        <v>389</v>
      </c>
      <c r="B36" s="74" t="s">
        <v>5183</v>
      </c>
      <c r="C36" s="74" t="s">
        <v>4918</v>
      </c>
    </row>
    <row r="37" spans="1:3" x14ac:dyDescent="0.25">
      <c r="A37" s="71" t="s">
        <v>393</v>
      </c>
      <c r="B37" s="74" t="s">
        <v>5184</v>
      </c>
      <c r="C37" s="74" t="s">
        <v>4918</v>
      </c>
    </row>
    <row r="38" spans="1:3" x14ac:dyDescent="0.25">
      <c r="A38" s="71" t="s">
        <v>395</v>
      </c>
      <c r="B38" s="74" t="s">
        <v>5185</v>
      </c>
      <c r="C38" s="74" t="s">
        <v>4918</v>
      </c>
    </row>
    <row r="39" spans="1:3" x14ac:dyDescent="0.25">
      <c r="A39" s="71" t="s">
        <v>397</v>
      </c>
      <c r="B39" s="74" t="s">
        <v>5186</v>
      </c>
      <c r="C39" s="74" t="s">
        <v>4918</v>
      </c>
    </row>
    <row r="40" spans="1:3" x14ac:dyDescent="0.25">
      <c r="A40" s="71" t="s">
        <v>399</v>
      </c>
      <c r="B40" s="74" t="s">
        <v>5187</v>
      </c>
      <c r="C40" s="74" t="s">
        <v>4918</v>
      </c>
    </row>
    <row r="41" spans="1:3" x14ac:dyDescent="0.25">
      <c r="A41" s="71" t="s">
        <v>401</v>
      </c>
      <c r="B41" s="74" t="s">
        <v>5188</v>
      </c>
      <c r="C41" s="74" t="s">
        <v>4918</v>
      </c>
    </row>
    <row r="42" spans="1:3" x14ac:dyDescent="0.25">
      <c r="A42" s="71" t="s">
        <v>403</v>
      </c>
      <c r="B42" s="74" t="s">
        <v>5189</v>
      </c>
      <c r="C42" s="74" t="s">
        <v>4918</v>
      </c>
    </row>
    <row r="43" spans="1:3" x14ac:dyDescent="0.25">
      <c r="A43" s="71" t="s">
        <v>405</v>
      </c>
      <c r="B43" s="74" t="s">
        <v>5190</v>
      </c>
      <c r="C43" s="74" t="s">
        <v>4918</v>
      </c>
    </row>
    <row r="44" spans="1:3" x14ac:dyDescent="0.25">
      <c r="A44" s="71" t="s">
        <v>204</v>
      </c>
      <c r="B44" s="74" t="s">
        <v>5191</v>
      </c>
      <c r="C44" s="74" t="s">
        <v>4918</v>
      </c>
    </row>
    <row r="45" spans="1:3" x14ac:dyDescent="0.25">
      <c r="A45" s="71" t="s">
        <v>5192</v>
      </c>
      <c r="B45" s="74" t="s">
        <v>5193</v>
      </c>
      <c r="C45" s="74" t="s">
        <v>4918</v>
      </c>
    </row>
    <row r="46" spans="1:3" x14ac:dyDescent="0.25">
      <c r="A46" s="71" t="s">
        <v>407</v>
      </c>
      <c r="B46" s="74" t="s">
        <v>5194</v>
      </c>
      <c r="C46" s="74" t="s">
        <v>4918</v>
      </c>
    </row>
    <row r="47" spans="1:3" x14ac:dyDescent="0.25">
      <c r="A47" s="71" t="s">
        <v>411</v>
      </c>
      <c r="B47" s="74" t="s">
        <v>5195</v>
      </c>
      <c r="C47" s="74" t="s">
        <v>4918</v>
      </c>
    </row>
    <row r="48" spans="1:3" x14ac:dyDescent="0.25">
      <c r="A48" s="71" t="s">
        <v>413</v>
      </c>
      <c r="B48" s="74" t="s">
        <v>5196</v>
      </c>
      <c r="C48" s="74" t="s">
        <v>4918</v>
      </c>
    </row>
    <row r="49" spans="1:3" x14ac:dyDescent="0.25">
      <c r="A49" s="71" t="s">
        <v>206</v>
      </c>
      <c r="B49" s="74" t="s">
        <v>5197</v>
      </c>
      <c r="C49" s="74" t="s">
        <v>4918</v>
      </c>
    </row>
    <row r="50" spans="1:3" x14ac:dyDescent="0.25">
      <c r="A50" s="71" t="s">
        <v>208</v>
      </c>
      <c r="B50" s="74" t="s">
        <v>5198</v>
      </c>
      <c r="C50" s="74" t="s">
        <v>4918</v>
      </c>
    </row>
    <row r="51" spans="1:3" x14ac:dyDescent="0.25">
      <c r="A51" s="71" t="s">
        <v>209</v>
      </c>
      <c r="B51" s="74" t="s">
        <v>5199</v>
      </c>
      <c r="C51" s="74" t="s">
        <v>4918</v>
      </c>
    </row>
    <row r="52" spans="1:3" x14ac:dyDescent="0.25">
      <c r="A52" s="71" t="s">
        <v>210</v>
      </c>
      <c r="B52" s="74" t="s">
        <v>5200</v>
      </c>
      <c r="C52" s="74" t="s">
        <v>4918</v>
      </c>
    </row>
    <row r="53" spans="1:3" x14ac:dyDescent="0.25">
      <c r="A53" s="71" t="s">
        <v>212</v>
      </c>
      <c r="B53" s="74" t="s">
        <v>5201</v>
      </c>
      <c r="C53" s="74" t="s">
        <v>4918</v>
      </c>
    </row>
    <row r="54" spans="1:3" x14ac:dyDescent="0.25">
      <c r="A54" s="71" t="s">
        <v>183</v>
      </c>
      <c r="B54" s="74" t="s">
        <v>5202</v>
      </c>
      <c r="C54" s="74" t="s">
        <v>4918</v>
      </c>
    </row>
    <row r="55" spans="1:3" x14ac:dyDescent="0.25">
      <c r="A55" s="71" t="s">
        <v>216</v>
      </c>
      <c r="B55" s="74" t="s">
        <v>5203</v>
      </c>
      <c r="C55" s="74" t="s">
        <v>4918</v>
      </c>
    </row>
    <row r="56" spans="1:3" x14ac:dyDescent="0.25">
      <c r="A56" s="71" t="s">
        <v>218</v>
      </c>
      <c r="B56" s="74" t="s">
        <v>5204</v>
      </c>
      <c r="C56" s="74" t="s">
        <v>4918</v>
      </c>
    </row>
    <row r="57" spans="1:3" x14ac:dyDescent="0.25">
      <c r="A57" s="71" t="s">
        <v>220</v>
      </c>
      <c r="B57" s="74" t="s">
        <v>5205</v>
      </c>
      <c r="C57" s="74" t="s">
        <v>4918</v>
      </c>
    </row>
    <row r="58" spans="1:3" x14ac:dyDescent="0.25">
      <c r="A58" s="71" t="s">
        <v>222</v>
      </c>
      <c r="B58" s="74" t="s">
        <v>5206</v>
      </c>
      <c r="C58" s="74" t="s">
        <v>4918</v>
      </c>
    </row>
    <row r="59" spans="1:3" x14ac:dyDescent="0.25">
      <c r="A59" s="71" t="s">
        <v>224</v>
      </c>
      <c r="B59" s="74" t="s">
        <v>5207</v>
      </c>
      <c r="C59" s="74" t="s">
        <v>4918</v>
      </c>
    </row>
    <row r="60" spans="1:3" x14ac:dyDescent="0.25">
      <c r="A60" s="71" t="s">
        <v>226</v>
      </c>
      <c r="B60" s="74" t="s">
        <v>227</v>
      </c>
      <c r="C60" s="74" t="s">
        <v>4918</v>
      </c>
    </row>
    <row r="61" spans="1:3" x14ac:dyDescent="0.25">
      <c r="A61" s="71" t="s">
        <v>228</v>
      </c>
      <c r="B61" s="74" t="s">
        <v>5208</v>
      </c>
      <c r="C61" s="74" t="s">
        <v>4918</v>
      </c>
    </row>
    <row r="62" spans="1:3" x14ac:dyDescent="0.25">
      <c r="A62" s="71" t="s">
        <v>229</v>
      </c>
      <c r="B62" s="74" t="s">
        <v>5209</v>
      </c>
      <c r="C62" s="74" t="s">
        <v>4918</v>
      </c>
    </row>
    <row r="63" spans="1:3" x14ac:dyDescent="0.25">
      <c r="A63" s="71" t="s">
        <v>231</v>
      </c>
      <c r="B63" s="74" t="s">
        <v>5210</v>
      </c>
      <c r="C63" s="74" t="s">
        <v>4918</v>
      </c>
    </row>
    <row r="64" spans="1:3" x14ac:dyDescent="0.25">
      <c r="A64" s="71" t="s">
        <v>185</v>
      </c>
      <c r="B64" s="74" t="s">
        <v>5211</v>
      </c>
      <c r="C64" s="74" t="s">
        <v>4918</v>
      </c>
    </row>
    <row r="65" spans="1:3" x14ac:dyDescent="0.25">
      <c r="A65" s="71" t="s">
        <v>233</v>
      </c>
      <c r="B65" s="74" t="s">
        <v>5212</v>
      </c>
      <c r="C65" s="74" t="s">
        <v>4918</v>
      </c>
    </row>
    <row r="66" spans="1:3" x14ac:dyDescent="0.25">
      <c r="A66" s="71" t="s">
        <v>235</v>
      </c>
      <c r="B66" s="74" t="s">
        <v>5213</v>
      </c>
      <c r="C66" s="74" t="s">
        <v>4918</v>
      </c>
    </row>
    <row r="67" spans="1:3" x14ac:dyDescent="0.25">
      <c r="A67" s="71" t="s">
        <v>5214</v>
      </c>
      <c r="B67" s="74" t="s">
        <v>5215</v>
      </c>
      <c r="C67" s="74" t="s">
        <v>4918</v>
      </c>
    </row>
    <row r="68" spans="1:3" x14ac:dyDescent="0.25">
      <c r="A68" s="71" t="s">
        <v>5216</v>
      </c>
      <c r="B68" s="74" t="s">
        <v>5217</v>
      </c>
      <c r="C68" s="74" t="s">
        <v>4918</v>
      </c>
    </row>
    <row r="69" spans="1:3" x14ac:dyDescent="0.25">
      <c r="A69" s="71" t="s">
        <v>238</v>
      </c>
      <c r="B69" s="74" t="s">
        <v>5218</v>
      </c>
      <c r="C69" s="74" t="s">
        <v>4918</v>
      </c>
    </row>
    <row r="70" spans="1:3" x14ac:dyDescent="0.25">
      <c r="A70" s="71" t="s">
        <v>240</v>
      </c>
      <c r="B70" s="74" t="s">
        <v>5219</v>
      </c>
      <c r="C70" s="74" t="s">
        <v>4918</v>
      </c>
    </row>
    <row r="71" spans="1:3" x14ac:dyDescent="0.25">
      <c r="A71" s="71" t="s">
        <v>242</v>
      </c>
      <c r="B71" s="74" t="s">
        <v>5220</v>
      </c>
      <c r="C71" s="74" t="s">
        <v>4918</v>
      </c>
    </row>
    <row r="72" spans="1:3" x14ac:dyDescent="0.25">
      <c r="A72" s="71" t="s">
        <v>243</v>
      </c>
      <c r="B72" s="74" t="s">
        <v>5221</v>
      </c>
      <c r="C72" s="74" t="s">
        <v>4918</v>
      </c>
    </row>
    <row r="73" spans="1:3" x14ac:dyDescent="0.25">
      <c r="A73" s="71" t="s">
        <v>187</v>
      </c>
      <c r="B73" s="74" t="s">
        <v>5222</v>
      </c>
      <c r="C73" s="74" t="s">
        <v>4918</v>
      </c>
    </row>
    <row r="74" spans="1:3" x14ac:dyDescent="0.25">
      <c r="A74" s="71" t="s">
        <v>244</v>
      </c>
      <c r="B74" s="74" t="s">
        <v>5223</v>
      </c>
      <c r="C74" s="74" t="s">
        <v>4918</v>
      </c>
    </row>
    <row r="75" spans="1:3" x14ac:dyDescent="0.25">
      <c r="A75" s="71" t="s">
        <v>246</v>
      </c>
      <c r="B75" s="74" t="s">
        <v>5224</v>
      </c>
      <c r="C75" s="74" t="s">
        <v>4918</v>
      </c>
    </row>
    <row r="76" spans="1:3" x14ac:dyDescent="0.25">
      <c r="A76" s="71" t="s">
        <v>5225</v>
      </c>
      <c r="B76" s="74" t="s">
        <v>5226</v>
      </c>
      <c r="C76" s="74" t="s">
        <v>4918</v>
      </c>
    </row>
    <row r="77" spans="1:3" x14ac:dyDescent="0.25">
      <c r="A77" s="71" t="s">
        <v>250</v>
      </c>
      <c r="B77" s="74" t="s">
        <v>5227</v>
      </c>
      <c r="C77" s="74" t="s">
        <v>4918</v>
      </c>
    </row>
    <row r="78" spans="1:3" x14ac:dyDescent="0.25">
      <c r="A78" s="71" t="s">
        <v>252</v>
      </c>
      <c r="B78" s="74" t="s">
        <v>5228</v>
      </c>
      <c r="C78" s="74" t="s">
        <v>4918</v>
      </c>
    </row>
    <row r="79" spans="1:3" x14ac:dyDescent="0.25">
      <c r="A79" s="71" t="s">
        <v>254</v>
      </c>
      <c r="B79" s="74" t="s">
        <v>5229</v>
      </c>
      <c r="C79" s="74" t="s">
        <v>4918</v>
      </c>
    </row>
    <row r="80" spans="1:3" x14ac:dyDescent="0.25">
      <c r="A80" s="71" t="s">
        <v>256</v>
      </c>
      <c r="B80" s="74" t="s">
        <v>5230</v>
      </c>
      <c r="C80" s="74" t="s">
        <v>4918</v>
      </c>
    </row>
    <row r="81" spans="1:3" x14ac:dyDescent="0.25">
      <c r="A81" s="71" t="s">
        <v>5231</v>
      </c>
      <c r="B81" s="74" t="s">
        <v>5232</v>
      </c>
      <c r="C81" s="74" t="s">
        <v>4918</v>
      </c>
    </row>
    <row r="82" spans="1:3" x14ac:dyDescent="0.25">
      <c r="A82" s="71" t="s">
        <v>258</v>
      </c>
      <c r="B82" s="74" t="s">
        <v>5233</v>
      </c>
      <c r="C82" s="74" t="s">
        <v>4918</v>
      </c>
    </row>
    <row r="83" spans="1:3" x14ac:dyDescent="0.25">
      <c r="A83" s="71" t="s">
        <v>260</v>
      </c>
      <c r="B83" s="74" t="s">
        <v>5234</v>
      </c>
      <c r="C83" s="74" t="s">
        <v>4918</v>
      </c>
    </row>
    <row r="84" spans="1:3" x14ac:dyDescent="0.25">
      <c r="A84" s="71" t="s">
        <v>262</v>
      </c>
      <c r="B84" s="74" t="s">
        <v>5235</v>
      </c>
      <c r="C84" s="74" t="s">
        <v>4918</v>
      </c>
    </row>
    <row r="85" spans="1:3" x14ac:dyDescent="0.25">
      <c r="A85" s="71" t="s">
        <v>264</v>
      </c>
      <c r="B85" s="74" t="s">
        <v>5236</v>
      </c>
      <c r="C85" s="74" t="s">
        <v>4918</v>
      </c>
    </row>
    <row r="86" spans="1:3" x14ac:dyDescent="0.25">
      <c r="A86" s="71" t="s">
        <v>266</v>
      </c>
      <c r="B86" s="74" t="s">
        <v>5237</v>
      </c>
      <c r="C86" s="74" t="s">
        <v>4918</v>
      </c>
    </row>
    <row r="87" spans="1:3" x14ac:dyDescent="0.25">
      <c r="A87" s="71" t="s">
        <v>268</v>
      </c>
      <c r="B87" s="74" t="s">
        <v>5238</v>
      </c>
      <c r="C87" s="74" t="s">
        <v>4918</v>
      </c>
    </row>
    <row r="88" spans="1:3" x14ac:dyDescent="0.25">
      <c r="A88" s="71" t="s">
        <v>5239</v>
      </c>
      <c r="B88" s="74" t="s">
        <v>5240</v>
      </c>
      <c r="C88" s="74" t="s">
        <v>4918</v>
      </c>
    </row>
    <row r="89" spans="1:3" x14ac:dyDescent="0.25">
      <c r="A89" s="71" t="s">
        <v>5241</v>
      </c>
      <c r="B89" s="74" t="s">
        <v>5242</v>
      </c>
      <c r="C89" s="74" t="s">
        <v>4918</v>
      </c>
    </row>
    <row r="90" spans="1:3" x14ac:dyDescent="0.25">
      <c r="A90" s="71" t="s">
        <v>274</v>
      </c>
      <c r="B90" s="74" t="s">
        <v>5243</v>
      </c>
      <c r="C90" s="74" t="s">
        <v>4918</v>
      </c>
    </row>
    <row r="91" spans="1:3" x14ac:dyDescent="0.25">
      <c r="A91" s="71" t="s">
        <v>190</v>
      </c>
      <c r="B91" s="74" t="s">
        <v>5244</v>
      </c>
      <c r="C91" s="74" t="s">
        <v>4918</v>
      </c>
    </row>
    <row r="92" spans="1:3" x14ac:dyDescent="0.25">
      <c r="A92" s="71" t="s">
        <v>276</v>
      </c>
      <c r="B92" s="74" t="s">
        <v>5245</v>
      </c>
      <c r="C92" s="74" t="s">
        <v>4918</v>
      </c>
    </row>
    <row r="93" spans="1:3" x14ac:dyDescent="0.25">
      <c r="A93" s="71" t="s">
        <v>278</v>
      </c>
      <c r="B93" s="74" t="s">
        <v>5246</v>
      </c>
      <c r="C93" s="74" t="s">
        <v>4918</v>
      </c>
    </row>
    <row r="94" spans="1:3" x14ac:dyDescent="0.25">
      <c r="A94" s="71" t="s">
        <v>280</v>
      </c>
      <c r="B94" s="74" t="s">
        <v>5247</v>
      </c>
      <c r="C94" s="74" t="s">
        <v>4918</v>
      </c>
    </row>
    <row r="95" spans="1:3" x14ac:dyDescent="0.25">
      <c r="A95" s="71" t="s">
        <v>5248</v>
      </c>
      <c r="B95" s="74" t="s">
        <v>5249</v>
      </c>
      <c r="C95" s="74" t="s">
        <v>4918</v>
      </c>
    </row>
    <row r="96" spans="1:3" x14ac:dyDescent="0.25">
      <c r="A96" s="71" t="s">
        <v>282</v>
      </c>
      <c r="B96" s="74" t="s">
        <v>5250</v>
      </c>
      <c r="C96" s="74" t="s">
        <v>4918</v>
      </c>
    </row>
    <row r="97" spans="1:3" x14ac:dyDescent="0.25">
      <c r="A97" s="71" t="s">
        <v>284</v>
      </c>
      <c r="B97" s="74" t="s">
        <v>5251</v>
      </c>
      <c r="C97" s="74" t="s">
        <v>4918</v>
      </c>
    </row>
    <row r="98" spans="1:3" x14ac:dyDescent="0.25">
      <c r="A98" s="71" t="s">
        <v>286</v>
      </c>
      <c r="B98" s="74" t="s">
        <v>5252</v>
      </c>
      <c r="C98" s="74" t="s">
        <v>4918</v>
      </c>
    </row>
    <row r="99" spans="1:3" x14ac:dyDescent="0.25">
      <c r="A99" s="71" t="s">
        <v>288</v>
      </c>
      <c r="B99" s="74" t="s">
        <v>5253</v>
      </c>
      <c r="C99" s="74" t="s">
        <v>4918</v>
      </c>
    </row>
    <row r="100" spans="1:3" x14ac:dyDescent="0.25">
      <c r="A100" s="71" t="s">
        <v>5254</v>
      </c>
      <c r="B100" s="74" t="s">
        <v>5255</v>
      </c>
      <c r="C100" s="74" t="s">
        <v>4918</v>
      </c>
    </row>
    <row r="101" spans="1:3" x14ac:dyDescent="0.25">
      <c r="A101" s="71" t="s">
        <v>290</v>
      </c>
      <c r="B101" s="74" t="s">
        <v>5256</v>
      </c>
      <c r="C101" s="74" t="s">
        <v>4918</v>
      </c>
    </row>
    <row r="102" spans="1:3" x14ac:dyDescent="0.25">
      <c r="A102" s="71" t="s">
        <v>191</v>
      </c>
      <c r="B102" s="74" t="s">
        <v>5257</v>
      </c>
      <c r="C102" s="74" t="s">
        <v>4918</v>
      </c>
    </row>
    <row r="103" spans="1:3" x14ac:dyDescent="0.25">
      <c r="A103" s="71" t="s">
        <v>292</v>
      </c>
      <c r="B103" s="74" t="s">
        <v>5258</v>
      </c>
      <c r="C103" s="74" t="s">
        <v>4918</v>
      </c>
    </row>
    <row r="104" spans="1:3" x14ac:dyDescent="0.25">
      <c r="A104" s="71" t="s">
        <v>293</v>
      </c>
      <c r="B104" s="74" t="s">
        <v>5259</v>
      </c>
      <c r="C104" s="74" t="s">
        <v>4918</v>
      </c>
    </row>
    <row r="105" spans="1:3" x14ac:dyDescent="0.25">
      <c r="A105" s="71" t="s">
        <v>297</v>
      </c>
      <c r="B105" s="74" t="s">
        <v>5260</v>
      </c>
      <c r="C105" s="74" t="s">
        <v>4918</v>
      </c>
    </row>
    <row r="106" spans="1:3" x14ac:dyDescent="0.25">
      <c r="A106" s="71" t="s">
        <v>299</v>
      </c>
      <c r="B106" s="74" t="s">
        <v>5261</v>
      </c>
      <c r="C106" s="74" t="s">
        <v>4918</v>
      </c>
    </row>
    <row r="107" spans="1:3" x14ac:dyDescent="0.25">
      <c r="A107" s="71" t="s">
        <v>301</v>
      </c>
      <c r="B107" s="74" t="s">
        <v>5262</v>
      </c>
      <c r="C107" s="74" t="s">
        <v>4918</v>
      </c>
    </row>
    <row r="108" spans="1:3" x14ac:dyDescent="0.25">
      <c r="A108" s="71" t="s">
        <v>5263</v>
      </c>
      <c r="B108" s="74" t="s">
        <v>5264</v>
      </c>
      <c r="C108" s="74" t="s">
        <v>4918</v>
      </c>
    </row>
    <row r="109" spans="1:3" x14ac:dyDescent="0.25">
      <c r="A109" s="71" t="s">
        <v>305</v>
      </c>
      <c r="B109" s="74" t="s">
        <v>5265</v>
      </c>
      <c r="C109" s="74" t="s">
        <v>4918</v>
      </c>
    </row>
    <row r="110" spans="1:3" x14ac:dyDescent="0.25">
      <c r="A110" s="71" t="s">
        <v>307</v>
      </c>
      <c r="B110" s="74" t="s">
        <v>5266</v>
      </c>
      <c r="C110" s="74" t="s">
        <v>4918</v>
      </c>
    </row>
    <row r="111" spans="1:3" x14ac:dyDescent="0.25">
      <c r="A111" s="71" t="s">
        <v>309</v>
      </c>
      <c r="B111" s="74" t="s">
        <v>5267</v>
      </c>
      <c r="C111" s="74" t="s">
        <v>4918</v>
      </c>
    </row>
    <row r="112" spans="1:3" x14ac:dyDescent="0.25">
      <c r="A112" s="71" t="s">
        <v>311</v>
      </c>
      <c r="B112" s="74" t="s">
        <v>5268</v>
      </c>
      <c r="C112" s="74" t="s">
        <v>4918</v>
      </c>
    </row>
    <row r="113" spans="1:3" x14ac:dyDescent="0.25">
      <c r="A113" s="71" t="s">
        <v>313</v>
      </c>
      <c r="B113" s="74" t="s">
        <v>5269</v>
      </c>
      <c r="C113" s="74" t="s">
        <v>4918</v>
      </c>
    </row>
    <row r="114" spans="1:3" x14ac:dyDescent="0.25">
      <c r="A114" s="71" t="s">
        <v>315</v>
      </c>
      <c r="B114" s="74" t="s">
        <v>5270</v>
      </c>
      <c r="C114" s="74" t="s">
        <v>4918</v>
      </c>
    </row>
    <row r="115" spans="1:3" x14ac:dyDescent="0.25">
      <c r="A115" s="71" t="s">
        <v>317</v>
      </c>
      <c r="B115" s="74" t="s">
        <v>5271</v>
      </c>
      <c r="C115" s="74" t="s">
        <v>4918</v>
      </c>
    </row>
    <row r="116" spans="1:3" x14ac:dyDescent="0.25">
      <c r="A116" s="71" t="s">
        <v>319</v>
      </c>
      <c r="B116" s="74" t="s">
        <v>5272</v>
      </c>
      <c r="C116" s="74" t="s">
        <v>4918</v>
      </c>
    </row>
    <row r="117" spans="1:3" x14ac:dyDescent="0.25">
      <c r="A117" s="71" t="s">
        <v>321</v>
      </c>
      <c r="B117" s="74" t="s">
        <v>5273</v>
      </c>
      <c r="C117" s="74" t="s">
        <v>4918</v>
      </c>
    </row>
    <row r="118" spans="1:3" x14ac:dyDescent="0.25">
      <c r="A118" s="71" t="s">
        <v>5274</v>
      </c>
      <c r="B118" s="74" t="s">
        <v>5275</v>
      </c>
      <c r="C118" s="74" t="s">
        <v>4918</v>
      </c>
    </row>
    <row r="119" spans="1:3" x14ac:dyDescent="0.25">
      <c r="A119" s="71" t="s">
        <v>323</v>
      </c>
      <c r="B119" s="74" t="s">
        <v>5276</v>
      </c>
      <c r="C119" s="74" t="s">
        <v>4918</v>
      </c>
    </row>
    <row r="120" spans="1:3" x14ac:dyDescent="0.25">
      <c r="A120" s="71" t="s">
        <v>195</v>
      </c>
      <c r="B120" s="74" t="s">
        <v>5277</v>
      </c>
      <c r="C120" s="74" t="s">
        <v>4918</v>
      </c>
    </row>
    <row r="121" spans="1:3" x14ac:dyDescent="0.25">
      <c r="A121" s="71" t="s">
        <v>325</v>
      </c>
      <c r="B121" s="74" t="s">
        <v>5278</v>
      </c>
      <c r="C121" s="74" t="s">
        <v>4918</v>
      </c>
    </row>
    <row r="122" spans="1:3" x14ac:dyDescent="0.25">
      <c r="A122" s="71" t="s">
        <v>327</v>
      </c>
      <c r="B122" s="74" t="s">
        <v>5279</v>
      </c>
      <c r="C122" s="74" t="s">
        <v>4918</v>
      </c>
    </row>
    <row r="123" spans="1:3" x14ac:dyDescent="0.25">
      <c r="A123" s="71" t="s">
        <v>5280</v>
      </c>
      <c r="B123" s="74" t="s">
        <v>5281</v>
      </c>
      <c r="C123" s="74" t="s">
        <v>4918</v>
      </c>
    </row>
    <row r="124" spans="1:3" x14ac:dyDescent="0.25">
      <c r="A124" s="71" t="s">
        <v>329</v>
      </c>
      <c r="B124" s="74" t="s">
        <v>330</v>
      </c>
      <c r="C124" s="74" t="s">
        <v>4918</v>
      </c>
    </row>
    <row r="125" spans="1:3" x14ac:dyDescent="0.25">
      <c r="A125" s="71" t="s">
        <v>331</v>
      </c>
      <c r="B125" s="74" t="s">
        <v>332</v>
      </c>
      <c r="C125" s="74" t="s">
        <v>4918</v>
      </c>
    </row>
    <row r="126" spans="1:3" x14ac:dyDescent="0.25">
      <c r="A126" s="71" t="s">
        <v>333</v>
      </c>
      <c r="B126" s="74" t="s">
        <v>5282</v>
      </c>
      <c r="C126" s="74" t="s">
        <v>4918</v>
      </c>
    </row>
    <row r="127" spans="1:3" x14ac:dyDescent="0.25">
      <c r="A127" s="71" t="s">
        <v>335</v>
      </c>
      <c r="B127" s="74" t="s">
        <v>5283</v>
      </c>
      <c r="C127" s="74" t="s">
        <v>4918</v>
      </c>
    </row>
    <row r="128" spans="1:3" x14ac:dyDescent="0.25">
      <c r="A128" s="71" t="s">
        <v>337</v>
      </c>
      <c r="B128" s="74" t="s">
        <v>338</v>
      </c>
      <c r="C128" s="74" t="s">
        <v>4918</v>
      </c>
    </row>
    <row r="129" spans="1:3" x14ac:dyDescent="0.25">
      <c r="A129" s="71" t="s">
        <v>5284</v>
      </c>
      <c r="B129" s="74" t="s">
        <v>5285</v>
      </c>
      <c r="C129" s="74" t="s">
        <v>4918</v>
      </c>
    </row>
    <row r="130" spans="1:3" x14ac:dyDescent="0.25">
      <c r="A130" s="71" t="s">
        <v>339</v>
      </c>
      <c r="B130" s="74" t="s">
        <v>5286</v>
      </c>
      <c r="C130" s="74" t="s">
        <v>4918</v>
      </c>
    </row>
    <row r="131" spans="1:3" x14ac:dyDescent="0.25">
      <c r="A131" s="71" t="s">
        <v>415</v>
      </c>
      <c r="B131" s="74" t="s">
        <v>5287</v>
      </c>
      <c r="C131" s="74" t="s">
        <v>4918</v>
      </c>
    </row>
    <row r="132" spans="1:3" x14ac:dyDescent="0.25">
      <c r="A132" s="71" t="s">
        <v>416</v>
      </c>
      <c r="B132" s="74" t="s">
        <v>5288</v>
      </c>
      <c r="C132" s="74" t="s">
        <v>4918</v>
      </c>
    </row>
    <row r="133" spans="1:3" x14ac:dyDescent="0.25">
      <c r="A133" s="71" t="s">
        <v>417</v>
      </c>
      <c r="B133" s="74" t="s">
        <v>418</v>
      </c>
      <c r="C133" s="74" t="s">
        <v>4918</v>
      </c>
    </row>
    <row r="134" spans="1:3" x14ac:dyDescent="0.25">
      <c r="A134" s="71" t="s">
        <v>419</v>
      </c>
      <c r="B134" s="74" t="s">
        <v>5289</v>
      </c>
      <c r="C134" s="74" t="s">
        <v>4918</v>
      </c>
    </row>
    <row r="135" spans="1:3" x14ac:dyDescent="0.25">
      <c r="A135" s="71" t="s">
        <v>420</v>
      </c>
      <c r="B135" s="74" t="s">
        <v>5290</v>
      </c>
      <c r="C135" s="74" t="s">
        <v>4918</v>
      </c>
    </row>
    <row r="136" spans="1:3" x14ac:dyDescent="0.25">
      <c r="A136" s="71" t="s">
        <v>421</v>
      </c>
      <c r="B136" s="74" t="s">
        <v>5291</v>
      </c>
      <c r="C136" s="74" t="s">
        <v>4918</v>
      </c>
    </row>
    <row r="137" spans="1:3" x14ac:dyDescent="0.25">
      <c r="A137" s="71" t="s">
        <v>422</v>
      </c>
      <c r="B137" s="74" t="s">
        <v>5292</v>
      </c>
      <c r="C137" s="74" t="s">
        <v>4918</v>
      </c>
    </row>
    <row r="138" spans="1:3" x14ac:dyDescent="0.25">
      <c r="A138" s="71" t="s">
        <v>557</v>
      </c>
      <c r="B138" s="74" t="s">
        <v>5293</v>
      </c>
      <c r="C138" s="74" t="s">
        <v>4918</v>
      </c>
    </row>
    <row r="139" spans="1:3" x14ac:dyDescent="0.25">
      <c r="A139" s="71" t="s">
        <v>5294</v>
      </c>
      <c r="B139" s="74" t="s">
        <v>5295</v>
      </c>
      <c r="C139" s="74" t="s">
        <v>4918</v>
      </c>
    </row>
    <row r="140" spans="1:3" x14ac:dyDescent="0.25">
      <c r="A140" s="71" t="s">
        <v>559</v>
      </c>
      <c r="B140" s="74" t="s">
        <v>5296</v>
      </c>
      <c r="C140" s="74" t="s">
        <v>4918</v>
      </c>
    </row>
    <row r="141" spans="1:3" x14ac:dyDescent="0.25">
      <c r="A141" s="71" t="s">
        <v>5297</v>
      </c>
      <c r="B141" s="74" t="s">
        <v>5298</v>
      </c>
      <c r="C141" s="74" t="s">
        <v>4918</v>
      </c>
    </row>
    <row r="142" spans="1:3" x14ac:dyDescent="0.25">
      <c r="A142" s="71" t="s">
        <v>561</v>
      </c>
      <c r="B142" s="74" t="s">
        <v>5299</v>
      </c>
      <c r="C142" s="74" t="s">
        <v>4918</v>
      </c>
    </row>
    <row r="143" spans="1:3" x14ac:dyDescent="0.25">
      <c r="A143" s="71" t="s">
        <v>563</v>
      </c>
      <c r="B143" s="74" t="s">
        <v>5300</v>
      </c>
      <c r="C143" s="74" t="s">
        <v>4918</v>
      </c>
    </row>
    <row r="144" spans="1:3" x14ac:dyDescent="0.25">
      <c r="A144" s="71" t="s">
        <v>565</v>
      </c>
      <c r="B144" s="74" t="s">
        <v>5301</v>
      </c>
      <c r="C144" s="74" t="s">
        <v>4918</v>
      </c>
    </row>
    <row r="145" spans="1:3" x14ac:dyDescent="0.25">
      <c r="A145" s="71" t="s">
        <v>571</v>
      </c>
      <c r="B145" s="74" t="s">
        <v>5302</v>
      </c>
      <c r="C145" s="74" t="s">
        <v>4918</v>
      </c>
    </row>
    <row r="146" spans="1:3" x14ac:dyDescent="0.25">
      <c r="A146" s="71" t="s">
        <v>573</v>
      </c>
      <c r="B146" s="74" t="s">
        <v>5303</v>
      </c>
      <c r="C146" s="74" t="s">
        <v>4918</v>
      </c>
    </row>
    <row r="147" spans="1:3" x14ac:dyDescent="0.25">
      <c r="A147" s="71" t="s">
        <v>575</v>
      </c>
      <c r="B147" s="74" t="s">
        <v>5304</v>
      </c>
      <c r="C147" s="74" t="s">
        <v>4918</v>
      </c>
    </row>
    <row r="148" spans="1:3" x14ac:dyDescent="0.25">
      <c r="A148" s="71" t="s">
        <v>577</v>
      </c>
      <c r="B148" s="74" t="s">
        <v>5305</v>
      </c>
      <c r="C148" s="74" t="s">
        <v>4918</v>
      </c>
    </row>
    <row r="149" spans="1:3" x14ac:dyDescent="0.25">
      <c r="A149" s="71" t="s">
        <v>579</v>
      </c>
      <c r="B149" s="74" t="s">
        <v>5306</v>
      </c>
      <c r="C149" s="74" t="s">
        <v>4918</v>
      </c>
    </row>
    <row r="150" spans="1:3" x14ac:dyDescent="0.25">
      <c r="A150" s="71" t="s">
        <v>581</v>
      </c>
      <c r="B150" s="74" t="s">
        <v>5307</v>
      </c>
      <c r="C150" s="74" t="s">
        <v>4918</v>
      </c>
    </row>
    <row r="151" spans="1:3" x14ac:dyDescent="0.25">
      <c r="A151" s="71" t="s">
        <v>583</v>
      </c>
      <c r="B151" s="74" t="s">
        <v>5308</v>
      </c>
      <c r="C151" s="74" t="s">
        <v>4918</v>
      </c>
    </row>
    <row r="152" spans="1:3" x14ac:dyDescent="0.25">
      <c r="A152" s="71" t="s">
        <v>585</v>
      </c>
      <c r="B152" s="74" t="s">
        <v>5309</v>
      </c>
      <c r="C152" s="74" t="s">
        <v>4918</v>
      </c>
    </row>
    <row r="153" spans="1:3" x14ac:dyDescent="0.25">
      <c r="A153" s="71" t="s">
        <v>5310</v>
      </c>
      <c r="B153" s="74" t="s">
        <v>5311</v>
      </c>
      <c r="C153" s="74" t="s">
        <v>4918</v>
      </c>
    </row>
    <row r="154" spans="1:3" x14ac:dyDescent="0.25">
      <c r="A154" s="71" t="s">
        <v>423</v>
      </c>
      <c r="B154" s="74" t="s">
        <v>5312</v>
      </c>
      <c r="C154" s="74" t="s">
        <v>4918</v>
      </c>
    </row>
    <row r="155" spans="1:3" x14ac:dyDescent="0.25">
      <c r="A155" s="71" t="s">
        <v>588</v>
      </c>
      <c r="B155" s="74" t="s">
        <v>5313</v>
      </c>
      <c r="C155" s="74" t="s">
        <v>4918</v>
      </c>
    </row>
    <row r="156" spans="1:3" x14ac:dyDescent="0.25">
      <c r="A156" s="71" t="s">
        <v>590</v>
      </c>
      <c r="B156" s="74" t="s">
        <v>5314</v>
      </c>
      <c r="C156" s="74" t="s">
        <v>4918</v>
      </c>
    </row>
    <row r="157" spans="1:3" x14ac:dyDescent="0.25">
      <c r="A157" s="71" t="s">
        <v>594</v>
      </c>
      <c r="B157" s="74" t="s">
        <v>5315</v>
      </c>
      <c r="C157" s="74" t="s">
        <v>4918</v>
      </c>
    </row>
    <row r="158" spans="1:3" x14ac:dyDescent="0.25">
      <c r="A158" s="71" t="s">
        <v>5316</v>
      </c>
      <c r="B158" s="74" t="s">
        <v>5317</v>
      </c>
      <c r="C158" s="74" t="s">
        <v>4918</v>
      </c>
    </row>
    <row r="159" spans="1:3" x14ac:dyDescent="0.25">
      <c r="A159" s="71" t="s">
        <v>600</v>
      </c>
      <c r="B159" s="74" t="s">
        <v>5318</v>
      </c>
      <c r="C159" s="74" t="s">
        <v>4918</v>
      </c>
    </row>
    <row r="160" spans="1:3" x14ac:dyDescent="0.25">
      <c r="A160" s="71" t="s">
        <v>427</v>
      </c>
      <c r="B160" s="74" t="s">
        <v>5319</v>
      </c>
      <c r="C160" s="74" t="s">
        <v>4918</v>
      </c>
    </row>
    <row r="161" spans="1:3" x14ac:dyDescent="0.25">
      <c r="A161" s="71" t="s">
        <v>432</v>
      </c>
      <c r="B161" s="74" t="s">
        <v>5320</v>
      </c>
      <c r="C161" s="74" t="s">
        <v>4918</v>
      </c>
    </row>
    <row r="162" spans="1:3" x14ac:dyDescent="0.25">
      <c r="A162" s="71" t="s">
        <v>433</v>
      </c>
      <c r="B162" s="74" t="s">
        <v>5321</v>
      </c>
      <c r="C162" s="74" t="s">
        <v>4918</v>
      </c>
    </row>
    <row r="163" spans="1:3" x14ac:dyDescent="0.25">
      <c r="A163" s="71" t="s">
        <v>434</v>
      </c>
      <c r="B163" s="74" t="s">
        <v>5322</v>
      </c>
      <c r="C163" s="74" t="s">
        <v>4918</v>
      </c>
    </row>
    <row r="164" spans="1:3" x14ac:dyDescent="0.25">
      <c r="A164" s="71" t="s">
        <v>436</v>
      </c>
      <c r="B164" s="74" t="s">
        <v>5323</v>
      </c>
      <c r="C164" s="74" t="s">
        <v>4918</v>
      </c>
    </row>
    <row r="165" spans="1:3" x14ac:dyDescent="0.25">
      <c r="A165" s="71" t="s">
        <v>438</v>
      </c>
      <c r="B165" s="74" t="s">
        <v>5324</v>
      </c>
      <c r="C165" s="74" t="s">
        <v>4918</v>
      </c>
    </row>
    <row r="166" spans="1:3" x14ac:dyDescent="0.25">
      <c r="A166" s="71" t="s">
        <v>440</v>
      </c>
      <c r="B166" s="74" t="s">
        <v>5325</v>
      </c>
      <c r="C166" s="74" t="s">
        <v>4918</v>
      </c>
    </row>
    <row r="167" spans="1:3" x14ac:dyDescent="0.25">
      <c r="A167" s="71" t="s">
        <v>442</v>
      </c>
      <c r="B167" s="74" t="s">
        <v>5326</v>
      </c>
      <c r="C167" s="74" t="s">
        <v>4918</v>
      </c>
    </row>
    <row r="168" spans="1:3" x14ac:dyDescent="0.25">
      <c r="A168" s="71" t="s">
        <v>444</v>
      </c>
      <c r="B168" s="74" t="s">
        <v>5327</v>
      </c>
      <c r="C168" s="74" t="s">
        <v>4918</v>
      </c>
    </row>
    <row r="169" spans="1:3" x14ac:dyDescent="0.25">
      <c r="A169" s="71" t="s">
        <v>446</v>
      </c>
      <c r="B169" s="74" t="s">
        <v>5328</v>
      </c>
      <c r="C169" s="74" t="s">
        <v>4918</v>
      </c>
    </row>
    <row r="170" spans="1:3" x14ac:dyDescent="0.25">
      <c r="A170" s="71" t="s">
        <v>450</v>
      </c>
      <c r="B170" s="74" t="s">
        <v>5329</v>
      </c>
      <c r="C170" s="74" t="s">
        <v>4918</v>
      </c>
    </row>
    <row r="171" spans="1:3" x14ac:dyDescent="0.25">
      <c r="A171" s="71" t="s">
        <v>452</v>
      </c>
      <c r="B171" s="74" t="s">
        <v>5330</v>
      </c>
      <c r="C171" s="74" t="s">
        <v>4918</v>
      </c>
    </row>
    <row r="172" spans="1:3" x14ac:dyDescent="0.25">
      <c r="A172" s="71" t="s">
        <v>454</v>
      </c>
      <c r="B172" s="74" t="s">
        <v>5331</v>
      </c>
      <c r="C172" s="74" t="s">
        <v>4918</v>
      </c>
    </row>
    <row r="173" spans="1:3" x14ac:dyDescent="0.25">
      <c r="A173" s="71" t="s">
        <v>456</v>
      </c>
      <c r="B173" s="74" t="s">
        <v>5332</v>
      </c>
      <c r="C173" s="74" t="s">
        <v>4918</v>
      </c>
    </row>
    <row r="174" spans="1:3" x14ac:dyDescent="0.25">
      <c r="A174" s="71" t="s">
        <v>458</v>
      </c>
      <c r="B174" s="74" t="s">
        <v>5333</v>
      </c>
      <c r="C174" s="74" t="s">
        <v>4918</v>
      </c>
    </row>
    <row r="175" spans="1:3" x14ac:dyDescent="0.25">
      <c r="A175" s="71" t="s">
        <v>460</v>
      </c>
      <c r="B175" s="74" t="s">
        <v>5334</v>
      </c>
      <c r="C175" s="74" t="s">
        <v>4918</v>
      </c>
    </row>
    <row r="176" spans="1:3" x14ac:dyDescent="0.25">
      <c r="A176" s="71" t="s">
        <v>462</v>
      </c>
      <c r="B176" s="74" t="s">
        <v>5335</v>
      </c>
      <c r="C176" s="74" t="s">
        <v>4918</v>
      </c>
    </row>
    <row r="177" spans="1:3" x14ac:dyDescent="0.25">
      <c r="A177" s="71" t="s">
        <v>464</v>
      </c>
      <c r="B177" s="74" t="s">
        <v>5336</v>
      </c>
      <c r="C177" s="74" t="s">
        <v>4918</v>
      </c>
    </row>
    <row r="178" spans="1:3" x14ac:dyDescent="0.25">
      <c r="A178" s="71" t="s">
        <v>5337</v>
      </c>
      <c r="B178" s="74" t="s">
        <v>5338</v>
      </c>
      <c r="C178" s="74" t="s">
        <v>4918</v>
      </c>
    </row>
    <row r="179" spans="1:3" x14ac:dyDescent="0.25">
      <c r="A179" s="71" t="s">
        <v>466</v>
      </c>
      <c r="B179" s="74" t="s">
        <v>5339</v>
      </c>
      <c r="C179" s="74" t="s">
        <v>4918</v>
      </c>
    </row>
    <row r="180" spans="1:3" x14ac:dyDescent="0.25">
      <c r="A180" s="71" t="s">
        <v>468</v>
      </c>
      <c r="B180" s="74" t="s">
        <v>5340</v>
      </c>
      <c r="C180" s="74" t="s">
        <v>4918</v>
      </c>
    </row>
    <row r="181" spans="1:3" x14ac:dyDescent="0.25">
      <c r="A181" s="71" t="s">
        <v>472</v>
      </c>
      <c r="B181" s="74" t="s">
        <v>5341</v>
      </c>
      <c r="C181" s="74" t="s">
        <v>4918</v>
      </c>
    </row>
    <row r="182" spans="1:3" x14ac:dyDescent="0.25">
      <c r="A182" s="71" t="s">
        <v>474</v>
      </c>
      <c r="B182" s="74" t="s">
        <v>5342</v>
      </c>
      <c r="C182" s="74" t="s">
        <v>4918</v>
      </c>
    </row>
    <row r="183" spans="1:3" x14ac:dyDescent="0.25">
      <c r="A183" s="71" t="s">
        <v>477</v>
      </c>
      <c r="B183" s="74" t="s">
        <v>5343</v>
      </c>
      <c r="C183" s="74" t="s">
        <v>4918</v>
      </c>
    </row>
    <row r="184" spans="1:3" x14ac:dyDescent="0.25">
      <c r="A184" s="71" t="s">
        <v>478</v>
      </c>
      <c r="B184" s="74" t="s">
        <v>5344</v>
      </c>
      <c r="C184" s="74" t="s">
        <v>4918</v>
      </c>
    </row>
    <row r="185" spans="1:3" x14ac:dyDescent="0.25">
      <c r="A185" s="71" t="s">
        <v>479</v>
      </c>
      <c r="B185" s="74" t="s">
        <v>5345</v>
      </c>
      <c r="C185" s="74" t="s">
        <v>4918</v>
      </c>
    </row>
    <row r="186" spans="1:3" x14ac:dyDescent="0.25">
      <c r="A186" s="71" t="s">
        <v>481</v>
      </c>
      <c r="B186" s="74" t="s">
        <v>5346</v>
      </c>
      <c r="C186" s="74" t="s">
        <v>4918</v>
      </c>
    </row>
    <row r="187" spans="1:3" x14ac:dyDescent="0.25">
      <c r="A187" s="71" t="s">
        <v>5347</v>
      </c>
      <c r="B187" s="74" t="s">
        <v>5348</v>
      </c>
      <c r="C187" s="74" t="s">
        <v>4918</v>
      </c>
    </row>
    <row r="188" spans="1:3" x14ac:dyDescent="0.25">
      <c r="A188" s="71" t="s">
        <v>483</v>
      </c>
      <c r="B188" s="74" t="s">
        <v>5349</v>
      </c>
      <c r="C188" s="74" t="s">
        <v>4918</v>
      </c>
    </row>
    <row r="189" spans="1:3" x14ac:dyDescent="0.25">
      <c r="A189" s="71" t="s">
        <v>485</v>
      </c>
      <c r="B189" s="74" t="s">
        <v>5350</v>
      </c>
      <c r="C189" s="74" t="s">
        <v>4918</v>
      </c>
    </row>
    <row r="190" spans="1:3" x14ac:dyDescent="0.25">
      <c r="A190" s="71" t="s">
        <v>487</v>
      </c>
      <c r="B190" s="74" t="s">
        <v>5351</v>
      </c>
      <c r="C190" s="74" t="s">
        <v>4918</v>
      </c>
    </row>
    <row r="191" spans="1:3" x14ac:dyDescent="0.25">
      <c r="A191" s="71" t="s">
        <v>489</v>
      </c>
      <c r="B191" s="74" t="s">
        <v>5352</v>
      </c>
      <c r="C191" s="74" t="s">
        <v>4918</v>
      </c>
    </row>
    <row r="192" spans="1:3" x14ac:dyDescent="0.25">
      <c r="A192" s="71" t="s">
        <v>491</v>
      </c>
      <c r="B192" s="74" t="s">
        <v>5353</v>
      </c>
      <c r="C192" s="74" t="s">
        <v>4918</v>
      </c>
    </row>
    <row r="193" spans="1:3" x14ac:dyDescent="0.25">
      <c r="A193" s="71" t="s">
        <v>493</v>
      </c>
      <c r="B193" s="74" t="s">
        <v>5354</v>
      </c>
      <c r="C193" s="74" t="s">
        <v>4918</v>
      </c>
    </row>
    <row r="194" spans="1:3" x14ac:dyDescent="0.25">
      <c r="A194" s="71" t="s">
        <v>495</v>
      </c>
      <c r="B194" s="74" t="s">
        <v>5355</v>
      </c>
      <c r="C194" s="74" t="s">
        <v>4918</v>
      </c>
    </row>
    <row r="195" spans="1:3" x14ac:dyDescent="0.25">
      <c r="A195" s="71" t="s">
        <v>497</v>
      </c>
      <c r="B195" s="74" t="s">
        <v>5356</v>
      </c>
      <c r="C195" s="74" t="s">
        <v>4918</v>
      </c>
    </row>
    <row r="196" spans="1:3" x14ac:dyDescent="0.25">
      <c r="A196" s="71" t="s">
        <v>500</v>
      </c>
      <c r="B196" s="74" t="s">
        <v>501</v>
      </c>
      <c r="C196" s="74" t="s">
        <v>4918</v>
      </c>
    </row>
    <row r="197" spans="1:3" x14ac:dyDescent="0.25">
      <c r="A197" s="71" t="s">
        <v>502</v>
      </c>
      <c r="B197" s="74" t="s">
        <v>5357</v>
      </c>
      <c r="C197" s="74" t="s">
        <v>4918</v>
      </c>
    </row>
    <row r="198" spans="1:3" x14ac:dyDescent="0.25">
      <c r="A198" s="71" t="s">
        <v>503</v>
      </c>
      <c r="B198" s="74" t="s">
        <v>5246</v>
      </c>
      <c r="C198" s="74" t="s">
        <v>4918</v>
      </c>
    </row>
    <row r="199" spans="1:3" x14ac:dyDescent="0.25">
      <c r="A199" s="71" t="s">
        <v>505</v>
      </c>
      <c r="B199" s="74" t="s">
        <v>5358</v>
      </c>
      <c r="C199" s="74" t="s">
        <v>4918</v>
      </c>
    </row>
    <row r="200" spans="1:3" x14ac:dyDescent="0.25">
      <c r="A200" s="71" t="s">
        <v>507</v>
      </c>
      <c r="B200" s="74" t="s">
        <v>5359</v>
      </c>
      <c r="C200" s="74" t="s">
        <v>4918</v>
      </c>
    </row>
    <row r="201" spans="1:3" x14ac:dyDescent="0.25">
      <c r="A201" s="71" t="s">
        <v>511</v>
      </c>
      <c r="B201" s="74" t="s">
        <v>5360</v>
      </c>
      <c r="C201" s="74" t="s">
        <v>4918</v>
      </c>
    </row>
    <row r="202" spans="1:3" x14ac:dyDescent="0.25">
      <c r="A202" s="71" t="s">
        <v>512</v>
      </c>
      <c r="B202" s="74" t="s">
        <v>5361</v>
      </c>
      <c r="C202" s="74" t="s">
        <v>4918</v>
      </c>
    </row>
    <row r="203" spans="1:3" x14ac:dyDescent="0.25">
      <c r="A203" s="71" t="s">
        <v>513</v>
      </c>
      <c r="B203" s="74" t="s">
        <v>5362</v>
      </c>
      <c r="C203" s="74" t="s">
        <v>4918</v>
      </c>
    </row>
    <row r="204" spans="1:3" x14ac:dyDescent="0.25">
      <c r="A204" s="71" t="s">
        <v>515</v>
      </c>
      <c r="B204" s="74" t="s">
        <v>5363</v>
      </c>
      <c r="C204" s="74" t="s">
        <v>4918</v>
      </c>
    </row>
    <row r="205" spans="1:3" x14ac:dyDescent="0.25">
      <c r="A205" s="71" t="s">
        <v>517</v>
      </c>
      <c r="B205" s="74" t="s">
        <v>5364</v>
      </c>
      <c r="C205" s="74" t="s">
        <v>4918</v>
      </c>
    </row>
    <row r="206" spans="1:3" x14ac:dyDescent="0.25">
      <c r="A206" s="71" t="s">
        <v>519</v>
      </c>
      <c r="B206" s="74" t="s">
        <v>5365</v>
      </c>
      <c r="C206" s="74" t="s">
        <v>4918</v>
      </c>
    </row>
    <row r="207" spans="1:3" x14ac:dyDescent="0.25">
      <c r="A207" s="71" t="s">
        <v>520</v>
      </c>
      <c r="B207" s="74" t="s">
        <v>5366</v>
      </c>
      <c r="C207" s="74" t="s">
        <v>4918</v>
      </c>
    </row>
    <row r="208" spans="1:3" x14ac:dyDescent="0.25">
      <c r="A208" s="71" t="s">
        <v>522</v>
      </c>
      <c r="B208" s="74" t="s">
        <v>5367</v>
      </c>
      <c r="C208" s="74" t="s">
        <v>4918</v>
      </c>
    </row>
    <row r="209" spans="1:3" x14ac:dyDescent="0.25">
      <c r="A209" s="71" t="s">
        <v>525</v>
      </c>
      <c r="B209" s="74" t="s">
        <v>5262</v>
      </c>
      <c r="C209" s="74" t="s">
        <v>4918</v>
      </c>
    </row>
    <row r="210" spans="1:3" x14ac:dyDescent="0.25">
      <c r="A210" s="71" t="s">
        <v>527</v>
      </c>
      <c r="B210" s="74" t="s">
        <v>5368</v>
      </c>
      <c r="C210" s="74" t="s">
        <v>4918</v>
      </c>
    </row>
    <row r="211" spans="1:3" x14ac:dyDescent="0.25">
      <c r="A211" s="71" t="s">
        <v>5369</v>
      </c>
      <c r="B211" s="74" t="s">
        <v>5370</v>
      </c>
      <c r="C211" s="74" t="s">
        <v>4918</v>
      </c>
    </row>
    <row r="212" spans="1:3" x14ac:dyDescent="0.25">
      <c r="A212" s="71" t="s">
        <v>528</v>
      </c>
      <c r="B212" s="74" t="s">
        <v>5371</v>
      </c>
      <c r="C212" s="74" t="s">
        <v>4918</v>
      </c>
    </row>
    <row r="213" spans="1:3" x14ac:dyDescent="0.25">
      <c r="A213" s="71" t="s">
        <v>532</v>
      </c>
      <c r="B213" s="74" t="s">
        <v>5372</v>
      </c>
      <c r="C213" s="74" t="s">
        <v>4918</v>
      </c>
    </row>
    <row r="214" spans="1:3" x14ac:dyDescent="0.25">
      <c r="A214" s="71" t="s">
        <v>5373</v>
      </c>
      <c r="B214" s="74" t="s">
        <v>5374</v>
      </c>
      <c r="C214" s="74" t="s">
        <v>4918</v>
      </c>
    </row>
    <row r="215" spans="1:3" x14ac:dyDescent="0.25">
      <c r="A215" s="71" t="s">
        <v>534</v>
      </c>
      <c r="B215" s="74" t="s">
        <v>5375</v>
      </c>
      <c r="C215" s="74" t="s">
        <v>4918</v>
      </c>
    </row>
    <row r="216" spans="1:3" x14ac:dyDescent="0.25">
      <c r="A216" s="71" t="s">
        <v>536</v>
      </c>
      <c r="B216" s="74" t="s">
        <v>5376</v>
      </c>
      <c r="C216" s="74" t="s">
        <v>4918</v>
      </c>
    </row>
    <row r="217" spans="1:3" x14ac:dyDescent="0.25">
      <c r="A217" s="71" t="s">
        <v>5377</v>
      </c>
      <c r="B217" s="74" t="s">
        <v>5378</v>
      </c>
      <c r="C217" s="74" t="s">
        <v>4918</v>
      </c>
    </row>
    <row r="218" spans="1:3" x14ac:dyDescent="0.25">
      <c r="A218" s="71" t="s">
        <v>5379</v>
      </c>
      <c r="B218" s="74" t="s">
        <v>5380</v>
      </c>
      <c r="C218" s="74" t="s">
        <v>4918</v>
      </c>
    </row>
    <row r="219" spans="1:3" x14ac:dyDescent="0.25">
      <c r="A219" s="71" t="s">
        <v>538</v>
      </c>
      <c r="B219" s="74" t="s">
        <v>5381</v>
      </c>
      <c r="C219" s="74" t="s">
        <v>4918</v>
      </c>
    </row>
    <row r="220" spans="1:3" x14ac:dyDescent="0.25">
      <c r="A220" s="71" t="s">
        <v>540</v>
      </c>
      <c r="B220" s="74" t="s">
        <v>5382</v>
      </c>
      <c r="C220" s="74" t="s">
        <v>4918</v>
      </c>
    </row>
    <row r="221" spans="1:3" x14ac:dyDescent="0.25">
      <c r="A221" s="71" t="s">
        <v>542</v>
      </c>
      <c r="B221" s="74" t="s">
        <v>5383</v>
      </c>
      <c r="C221" s="74" t="s">
        <v>4918</v>
      </c>
    </row>
    <row r="222" spans="1:3" x14ac:dyDescent="0.25">
      <c r="A222" s="71" t="s">
        <v>544</v>
      </c>
      <c r="B222" s="74" t="s">
        <v>5384</v>
      </c>
      <c r="C222" s="74" t="s">
        <v>4918</v>
      </c>
    </row>
    <row r="223" spans="1:3" x14ac:dyDescent="0.25">
      <c r="A223" s="71" t="s">
        <v>545</v>
      </c>
      <c r="B223" s="74" t="s">
        <v>546</v>
      </c>
      <c r="C223" s="74" t="s">
        <v>4918</v>
      </c>
    </row>
    <row r="224" spans="1:3" x14ac:dyDescent="0.25">
      <c r="A224" s="71" t="s">
        <v>547</v>
      </c>
      <c r="B224" s="74" t="s">
        <v>5385</v>
      </c>
      <c r="C224" s="74" t="s">
        <v>4918</v>
      </c>
    </row>
    <row r="225" spans="1:3" x14ac:dyDescent="0.25">
      <c r="A225" s="71" t="s">
        <v>549</v>
      </c>
      <c r="B225" s="74" t="s">
        <v>5386</v>
      </c>
      <c r="C225" s="74" t="s">
        <v>4918</v>
      </c>
    </row>
    <row r="226" spans="1:3" x14ac:dyDescent="0.25">
      <c r="A226" s="71" t="s">
        <v>5387</v>
      </c>
      <c r="B226" s="74" t="s">
        <v>5388</v>
      </c>
      <c r="C226" s="74" t="s">
        <v>4918</v>
      </c>
    </row>
    <row r="227" spans="1:3" x14ac:dyDescent="0.25">
      <c r="A227" s="71" t="s">
        <v>551</v>
      </c>
      <c r="B227" s="74" t="s">
        <v>5389</v>
      </c>
      <c r="C227" s="74" t="s">
        <v>4918</v>
      </c>
    </row>
    <row r="228" spans="1:3" x14ac:dyDescent="0.25">
      <c r="A228" s="71" t="s">
        <v>553</v>
      </c>
      <c r="B228" s="74" t="s">
        <v>5390</v>
      </c>
      <c r="C228" s="74" t="s">
        <v>4918</v>
      </c>
    </row>
    <row r="229" spans="1:3" x14ac:dyDescent="0.25">
      <c r="A229" s="71" t="s">
        <v>5391</v>
      </c>
      <c r="B229" s="74" t="s">
        <v>5392</v>
      </c>
      <c r="C229" s="74" t="s">
        <v>4918</v>
      </c>
    </row>
    <row r="230" spans="1:3" x14ac:dyDescent="0.25">
      <c r="A230" s="71" t="s">
        <v>555</v>
      </c>
      <c r="B230" s="74" t="s">
        <v>5393</v>
      </c>
      <c r="C230" s="74" t="s">
        <v>4918</v>
      </c>
    </row>
    <row r="231" spans="1:3" x14ac:dyDescent="0.25">
      <c r="A231" s="71" t="s">
        <v>610</v>
      </c>
      <c r="B231" s="74" t="s">
        <v>5394</v>
      </c>
      <c r="C231" s="74" t="s">
        <v>4918</v>
      </c>
    </row>
    <row r="232" spans="1:3" x14ac:dyDescent="0.25">
      <c r="A232" s="71" t="s">
        <v>626</v>
      </c>
      <c r="B232" s="74" t="s">
        <v>5395</v>
      </c>
      <c r="C232" s="74" t="s">
        <v>4918</v>
      </c>
    </row>
    <row r="233" spans="1:3" x14ac:dyDescent="0.25">
      <c r="A233" s="71" t="s">
        <v>5396</v>
      </c>
      <c r="B233" s="74" t="s">
        <v>5397</v>
      </c>
      <c r="C233" s="74" t="s">
        <v>4918</v>
      </c>
    </row>
    <row r="234" spans="1:3" x14ac:dyDescent="0.25">
      <c r="A234" s="71" t="s">
        <v>5398</v>
      </c>
      <c r="B234" s="74" t="s">
        <v>5399</v>
      </c>
      <c r="C234" s="74" t="s">
        <v>4918</v>
      </c>
    </row>
    <row r="235" spans="1:3" x14ac:dyDescent="0.25">
      <c r="A235" s="71" t="s">
        <v>5400</v>
      </c>
      <c r="B235" s="74" t="s">
        <v>5401</v>
      </c>
      <c r="C235" s="74" t="s">
        <v>4918</v>
      </c>
    </row>
    <row r="236" spans="1:3" x14ac:dyDescent="0.25">
      <c r="A236" s="71" t="s">
        <v>777</v>
      </c>
      <c r="B236" s="74" t="s">
        <v>6121</v>
      </c>
      <c r="C236" s="74" t="s">
        <v>4918</v>
      </c>
    </row>
    <row r="237" spans="1:3" x14ac:dyDescent="0.25">
      <c r="A237" s="71" t="s">
        <v>779</v>
      </c>
      <c r="B237" s="74" t="s">
        <v>6091</v>
      </c>
      <c r="C237" s="74" t="s">
        <v>4918</v>
      </c>
    </row>
    <row r="238" spans="1:3" x14ac:dyDescent="0.25">
      <c r="A238" s="71" t="s">
        <v>781</v>
      </c>
      <c r="B238" s="74" t="s">
        <v>5402</v>
      </c>
      <c r="C238" s="74" t="s">
        <v>4918</v>
      </c>
    </row>
    <row r="239" spans="1:3" x14ac:dyDescent="0.25">
      <c r="A239" s="71" t="s">
        <v>783</v>
      </c>
      <c r="B239" s="74" t="s">
        <v>4991</v>
      </c>
      <c r="C239" s="74" t="s">
        <v>4918</v>
      </c>
    </row>
    <row r="240" spans="1:3" x14ac:dyDescent="0.25">
      <c r="A240" s="71" t="s">
        <v>785</v>
      </c>
      <c r="B240" s="74" t="s">
        <v>5403</v>
      </c>
      <c r="C240" s="74" t="s">
        <v>4918</v>
      </c>
    </row>
    <row r="241" spans="1:3" x14ac:dyDescent="0.25">
      <c r="A241" s="71" t="s">
        <v>787</v>
      </c>
      <c r="B241" s="74" t="s">
        <v>5404</v>
      </c>
      <c r="C241" s="74" t="s">
        <v>4918</v>
      </c>
    </row>
    <row r="242" spans="1:3" x14ac:dyDescent="0.25">
      <c r="A242" s="71" t="s">
        <v>789</v>
      </c>
      <c r="B242" s="74" t="s">
        <v>5405</v>
      </c>
      <c r="C242" s="74" t="s">
        <v>4918</v>
      </c>
    </row>
    <row r="243" spans="1:3" x14ac:dyDescent="0.25">
      <c r="A243" s="71" t="s">
        <v>628</v>
      </c>
      <c r="B243" s="74" t="s">
        <v>5406</v>
      </c>
      <c r="C243" s="74" t="s">
        <v>4918</v>
      </c>
    </row>
    <row r="244" spans="1:3" x14ac:dyDescent="0.25">
      <c r="A244" s="71" t="s">
        <v>790</v>
      </c>
      <c r="B244" s="74" t="s">
        <v>5407</v>
      </c>
      <c r="C244" s="74" t="s">
        <v>4918</v>
      </c>
    </row>
    <row r="245" spans="1:3" x14ac:dyDescent="0.25">
      <c r="A245" s="71" t="s">
        <v>792</v>
      </c>
      <c r="B245" s="74" t="s">
        <v>5408</v>
      </c>
      <c r="C245" s="74" t="s">
        <v>4918</v>
      </c>
    </row>
    <row r="246" spans="1:3" x14ac:dyDescent="0.25">
      <c r="A246" s="71" t="s">
        <v>794</v>
      </c>
      <c r="B246" s="74" t="s">
        <v>5409</v>
      </c>
      <c r="C246" s="74" t="s">
        <v>4918</v>
      </c>
    </row>
    <row r="247" spans="1:3" x14ac:dyDescent="0.25">
      <c r="A247" s="71" t="s">
        <v>796</v>
      </c>
      <c r="B247" s="74" t="s">
        <v>5410</v>
      </c>
      <c r="C247" s="74" t="s">
        <v>4918</v>
      </c>
    </row>
    <row r="248" spans="1:3" x14ac:dyDescent="0.25">
      <c r="A248" s="71" t="s">
        <v>798</v>
      </c>
      <c r="B248" s="74" t="s">
        <v>5411</v>
      </c>
      <c r="C248" s="74" t="s">
        <v>4918</v>
      </c>
    </row>
    <row r="249" spans="1:3" x14ac:dyDescent="0.25">
      <c r="A249" s="71" t="s">
        <v>800</v>
      </c>
      <c r="B249" s="74" t="s">
        <v>5412</v>
      </c>
      <c r="C249" s="74" t="s">
        <v>4918</v>
      </c>
    </row>
    <row r="250" spans="1:3" x14ac:dyDescent="0.25">
      <c r="A250" s="71" t="s">
        <v>802</v>
      </c>
      <c r="B250" s="74" t="s">
        <v>5413</v>
      </c>
      <c r="C250" s="74" t="s">
        <v>4918</v>
      </c>
    </row>
    <row r="251" spans="1:3" x14ac:dyDescent="0.25">
      <c r="A251" s="71" t="s">
        <v>805</v>
      </c>
      <c r="B251" s="74" t="s">
        <v>5414</v>
      </c>
      <c r="C251" s="74" t="s">
        <v>4918</v>
      </c>
    </row>
    <row r="252" spans="1:3" x14ac:dyDescent="0.25">
      <c r="A252" s="71" t="s">
        <v>807</v>
      </c>
      <c r="B252" s="74" t="s">
        <v>5415</v>
      </c>
      <c r="C252" s="74" t="s">
        <v>4918</v>
      </c>
    </row>
    <row r="253" spans="1:3" x14ac:dyDescent="0.25">
      <c r="A253" s="71" t="s">
        <v>630</v>
      </c>
      <c r="B253" s="74" t="s">
        <v>5416</v>
      </c>
      <c r="C253" s="74" t="s">
        <v>4918</v>
      </c>
    </row>
    <row r="254" spans="1:3" x14ac:dyDescent="0.25">
      <c r="A254" s="71" t="s">
        <v>813</v>
      </c>
      <c r="B254" s="74" t="s">
        <v>5417</v>
      </c>
      <c r="C254" s="74" t="s">
        <v>4918</v>
      </c>
    </row>
    <row r="255" spans="1:3" x14ac:dyDescent="0.25">
      <c r="A255" s="71" t="s">
        <v>816</v>
      </c>
      <c r="B255" s="74" t="s">
        <v>5418</v>
      </c>
      <c r="C255" s="74" t="s">
        <v>4918</v>
      </c>
    </row>
    <row r="256" spans="1:3" x14ac:dyDescent="0.25">
      <c r="A256" s="71" t="s">
        <v>818</v>
      </c>
      <c r="B256" s="74" t="s">
        <v>5419</v>
      </c>
      <c r="C256" s="74" t="s">
        <v>4918</v>
      </c>
    </row>
    <row r="257" spans="1:3" x14ac:dyDescent="0.25">
      <c r="A257" s="71" t="s">
        <v>820</v>
      </c>
      <c r="B257" s="74" t="s">
        <v>5420</v>
      </c>
      <c r="C257" s="74" t="s">
        <v>4918</v>
      </c>
    </row>
    <row r="258" spans="1:3" x14ac:dyDescent="0.25">
      <c r="A258" s="71" t="s">
        <v>822</v>
      </c>
      <c r="B258" s="74" t="s">
        <v>5421</v>
      </c>
      <c r="C258" s="74" t="s">
        <v>4918</v>
      </c>
    </row>
    <row r="259" spans="1:3" x14ac:dyDescent="0.25">
      <c r="A259" s="71" t="s">
        <v>824</v>
      </c>
      <c r="B259" s="74" t="s">
        <v>5422</v>
      </c>
      <c r="C259" s="74" t="s">
        <v>4918</v>
      </c>
    </row>
    <row r="260" spans="1:3" x14ac:dyDescent="0.25">
      <c r="A260" s="71" t="s">
        <v>826</v>
      </c>
      <c r="B260" s="74" t="s">
        <v>5423</v>
      </c>
      <c r="C260" s="74" t="s">
        <v>4918</v>
      </c>
    </row>
    <row r="261" spans="1:3" x14ac:dyDescent="0.25">
      <c r="A261" s="71" t="s">
        <v>632</v>
      </c>
      <c r="B261" s="74" t="s">
        <v>5424</v>
      </c>
      <c r="C261" s="74" t="s">
        <v>4918</v>
      </c>
    </row>
    <row r="262" spans="1:3" x14ac:dyDescent="0.25">
      <c r="A262" s="71" t="s">
        <v>828</v>
      </c>
      <c r="B262" s="74" t="s">
        <v>5425</v>
      </c>
      <c r="C262" s="74" t="s">
        <v>4918</v>
      </c>
    </row>
    <row r="263" spans="1:3" x14ac:dyDescent="0.25">
      <c r="A263" s="71" t="s">
        <v>830</v>
      </c>
      <c r="B263" s="74" t="s">
        <v>5426</v>
      </c>
      <c r="C263" s="74" t="s">
        <v>4918</v>
      </c>
    </row>
    <row r="264" spans="1:3" x14ac:dyDescent="0.25">
      <c r="A264" s="71" t="s">
        <v>832</v>
      </c>
      <c r="B264" s="74" t="s">
        <v>5427</v>
      </c>
      <c r="C264" s="74" t="s">
        <v>4918</v>
      </c>
    </row>
    <row r="265" spans="1:3" x14ac:dyDescent="0.25">
      <c r="A265" s="71" t="s">
        <v>833</v>
      </c>
      <c r="B265" s="74" t="s">
        <v>5428</v>
      </c>
      <c r="C265" s="74" t="s">
        <v>4918</v>
      </c>
    </row>
    <row r="266" spans="1:3" x14ac:dyDescent="0.25">
      <c r="A266" s="71" t="s">
        <v>834</v>
      </c>
      <c r="B266" s="74" t="s">
        <v>5429</v>
      </c>
      <c r="C266" s="74" t="s">
        <v>4918</v>
      </c>
    </row>
    <row r="267" spans="1:3" x14ac:dyDescent="0.25">
      <c r="A267" s="71" t="s">
        <v>835</v>
      </c>
      <c r="B267" s="74" t="s">
        <v>5430</v>
      </c>
      <c r="C267" s="74" t="s">
        <v>4918</v>
      </c>
    </row>
    <row r="268" spans="1:3" x14ac:dyDescent="0.25">
      <c r="A268" s="71" t="s">
        <v>837</v>
      </c>
      <c r="B268" s="74" t="s">
        <v>5431</v>
      </c>
      <c r="C268" s="74" t="s">
        <v>4918</v>
      </c>
    </row>
    <row r="269" spans="1:3" x14ac:dyDescent="0.25">
      <c r="A269" s="71" t="s">
        <v>838</v>
      </c>
      <c r="B269" s="74" t="s">
        <v>5432</v>
      </c>
      <c r="C269" s="74" t="s">
        <v>4918</v>
      </c>
    </row>
    <row r="270" spans="1:3" x14ac:dyDescent="0.25">
      <c r="A270" s="71" t="s">
        <v>839</v>
      </c>
      <c r="B270" s="74" t="s">
        <v>5433</v>
      </c>
      <c r="C270" s="74" t="s">
        <v>4918</v>
      </c>
    </row>
    <row r="271" spans="1:3" x14ac:dyDescent="0.25">
      <c r="A271" s="71" t="s">
        <v>840</v>
      </c>
      <c r="B271" s="74" t="s">
        <v>5434</v>
      </c>
      <c r="C271" s="74" t="s">
        <v>4918</v>
      </c>
    </row>
    <row r="272" spans="1:3" x14ac:dyDescent="0.25">
      <c r="A272" s="71" t="s">
        <v>5435</v>
      </c>
      <c r="B272" s="74" t="s">
        <v>5436</v>
      </c>
      <c r="C272" s="74" t="s">
        <v>4918</v>
      </c>
    </row>
    <row r="273" spans="1:3" x14ac:dyDescent="0.25">
      <c r="A273" s="71" t="s">
        <v>841</v>
      </c>
      <c r="B273" s="74" t="s">
        <v>5437</v>
      </c>
      <c r="C273" s="74" t="s">
        <v>4918</v>
      </c>
    </row>
    <row r="274" spans="1:3" x14ac:dyDescent="0.25">
      <c r="A274" s="71" t="s">
        <v>842</v>
      </c>
      <c r="B274" s="74" t="s">
        <v>5438</v>
      </c>
      <c r="C274" s="74" t="s">
        <v>4918</v>
      </c>
    </row>
    <row r="275" spans="1:3" x14ac:dyDescent="0.25">
      <c r="A275" s="71" t="s">
        <v>844</v>
      </c>
      <c r="B275" s="74" t="s">
        <v>5439</v>
      </c>
      <c r="C275" s="74" t="s">
        <v>4918</v>
      </c>
    </row>
    <row r="276" spans="1:3" x14ac:dyDescent="0.25">
      <c r="A276" s="71" t="s">
        <v>848</v>
      </c>
      <c r="B276" s="74" t="s">
        <v>5440</v>
      </c>
      <c r="C276" s="74" t="s">
        <v>4918</v>
      </c>
    </row>
    <row r="277" spans="1:3" x14ac:dyDescent="0.25">
      <c r="A277" s="71" t="s">
        <v>5441</v>
      </c>
      <c r="B277" s="74" t="s">
        <v>5442</v>
      </c>
      <c r="C277" s="74" t="s">
        <v>4918</v>
      </c>
    </row>
    <row r="278" spans="1:3" x14ac:dyDescent="0.25">
      <c r="A278" s="71" t="s">
        <v>850</v>
      </c>
      <c r="B278" s="74" t="s">
        <v>5443</v>
      </c>
      <c r="C278" s="74" t="s">
        <v>4918</v>
      </c>
    </row>
    <row r="279" spans="1:3" x14ac:dyDescent="0.25">
      <c r="A279" s="71" t="s">
        <v>852</v>
      </c>
      <c r="B279" s="74" t="s">
        <v>5444</v>
      </c>
      <c r="C279" s="74" t="s">
        <v>4918</v>
      </c>
    </row>
    <row r="280" spans="1:3" x14ac:dyDescent="0.25">
      <c r="A280" s="71" t="s">
        <v>854</v>
      </c>
      <c r="B280" s="74" t="s">
        <v>5445</v>
      </c>
      <c r="C280" s="74" t="s">
        <v>4918</v>
      </c>
    </row>
    <row r="281" spans="1:3" x14ac:dyDescent="0.25">
      <c r="A281" s="71" t="s">
        <v>856</v>
      </c>
      <c r="B281" s="74" t="s">
        <v>5446</v>
      </c>
      <c r="C281" s="74" t="s">
        <v>4918</v>
      </c>
    </row>
    <row r="282" spans="1:3" x14ac:dyDescent="0.25">
      <c r="A282" s="71" t="s">
        <v>634</v>
      </c>
      <c r="B282" s="74" t="s">
        <v>5447</v>
      </c>
      <c r="C282" s="74" t="s">
        <v>4918</v>
      </c>
    </row>
    <row r="283" spans="1:3" x14ac:dyDescent="0.25">
      <c r="A283" s="71" t="s">
        <v>858</v>
      </c>
      <c r="B283" s="74" t="s">
        <v>5448</v>
      </c>
      <c r="C283" s="74" t="s">
        <v>4918</v>
      </c>
    </row>
    <row r="284" spans="1:3" x14ac:dyDescent="0.25">
      <c r="A284" s="71" t="s">
        <v>860</v>
      </c>
      <c r="B284" s="74" t="s">
        <v>5449</v>
      </c>
      <c r="C284" s="74" t="s">
        <v>4918</v>
      </c>
    </row>
    <row r="285" spans="1:3" x14ac:dyDescent="0.25">
      <c r="A285" s="71" t="s">
        <v>862</v>
      </c>
      <c r="B285" s="74" t="s">
        <v>5450</v>
      </c>
      <c r="C285" s="74" t="s">
        <v>4918</v>
      </c>
    </row>
    <row r="286" spans="1:3" x14ac:dyDescent="0.25">
      <c r="A286" s="71" t="s">
        <v>864</v>
      </c>
      <c r="B286" s="74" t="s">
        <v>5451</v>
      </c>
      <c r="C286" s="74" t="s">
        <v>4918</v>
      </c>
    </row>
    <row r="287" spans="1:3" x14ac:dyDescent="0.25">
      <c r="A287" s="71" t="s">
        <v>866</v>
      </c>
      <c r="B287" s="74" t="s">
        <v>5452</v>
      </c>
      <c r="C287" s="74" t="s">
        <v>4918</v>
      </c>
    </row>
    <row r="288" spans="1:3" x14ac:dyDescent="0.25">
      <c r="A288" s="71" t="s">
        <v>867</v>
      </c>
      <c r="B288" s="74" t="s">
        <v>5453</v>
      </c>
      <c r="C288" s="74" t="s">
        <v>4918</v>
      </c>
    </row>
    <row r="289" spans="1:3" x14ac:dyDescent="0.25">
      <c r="A289" s="71" t="s">
        <v>868</v>
      </c>
      <c r="B289" s="74" t="s">
        <v>5454</v>
      </c>
      <c r="C289" s="74" t="s">
        <v>4918</v>
      </c>
    </row>
    <row r="290" spans="1:3" x14ac:dyDescent="0.25">
      <c r="A290" s="71" t="s">
        <v>869</v>
      </c>
      <c r="B290" s="74" t="s">
        <v>5455</v>
      </c>
      <c r="C290" s="74" t="s">
        <v>4918</v>
      </c>
    </row>
    <row r="291" spans="1:3" x14ac:dyDescent="0.25">
      <c r="A291" s="71" t="s">
        <v>871</v>
      </c>
      <c r="B291" s="74" t="s">
        <v>5456</v>
      </c>
      <c r="C291" s="74" t="s">
        <v>4918</v>
      </c>
    </row>
    <row r="292" spans="1:3" x14ac:dyDescent="0.25">
      <c r="A292" s="71" t="s">
        <v>875</v>
      </c>
      <c r="B292" s="74" t="s">
        <v>5457</v>
      </c>
      <c r="C292" s="74" t="s">
        <v>4918</v>
      </c>
    </row>
    <row r="293" spans="1:3" x14ac:dyDescent="0.25">
      <c r="A293" s="71" t="s">
        <v>877</v>
      </c>
      <c r="B293" s="74" t="s">
        <v>5458</v>
      </c>
      <c r="C293" s="74" t="s">
        <v>4918</v>
      </c>
    </row>
    <row r="294" spans="1:3" x14ac:dyDescent="0.25">
      <c r="A294" s="71" t="s">
        <v>879</v>
      </c>
      <c r="B294" s="74" t="s">
        <v>5459</v>
      </c>
      <c r="C294" s="74" t="s">
        <v>4918</v>
      </c>
    </row>
    <row r="295" spans="1:3" x14ac:dyDescent="0.25">
      <c r="A295" s="71" t="s">
        <v>880</v>
      </c>
      <c r="B295" s="74" t="s">
        <v>5460</v>
      </c>
      <c r="C295" s="74" t="s">
        <v>4918</v>
      </c>
    </row>
    <row r="296" spans="1:3" x14ac:dyDescent="0.25">
      <c r="A296" s="71" t="s">
        <v>5461</v>
      </c>
      <c r="B296" s="74" t="s">
        <v>5462</v>
      </c>
      <c r="C296" s="74" t="s">
        <v>4918</v>
      </c>
    </row>
    <row r="297" spans="1:3" x14ac:dyDescent="0.25">
      <c r="A297" s="71" t="s">
        <v>5463</v>
      </c>
      <c r="B297" s="74" t="s">
        <v>5464</v>
      </c>
      <c r="C297" s="74" t="s">
        <v>4918</v>
      </c>
    </row>
    <row r="298" spans="1:3" x14ac:dyDescent="0.25">
      <c r="A298" s="71" t="s">
        <v>882</v>
      </c>
      <c r="B298" s="74" t="s">
        <v>5465</v>
      </c>
      <c r="C298" s="74" t="s">
        <v>4918</v>
      </c>
    </row>
    <row r="299" spans="1:3" x14ac:dyDescent="0.25">
      <c r="A299" s="71" t="s">
        <v>5466</v>
      </c>
      <c r="B299" s="74" t="s">
        <v>5467</v>
      </c>
      <c r="C299" s="74" t="s">
        <v>4918</v>
      </c>
    </row>
    <row r="300" spans="1:3" x14ac:dyDescent="0.25">
      <c r="A300" s="71" t="s">
        <v>5468</v>
      </c>
      <c r="B300" s="74" t="s">
        <v>5469</v>
      </c>
      <c r="C300" s="74" t="s">
        <v>4918</v>
      </c>
    </row>
    <row r="301" spans="1:3" x14ac:dyDescent="0.25">
      <c r="A301" s="71" t="s">
        <v>5470</v>
      </c>
      <c r="B301" s="74" t="s">
        <v>5471</v>
      </c>
      <c r="C301" s="74" t="s">
        <v>4918</v>
      </c>
    </row>
    <row r="302" spans="1:3" x14ac:dyDescent="0.25">
      <c r="A302" s="71" t="s">
        <v>884</v>
      </c>
      <c r="B302" s="74" t="s">
        <v>5472</v>
      </c>
      <c r="C302" s="74" t="s">
        <v>4918</v>
      </c>
    </row>
    <row r="303" spans="1:3" x14ac:dyDescent="0.25">
      <c r="A303" s="71" t="s">
        <v>886</v>
      </c>
      <c r="B303" s="74" t="s">
        <v>5473</v>
      </c>
      <c r="C303" s="74" t="s">
        <v>4918</v>
      </c>
    </row>
    <row r="304" spans="1:3" x14ac:dyDescent="0.25">
      <c r="A304" s="71" t="s">
        <v>888</v>
      </c>
      <c r="B304" s="74" t="s">
        <v>5474</v>
      </c>
      <c r="C304" s="74" t="s">
        <v>4918</v>
      </c>
    </row>
    <row r="305" spans="1:3" x14ac:dyDescent="0.25">
      <c r="A305" s="71" t="s">
        <v>890</v>
      </c>
      <c r="B305" s="74" t="s">
        <v>5475</v>
      </c>
      <c r="C305" s="74" t="s">
        <v>4918</v>
      </c>
    </row>
    <row r="306" spans="1:3" x14ac:dyDescent="0.25">
      <c r="A306" s="71" t="s">
        <v>892</v>
      </c>
      <c r="B306" s="74" t="s">
        <v>5476</v>
      </c>
      <c r="C306" s="74" t="s">
        <v>4918</v>
      </c>
    </row>
    <row r="307" spans="1:3" x14ac:dyDescent="0.25">
      <c r="A307" s="71" t="s">
        <v>896</v>
      </c>
      <c r="B307" s="74" t="s">
        <v>5477</v>
      </c>
      <c r="C307" s="74" t="s">
        <v>4918</v>
      </c>
    </row>
    <row r="308" spans="1:3" x14ac:dyDescent="0.25">
      <c r="A308" s="71" t="s">
        <v>898</v>
      </c>
      <c r="B308" s="74" t="s">
        <v>5478</v>
      </c>
      <c r="C308" s="74" t="s">
        <v>4918</v>
      </c>
    </row>
    <row r="309" spans="1:3" x14ac:dyDescent="0.25">
      <c r="A309" s="71" t="s">
        <v>899</v>
      </c>
      <c r="B309" s="74" t="s">
        <v>5479</v>
      </c>
      <c r="C309" s="74" t="s">
        <v>4918</v>
      </c>
    </row>
    <row r="310" spans="1:3" x14ac:dyDescent="0.25">
      <c r="A310" s="71" t="s">
        <v>901</v>
      </c>
      <c r="B310" s="74" t="s">
        <v>5480</v>
      </c>
      <c r="C310" s="74" t="s">
        <v>4918</v>
      </c>
    </row>
    <row r="311" spans="1:3" x14ac:dyDescent="0.25">
      <c r="A311" s="71" t="s">
        <v>903</v>
      </c>
      <c r="B311" s="74" t="s">
        <v>5481</v>
      </c>
      <c r="C311" s="74" t="s">
        <v>4918</v>
      </c>
    </row>
    <row r="312" spans="1:3" x14ac:dyDescent="0.25">
      <c r="A312" s="71" t="s">
        <v>905</v>
      </c>
      <c r="B312" s="74" t="s">
        <v>5482</v>
      </c>
      <c r="C312" s="74" t="s">
        <v>4918</v>
      </c>
    </row>
    <row r="313" spans="1:3" x14ac:dyDescent="0.25">
      <c r="A313" s="71" t="s">
        <v>907</v>
      </c>
      <c r="B313" s="74" t="s">
        <v>5483</v>
      </c>
      <c r="C313" s="74" t="s">
        <v>4918</v>
      </c>
    </row>
    <row r="314" spans="1:3" x14ac:dyDescent="0.25">
      <c r="A314" s="71" t="s">
        <v>909</v>
      </c>
      <c r="B314" s="74" t="s">
        <v>5484</v>
      </c>
      <c r="C314" s="74" t="s">
        <v>4918</v>
      </c>
    </row>
    <row r="315" spans="1:3" x14ac:dyDescent="0.25">
      <c r="A315" s="71" t="s">
        <v>910</v>
      </c>
      <c r="B315" s="74" t="s">
        <v>5485</v>
      </c>
      <c r="C315" s="74" t="s">
        <v>4918</v>
      </c>
    </row>
    <row r="316" spans="1:3" x14ac:dyDescent="0.25">
      <c r="A316" s="71" t="s">
        <v>912</v>
      </c>
      <c r="B316" s="74" t="s">
        <v>5486</v>
      </c>
      <c r="C316" s="74" t="s">
        <v>4918</v>
      </c>
    </row>
    <row r="317" spans="1:3" x14ac:dyDescent="0.25">
      <c r="A317" s="71" t="s">
        <v>913</v>
      </c>
      <c r="B317" s="74" t="s">
        <v>5487</v>
      </c>
      <c r="C317" s="74" t="s">
        <v>4918</v>
      </c>
    </row>
    <row r="318" spans="1:3" x14ac:dyDescent="0.25">
      <c r="A318" s="71" t="s">
        <v>915</v>
      </c>
      <c r="B318" s="74" t="s">
        <v>5488</v>
      </c>
      <c r="C318" s="74" t="s">
        <v>4918</v>
      </c>
    </row>
    <row r="319" spans="1:3" x14ac:dyDescent="0.25">
      <c r="A319" s="71" t="s">
        <v>916</v>
      </c>
      <c r="B319" s="74" t="s">
        <v>5489</v>
      </c>
      <c r="C319" s="74" t="s">
        <v>4918</v>
      </c>
    </row>
    <row r="320" spans="1:3" x14ac:dyDescent="0.25">
      <c r="A320" s="71" t="s">
        <v>918</v>
      </c>
      <c r="B320" s="74" t="s">
        <v>5490</v>
      </c>
      <c r="C320" s="74" t="s">
        <v>4918</v>
      </c>
    </row>
    <row r="321" spans="1:3" x14ac:dyDescent="0.25">
      <c r="A321" s="71" t="s">
        <v>638</v>
      </c>
      <c r="B321" s="74" t="s">
        <v>5491</v>
      </c>
      <c r="C321" s="74" t="s">
        <v>4918</v>
      </c>
    </row>
    <row r="322" spans="1:3" x14ac:dyDescent="0.25">
      <c r="A322" s="71" t="s">
        <v>919</v>
      </c>
      <c r="B322" s="74" t="s">
        <v>5492</v>
      </c>
      <c r="C322" s="74" t="s">
        <v>4918</v>
      </c>
    </row>
    <row r="323" spans="1:3" x14ac:dyDescent="0.25">
      <c r="A323" s="71" t="s">
        <v>921</v>
      </c>
      <c r="B323" s="74" t="s">
        <v>5493</v>
      </c>
      <c r="C323" s="74" t="s">
        <v>4918</v>
      </c>
    </row>
    <row r="324" spans="1:3" x14ac:dyDescent="0.25">
      <c r="A324" s="71" t="s">
        <v>924</v>
      </c>
      <c r="B324" s="74" t="s">
        <v>6145</v>
      </c>
      <c r="C324" s="74" t="s">
        <v>4918</v>
      </c>
    </row>
    <row r="325" spans="1:3" x14ac:dyDescent="0.25">
      <c r="A325" s="71" t="s">
        <v>925</v>
      </c>
      <c r="B325" s="74" t="s">
        <v>5494</v>
      </c>
      <c r="C325" s="74" t="s">
        <v>4918</v>
      </c>
    </row>
    <row r="326" spans="1:3" x14ac:dyDescent="0.25">
      <c r="A326" s="71" t="s">
        <v>929</v>
      </c>
      <c r="B326" s="74" t="s">
        <v>5495</v>
      </c>
      <c r="C326" s="74" t="s">
        <v>4918</v>
      </c>
    </row>
    <row r="327" spans="1:3" x14ac:dyDescent="0.25">
      <c r="A327" s="71" t="s">
        <v>930</v>
      </c>
      <c r="B327" s="74" t="s">
        <v>5496</v>
      </c>
      <c r="C327" s="74" t="s">
        <v>4918</v>
      </c>
    </row>
    <row r="328" spans="1:3" x14ac:dyDescent="0.25">
      <c r="A328" s="71" t="s">
        <v>932</v>
      </c>
      <c r="B328" s="74" t="s">
        <v>5497</v>
      </c>
      <c r="C328" s="74" t="s">
        <v>4918</v>
      </c>
    </row>
    <row r="329" spans="1:3" x14ac:dyDescent="0.25">
      <c r="A329" s="71" t="s">
        <v>934</v>
      </c>
      <c r="B329" s="74" t="s">
        <v>5498</v>
      </c>
      <c r="C329" s="74" t="s">
        <v>4918</v>
      </c>
    </row>
    <row r="330" spans="1:3" x14ac:dyDescent="0.25">
      <c r="A330" s="71" t="s">
        <v>611</v>
      </c>
      <c r="B330" s="74" t="s">
        <v>5499</v>
      </c>
      <c r="C330" s="74" t="s">
        <v>4918</v>
      </c>
    </row>
    <row r="331" spans="1:3" x14ac:dyDescent="0.25">
      <c r="A331" s="71" t="s">
        <v>640</v>
      </c>
      <c r="B331" s="74" t="s">
        <v>5500</v>
      </c>
      <c r="C331" s="74" t="s">
        <v>4918</v>
      </c>
    </row>
    <row r="332" spans="1:3" x14ac:dyDescent="0.25">
      <c r="A332" s="71" t="s">
        <v>936</v>
      </c>
      <c r="B332" s="74" t="s">
        <v>5501</v>
      </c>
      <c r="C332" s="74" t="s">
        <v>4918</v>
      </c>
    </row>
    <row r="333" spans="1:3" x14ac:dyDescent="0.25">
      <c r="A333" s="71" t="s">
        <v>5502</v>
      </c>
      <c r="B333" s="74" t="s">
        <v>5503</v>
      </c>
      <c r="C333" s="74" t="s">
        <v>4918</v>
      </c>
    </row>
    <row r="334" spans="1:3" x14ac:dyDescent="0.25">
      <c r="A334" s="71" t="s">
        <v>938</v>
      </c>
      <c r="B334" s="74" t="s">
        <v>5504</v>
      </c>
      <c r="C334" s="74" t="s">
        <v>4918</v>
      </c>
    </row>
    <row r="335" spans="1:3" x14ac:dyDescent="0.25">
      <c r="A335" s="71" t="s">
        <v>939</v>
      </c>
      <c r="B335" s="74" t="s">
        <v>5505</v>
      </c>
      <c r="C335" s="74" t="s">
        <v>4918</v>
      </c>
    </row>
    <row r="336" spans="1:3" x14ac:dyDescent="0.25">
      <c r="A336" s="71" t="s">
        <v>941</v>
      </c>
      <c r="B336" s="74" t="s">
        <v>5506</v>
      </c>
      <c r="C336" s="74" t="s">
        <v>4918</v>
      </c>
    </row>
    <row r="337" spans="1:3" x14ac:dyDescent="0.25">
      <c r="A337" s="71" t="s">
        <v>945</v>
      </c>
      <c r="B337" s="74" t="s">
        <v>5507</v>
      </c>
      <c r="C337" s="74" t="s">
        <v>4918</v>
      </c>
    </row>
    <row r="338" spans="1:3" x14ac:dyDescent="0.25">
      <c r="A338" s="71" t="s">
        <v>947</v>
      </c>
      <c r="B338" s="74" t="s">
        <v>5508</v>
      </c>
      <c r="C338" s="74" t="s">
        <v>4918</v>
      </c>
    </row>
    <row r="339" spans="1:3" x14ac:dyDescent="0.25">
      <c r="A339" s="71" t="s">
        <v>949</v>
      </c>
      <c r="B339" s="74" t="s">
        <v>5509</v>
      </c>
      <c r="C339" s="74" t="s">
        <v>4918</v>
      </c>
    </row>
    <row r="340" spans="1:3" x14ac:dyDescent="0.25">
      <c r="A340" s="71" t="s">
        <v>951</v>
      </c>
      <c r="B340" s="74" t="s">
        <v>5510</v>
      </c>
      <c r="C340" s="74" t="s">
        <v>4918</v>
      </c>
    </row>
    <row r="341" spans="1:3" x14ac:dyDescent="0.25">
      <c r="A341" s="71" t="s">
        <v>642</v>
      </c>
      <c r="B341" s="74" t="s">
        <v>5511</v>
      </c>
      <c r="C341" s="74" t="s">
        <v>4918</v>
      </c>
    </row>
    <row r="342" spans="1:3" x14ac:dyDescent="0.25">
      <c r="A342" s="71" t="s">
        <v>953</v>
      </c>
      <c r="B342" s="74" t="s">
        <v>5512</v>
      </c>
      <c r="C342" s="74" t="s">
        <v>4918</v>
      </c>
    </row>
    <row r="343" spans="1:3" x14ac:dyDescent="0.25">
      <c r="A343" s="71" t="s">
        <v>955</v>
      </c>
      <c r="B343" s="74" t="s">
        <v>5513</v>
      </c>
      <c r="C343" s="74" t="s">
        <v>4918</v>
      </c>
    </row>
    <row r="344" spans="1:3" x14ac:dyDescent="0.25">
      <c r="A344" s="71" t="s">
        <v>957</v>
      </c>
      <c r="B344" s="74" t="s">
        <v>5514</v>
      </c>
      <c r="C344" s="74" t="s">
        <v>4918</v>
      </c>
    </row>
    <row r="345" spans="1:3" x14ac:dyDescent="0.25">
      <c r="A345" s="71" t="s">
        <v>959</v>
      </c>
      <c r="B345" s="74" t="s">
        <v>5515</v>
      </c>
      <c r="C345" s="74" t="s">
        <v>4918</v>
      </c>
    </row>
    <row r="346" spans="1:3" x14ac:dyDescent="0.25">
      <c r="A346" s="71" t="s">
        <v>961</v>
      </c>
      <c r="B346" s="74" t="s">
        <v>5516</v>
      </c>
      <c r="C346" s="74" t="s">
        <v>4918</v>
      </c>
    </row>
    <row r="347" spans="1:3" x14ac:dyDescent="0.25">
      <c r="A347" s="71" t="s">
        <v>962</v>
      </c>
      <c r="B347" s="74" t="s">
        <v>5517</v>
      </c>
      <c r="C347" s="74" t="s">
        <v>4918</v>
      </c>
    </row>
    <row r="348" spans="1:3" x14ac:dyDescent="0.25">
      <c r="A348" s="71" t="s">
        <v>964</v>
      </c>
      <c r="B348" s="74" t="s">
        <v>5518</v>
      </c>
      <c r="C348" s="74" t="s">
        <v>4918</v>
      </c>
    </row>
    <row r="349" spans="1:3" x14ac:dyDescent="0.25">
      <c r="A349" s="71" t="s">
        <v>966</v>
      </c>
      <c r="B349" s="74" t="s">
        <v>5519</v>
      </c>
      <c r="C349" s="74" t="s">
        <v>4918</v>
      </c>
    </row>
    <row r="350" spans="1:3" x14ac:dyDescent="0.25">
      <c r="A350" s="71" t="s">
        <v>968</v>
      </c>
      <c r="B350" s="74" t="s">
        <v>5520</v>
      </c>
      <c r="C350" s="74" t="s">
        <v>4918</v>
      </c>
    </row>
    <row r="351" spans="1:3" x14ac:dyDescent="0.25">
      <c r="A351" s="71" t="s">
        <v>643</v>
      </c>
      <c r="B351" s="74" t="s">
        <v>5521</v>
      </c>
      <c r="C351" s="74" t="s">
        <v>4918</v>
      </c>
    </row>
    <row r="352" spans="1:3" x14ac:dyDescent="0.25">
      <c r="A352" s="71" t="s">
        <v>971</v>
      </c>
      <c r="B352" s="74" t="s">
        <v>5522</v>
      </c>
      <c r="C352" s="74" t="s">
        <v>4918</v>
      </c>
    </row>
    <row r="353" spans="1:3" x14ac:dyDescent="0.25">
      <c r="A353" s="71" t="s">
        <v>973</v>
      </c>
      <c r="B353" s="74" t="s">
        <v>5523</v>
      </c>
      <c r="C353" s="74" t="s">
        <v>4918</v>
      </c>
    </row>
    <row r="354" spans="1:3" x14ac:dyDescent="0.25">
      <c r="A354" s="71" t="s">
        <v>975</v>
      </c>
      <c r="B354" s="74" t="s">
        <v>5524</v>
      </c>
      <c r="C354" s="74" t="s">
        <v>4918</v>
      </c>
    </row>
    <row r="355" spans="1:3" x14ac:dyDescent="0.25">
      <c r="A355" s="71" t="s">
        <v>977</v>
      </c>
      <c r="B355" s="74" t="s">
        <v>5525</v>
      </c>
      <c r="C355" s="74" t="s">
        <v>4918</v>
      </c>
    </row>
    <row r="356" spans="1:3" x14ac:dyDescent="0.25">
      <c r="A356" s="71" t="s">
        <v>979</v>
      </c>
      <c r="B356" s="74" t="s">
        <v>5526</v>
      </c>
      <c r="C356" s="74" t="s">
        <v>4918</v>
      </c>
    </row>
    <row r="357" spans="1:3" x14ac:dyDescent="0.25">
      <c r="A357" s="71" t="s">
        <v>981</v>
      </c>
      <c r="B357" s="74" t="s">
        <v>5527</v>
      </c>
      <c r="C357" s="74" t="s">
        <v>4918</v>
      </c>
    </row>
    <row r="358" spans="1:3" x14ac:dyDescent="0.25">
      <c r="A358" s="71" t="s">
        <v>983</v>
      </c>
      <c r="B358" s="74" t="s">
        <v>5528</v>
      </c>
      <c r="C358" s="74" t="s">
        <v>4918</v>
      </c>
    </row>
    <row r="359" spans="1:3" x14ac:dyDescent="0.25">
      <c r="A359" s="71" t="s">
        <v>985</v>
      </c>
      <c r="B359" s="74" t="s">
        <v>5529</v>
      </c>
      <c r="C359" s="74" t="s">
        <v>4918</v>
      </c>
    </row>
    <row r="360" spans="1:3" x14ac:dyDescent="0.25">
      <c r="A360" s="71" t="s">
        <v>644</v>
      </c>
      <c r="B360" s="74" t="s">
        <v>5530</v>
      </c>
      <c r="C360" s="74" t="s">
        <v>4918</v>
      </c>
    </row>
    <row r="361" spans="1:3" x14ac:dyDescent="0.25">
      <c r="A361" s="71" t="s">
        <v>987</v>
      </c>
      <c r="B361" s="74" t="s">
        <v>5531</v>
      </c>
      <c r="C361" s="74" t="s">
        <v>4918</v>
      </c>
    </row>
    <row r="362" spans="1:3" x14ac:dyDescent="0.25">
      <c r="A362" s="71" t="s">
        <v>989</v>
      </c>
      <c r="B362" s="74" t="s">
        <v>5532</v>
      </c>
      <c r="C362" s="74" t="s">
        <v>4918</v>
      </c>
    </row>
    <row r="363" spans="1:3" x14ac:dyDescent="0.25">
      <c r="A363" s="71" t="s">
        <v>991</v>
      </c>
      <c r="B363" s="74" t="s">
        <v>5533</v>
      </c>
      <c r="C363" s="74" t="s">
        <v>4918</v>
      </c>
    </row>
    <row r="364" spans="1:3" x14ac:dyDescent="0.25">
      <c r="A364" s="71" t="s">
        <v>995</v>
      </c>
      <c r="B364" s="74" t="s">
        <v>5534</v>
      </c>
      <c r="C364" s="74" t="s">
        <v>4918</v>
      </c>
    </row>
    <row r="365" spans="1:3" x14ac:dyDescent="0.25">
      <c r="A365" s="71" t="s">
        <v>997</v>
      </c>
      <c r="B365" s="74" t="s">
        <v>5535</v>
      </c>
      <c r="C365" s="74" t="s">
        <v>4918</v>
      </c>
    </row>
    <row r="366" spans="1:3" x14ac:dyDescent="0.25">
      <c r="A366" s="71" t="s">
        <v>999</v>
      </c>
      <c r="B366" s="74" t="s">
        <v>5536</v>
      </c>
      <c r="C366" s="74" t="s">
        <v>4918</v>
      </c>
    </row>
    <row r="367" spans="1:3" x14ac:dyDescent="0.25">
      <c r="A367" s="71" t="s">
        <v>1001</v>
      </c>
      <c r="B367" s="74" t="s">
        <v>5537</v>
      </c>
      <c r="C367" s="74" t="s">
        <v>4918</v>
      </c>
    </row>
    <row r="368" spans="1:3" x14ac:dyDescent="0.25">
      <c r="A368" s="71" t="s">
        <v>1003</v>
      </c>
      <c r="B368" s="74" t="s">
        <v>5538</v>
      </c>
      <c r="C368" s="74" t="s">
        <v>4918</v>
      </c>
    </row>
    <row r="369" spans="1:3" x14ac:dyDescent="0.25">
      <c r="A369" s="71" t="s">
        <v>1005</v>
      </c>
      <c r="B369" s="74" t="s">
        <v>5539</v>
      </c>
      <c r="C369" s="74" t="s">
        <v>4918</v>
      </c>
    </row>
    <row r="370" spans="1:3" x14ac:dyDescent="0.25">
      <c r="A370" s="71" t="s">
        <v>645</v>
      </c>
      <c r="B370" s="74" t="s">
        <v>5540</v>
      </c>
      <c r="C370" s="74" t="s">
        <v>4918</v>
      </c>
    </row>
    <row r="371" spans="1:3" x14ac:dyDescent="0.25">
      <c r="A371" s="71" t="s">
        <v>1007</v>
      </c>
      <c r="B371" s="74" t="s">
        <v>5541</v>
      </c>
      <c r="C371" s="74" t="s">
        <v>4918</v>
      </c>
    </row>
    <row r="372" spans="1:3" x14ac:dyDescent="0.25">
      <c r="A372" s="71" t="s">
        <v>1009</v>
      </c>
      <c r="B372" s="74" t="s">
        <v>5542</v>
      </c>
      <c r="C372" s="74" t="s">
        <v>4918</v>
      </c>
    </row>
    <row r="373" spans="1:3" x14ac:dyDescent="0.25">
      <c r="A373" s="71" t="s">
        <v>1013</v>
      </c>
      <c r="B373" s="74" t="s">
        <v>5543</v>
      </c>
      <c r="C373" s="74" t="s">
        <v>4918</v>
      </c>
    </row>
    <row r="374" spans="1:3" x14ac:dyDescent="0.25">
      <c r="A374" s="71" t="s">
        <v>1015</v>
      </c>
      <c r="B374" s="74" t="s">
        <v>5544</v>
      </c>
      <c r="C374" s="74" t="s">
        <v>4918</v>
      </c>
    </row>
    <row r="375" spans="1:3" x14ac:dyDescent="0.25">
      <c r="A375" s="71" t="s">
        <v>1017</v>
      </c>
      <c r="B375" s="74" t="s">
        <v>5545</v>
      </c>
      <c r="C375" s="74" t="s">
        <v>4918</v>
      </c>
    </row>
    <row r="376" spans="1:3" x14ac:dyDescent="0.25">
      <c r="A376" s="71" t="s">
        <v>1019</v>
      </c>
      <c r="B376" s="74" t="s">
        <v>5546</v>
      </c>
      <c r="C376" s="74" t="s">
        <v>4918</v>
      </c>
    </row>
    <row r="377" spans="1:3" x14ac:dyDescent="0.25">
      <c r="A377" s="71" t="s">
        <v>1021</v>
      </c>
      <c r="B377" s="74" t="s">
        <v>5547</v>
      </c>
      <c r="C377" s="74" t="s">
        <v>4918</v>
      </c>
    </row>
    <row r="378" spans="1:3" x14ac:dyDescent="0.25">
      <c r="A378" s="71" t="s">
        <v>1023</v>
      </c>
      <c r="B378" s="74" t="s">
        <v>5548</v>
      </c>
      <c r="C378" s="74" t="s">
        <v>4918</v>
      </c>
    </row>
    <row r="379" spans="1:3" x14ac:dyDescent="0.25">
      <c r="A379" s="71" t="s">
        <v>1025</v>
      </c>
      <c r="B379" s="74" t="s">
        <v>5549</v>
      </c>
      <c r="C379" s="74" t="s">
        <v>4918</v>
      </c>
    </row>
    <row r="380" spans="1:3" x14ac:dyDescent="0.25">
      <c r="A380" s="71" t="s">
        <v>647</v>
      </c>
      <c r="B380" s="74" t="s">
        <v>5550</v>
      </c>
      <c r="C380" s="74" t="s">
        <v>4918</v>
      </c>
    </row>
    <row r="381" spans="1:3" x14ac:dyDescent="0.25">
      <c r="A381" s="71" t="s">
        <v>1027</v>
      </c>
      <c r="B381" s="74" t="s">
        <v>5551</v>
      </c>
      <c r="C381" s="74" t="s">
        <v>4918</v>
      </c>
    </row>
    <row r="382" spans="1:3" x14ac:dyDescent="0.25">
      <c r="A382" s="71" t="s">
        <v>1031</v>
      </c>
      <c r="B382" s="74" t="s">
        <v>5552</v>
      </c>
      <c r="C382" s="74" t="s">
        <v>4918</v>
      </c>
    </row>
    <row r="383" spans="1:3" x14ac:dyDescent="0.25">
      <c r="A383" s="71" t="s">
        <v>1033</v>
      </c>
      <c r="B383" s="74" t="s">
        <v>5553</v>
      </c>
      <c r="C383" s="74" t="s">
        <v>4918</v>
      </c>
    </row>
    <row r="384" spans="1:3" x14ac:dyDescent="0.25">
      <c r="A384" s="71" t="s">
        <v>1035</v>
      </c>
      <c r="B384" s="74" t="s">
        <v>5554</v>
      </c>
      <c r="C384" s="74" t="s">
        <v>4918</v>
      </c>
    </row>
    <row r="385" spans="1:3" x14ac:dyDescent="0.25">
      <c r="A385" s="71" t="s">
        <v>1037</v>
      </c>
      <c r="B385" s="74" t="s">
        <v>5555</v>
      </c>
      <c r="C385" s="74" t="s">
        <v>4918</v>
      </c>
    </row>
    <row r="386" spans="1:3" x14ac:dyDescent="0.25">
      <c r="A386" s="71" t="s">
        <v>1039</v>
      </c>
      <c r="B386" s="74" t="s">
        <v>5556</v>
      </c>
      <c r="C386" s="74" t="s">
        <v>4918</v>
      </c>
    </row>
    <row r="387" spans="1:3" x14ac:dyDescent="0.25">
      <c r="A387" s="71" t="s">
        <v>1041</v>
      </c>
      <c r="B387" s="74" t="s">
        <v>5557</v>
      </c>
      <c r="C387" s="74" t="s">
        <v>4918</v>
      </c>
    </row>
    <row r="388" spans="1:3" x14ac:dyDescent="0.25">
      <c r="A388" s="71" t="s">
        <v>1043</v>
      </c>
      <c r="B388" s="74" t="s">
        <v>5558</v>
      </c>
      <c r="C388" s="74" t="s">
        <v>4918</v>
      </c>
    </row>
    <row r="389" spans="1:3" x14ac:dyDescent="0.25">
      <c r="A389" s="71" t="s">
        <v>1045</v>
      </c>
      <c r="B389" s="74" t="s">
        <v>5559</v>
      </c>
      <c r="C389" s="74" t="s">
        <v>4918</v>
      </c>
    </row>
    <row r="390" spans="1:3" x14ac:dyDescent="0.25">
      <c r="A390" s="71" t="s">
        <v>649</v>
      </c>
      <c r="B390" s="74" t="s">
        <v>5560</v>
      </c>
      <c r="C390" s="74" t="s">
        <v>4918</v>
      </c>
    </row>
    <row r="391" spans="1:3" x14ac:dyDescent="0.25">
      <c r="A391" s="71" t="s">
        <v>1047</v>
      </c>
      <c r="B391" s="74" t="s">
        <v>5561</v>
      </c>
      <c r="C391" s="74" t="s">
        <v>4918</v>
      </c>
    </row>
    <row r="392" spans="1:3" x14ac:dyDescent="0.25">
      <c r="A392" s="71" t="s">
        <v>1049</v>
      </c>
      <c r="B392" s="74" t="s">
        <v>5562</v>
      </c>
      <c r="C392" s="74" t="s">
        <v>4918</v>
      </c>
    </row>
    <row r="393" spans="1:3" x14ac:dyDescent="0.25">
      <c r="A393" s="71" t="s">
        <v>1053</v>
      </c>
      <c r="B393" s="74" t="s">
        <v>5563</v>
      </c>
      <c r="C393" s="74" t="s">
        <v>4918</v>
      </c>
    </row>
    <row r="394" spans="1:3" x14ac:dyDescent="0.25">
      <c r="A394" s="71" t="s">
        <v>1055</v>
      </c>
      <c r="B394" s="74" t="s">
        <v>5564</v>
      </c>
      <c r="C394" s="74" t="s">
        <v>4918</v>
      </c>
    </row>
    <row r="395" spans="1:3" x14ac:dyDescent="0.25">
      <c r="A395" s="71" t="s">
        <v>1057</v>
      </c>
      <c r="B395" s="74" t="s">
        <v>5565</v>
      </c>
      <c r="C395" s="74" t="s">
        <v>4918</v>
      </c>
    </row>
    <row r="396" spans="1:3" x14ac:dyDescent="0.25">
      <c r="A396" s="71" t="s">
        <v>1059</v>
      </c>
      <c r="B396" s="74" t="s">
        <v>5566</v>
      </c>
      <c r="C396" s="74" t="s">
        <v>4918</v>
      </c>
    </row>
    <row r="397" spans="1:3" x14ac:dyDescent="0.25">
      <c r="A397" s="71" t="s">
        <v>1065</v>
      </c>
      <c r="B397" s="74" t="s">
        <v>5567</v>
      </c>
      <c r="C397" s="74" t="s">
        <v>4918</v>
      </c>
    </row>
    <row r="398" spans="1:3" x14ac:dyDescent="0.25">
      <c r="A398" s="71" t="s">
        <v>651</v>
      </c>
      <c r="B398" s="74" t="s">
        <v>5568</v>
      </c>
      <c r="C398" s="74" t="s">
        <v>4918</v>
      </c>
    </row>
    <row r="399" spans="1:3" x14ac:dyDescent="0.25">
      <c r="A399" s="71" t="s">
        <v>1067</v>
      </c>
      <c r="B399" s="74" t="s">
        <v>5569</v>
      </c>
      <c r="C399" s="74" t="s">
        <v>4918</v>
      </c>
    </row>
    <row r="400" spans="1:3" x14ac:dyDescent="0.25">
      <c r="A400" s="71" t="s">
        <v>1069</v>
      </c>
      <c r="B400" s="74" t="s">
        <v>5570</v>
      </c>
      <c r="C400" s="74" t="s">
        <v>4918</v>
      </c>
    </row>
    <row r="401" spans="1:3" x14ac:dyDescent="0.25">
      <c r="A401" s="71" t="s">
        <v>1073</v>
      </c>
      <c r="B401" s="74" t="s">
        <v>5046</v>
      </c>
      <c r="C401" s="74" t="s">
        <v>4918</v>
      </c>
    </row>
    <row r="402" spans="1:3" x14ac:dyDescent="0.25">
      <c r="A402" s="71" t="s">
        <v>1075</v>
      </c>
      <c r="B402" s="74" t="s">
        <v>5571</v>
      </c>
      <c r="C402" s="74" t="s">
        <v>4918</v>
      </c>
    </row>
    <row r="403" spans="1:3" x14ac:dyDescent="0.25">
      <c r="A403" s="71" t="s">
        <v>1077</v>
      </c>
      <c r="B403" s="74" t="s">
        <v>5572</v>
      </c>
      <c r="C403" s="74" t="s">
        <v>4918</v>
      </c>
    </row>
    <row r="404" spans="1:3" x14ac:dyDescent="0.25">
      <c r="A404" s="71" t="s">
        <v>1079</v>
      </c>
      <c r="B404" s="74" t="s">
        <v>5573</v>
      </c>
      <c r="C404" s="74" t="s">
        <v>4918</v>
      </c>
    </row>
    <row r="405" spans="1:3" x14ac:dyDescent="0.25">
      <c r="A405" s="71" t="s">
        <v>1081</v>
      </c>
      <c r="B405" s="74" t="s">
        <v>5574</v>
      </c>
      <c r="C405" s="74" t="s">
        <v>4918</v>
      </c>
    </row>
    <row r="406" spans="1:3" x14ac:dyDescent="0.25">
      <c r="A406" s="71" t="s">
        <v>1083</v>
      </c>
      <c r="B406" s="74" t="s">
        <v>5575</v>
      </c>
      <c r="C406" s="74" t="s">
        <v>4918</v>
      </c>
    </row>
    <row r="407" spans="1:3" x14ac:dyDescent="0.25">
      <c r="A407" s="71" t="s">
        <v>1085</v>
      </c>
      <c r="B407" s="74" t="s">
        <v>5576</v>
      </c>
      <c r="C407" s="74" t="s">
        <v>4918</v>
      </c>
    </row>
    <row r="408" spans="1:3" x14ac:dyDescent="0.25">
      <c r="A408" s="71" t="s">
        <v>653</v>
      </c>
      <c r="B408" s="74" t="s">
        <v>5577</v>
      </c>
      <c r="C408" s="74" t="s">
        <v>4918</v>
      </c>
    </row>
    <row r="409" spans="1:3" x14ac:dyDescent="0.25">
      <c r="A409" s="71" t="s">
        <v>1087</v>
      </c>
      <c r="B409" s="74" t="s">
        <v>5578</v>
      </c>
      <c r="C409" s="74" t="s">
        <v>4918</v>
      </c>
    </row>
    <row r="410" spans="1:3" x14ac:dyDescent="0.25">
      <c r="A410" s="71" t="s">
        <v>1089</v>
      </c>
      <c r="B410" s="74" t="s">
        <v>5579</v>
      </c>
      <c r="C410" s="74" t="s">
        <v>4918</v>
      </c>
    </row>
    <row r="411" spans="1:3" x14ac:dyDescent="0.25">
      <c r="A411" s="71" t="s">
        <v>1091</v>
      </c>
      <c r="B411" s="74" t="s">
        <v>5580</v>
      </c>
      <c r="C411" s="74" t="s">
        <v>4918</v>
      </c>
    </row>
    <row r="412" spans="1:3" x14ac:dyDescent="0.25">
      <c r="A412" s="71" t="s">
        <v>1093</v>
      </c>
      <c r="B412" s="74" t="s">
        <v>5581</v>
      </c>
      <c r="C412" s="74" t="s">
        <v>4918</v>
      </c>
    </row>
    <row r="413" spans="1:3" x14ac:dyDescent="0.25">
      <c r="A413" s="71" t="s">
        <v>1095</v>
      </c>
      <c r="B413" s="74" t="s">
        <v>5582</v>
      </c>
      <c r="C413" s="74" t="s">
        <v>4918</v>
      </c>
    </row>
    <row r="414" spans="1:3" x14ac:dyDescent="0.25">
      <c r="A414" s="71" t="s">
        <v>1097</v>
      </c>
      <c r="B414" s="74" t="s">
        <v>5583</v>
      </c>
      <c r="C414" s="74" t="s">
        <v>4918</v>
      </c>
    </row>
    <row r="415" spans="1:3" x14ac:dyDescent="0.25">
      <c r="A415" s="71" t="s">
        <v>1099</v>
      </c>
      <c r="B415" s="74" t="s">
        <v>5584</v>
      </c>
      <c r="C415" s="74" t="s">
        <v>4918</v>
      </c>
    </row>
    <row r="416" spans="1:3" x14ac:dyDescent="0.25">
      <c r="A416" s="71" t="s">
        <v>1101</v>
      </c>
      <c r="B416" s="74" t="s">
        <v>5585</v>
      </c>
      <c r="C416" s="74" t="s">
        <v>4918</v>
      </c>
    </row>
    <row r="417" spans="1:3" x14ac:dyDescent="0.25">
      <c r="A417" s="71" t="s">
        <v>1105</v>
      </c>
      <c r="B417" s="74" t="s">
        <v>5586</v>
      </c>
      <c r="C417" s="74" t="s">
        <v>4918</v>
      </c>
    </row>
    <row r="418" spans="1:3" x14ac:dyDescent="0.25">
      <c r="A418" s="71" t="s">
        <v>1107</v>
      </c>
      <c r="B418" s="74" t="s">
        <v>5587</v>
      </c>
      <c r="C418" s="74" t="s">
        <v>4918</v>
      </c>
    </row>
    <row r="419" spans="1:3" x14ac:dyDescent="0.25">
      <c r="A419" s="71" t="s">
        <v>1109</v>
      </c>
      <c r="B419" s="74" t="s">
        <v>5588</v>
      </c>
      <c r="C419" s="74" t="s">
        <v>4918</v>
      </c>
    </row>
    <row r="420" spans="1:3" x14ac:dyDescent="0.25">
      <c r="A420" s="71" t="s">
        <v>1111</v>
      </c>
      <c r="B420" s="74" t="s">
        <v>5589</v>
      </c>
      <c r="C420" s="74" t="s">
        <v>4918</v>
      </c>
    </row>
    <row r="421" spans="1:3" x14ac:dyDescent="0.25">
      <c r="A421" s="71" t="s">
        <v>1113</v>
      </c>
      <c r="B421" s="74" t="s">
        <v>5590</v>
      </c>
      <c r="C421" s="74" t="s">
        <v>4918</v>
      </c>
    </row>
    <row r="422" spans="1:3" x14ac:dyDescent="0.25">
      <c r="A422" s="71" t="s">
        <v>1117</v>
      </c>
      <c r="B422" s="74" t="s">
        <v>5591</v>
      </c>
      <c r="C422" s="74" t="s">
        <v>4918</v>
      </c>
    </row>
    <row r="423" spans="1:3" x14ac:dyDescent="0.25">
      <c r="A423" s="71" t="s">
        <v>1119</v>
      </c>
      <c r="B423" s="74" t="s">
        <v>5592</v>
      </c>
      <c r="C423" s="74" t="s">
        <v>4918</v>
      </c>
    </row>
    <row r="424" spans="1:3" x14ac:dyDescent="0.25">
      <c r="A424" s="71" t="s">
        <v>1121</v>
      </c>
      <c r="B424" s="74" t="s">
        <v>5593</v>
      </c>
      <c r="C424" s="74" t="s">
        <v>4918</v>
      </c>
    </row>
    <row r="425" spans="1:3" x14ac:dyDescent="0.25">
      <c r="A425" s="71" t="s">
        <v>1123</v>
      </c>
      <c r="B425" s="74" t="s">
        <v>5594</v>
      </c>
      <c r="C425" s="74" t="s">
        <v>4918</v>
      </c>
    </row>
    <row r="426" spans="1:3" x14ac:dyDescent="0.25">
      <c r="A426" s="71" t="s">
        <v>1125</v>
      </c>
      <c r="B426" s="74" t="s">
        <v>5595</v>
      </c>
      <c r="C426" s="74" t="s">
        <v>4918</v>
      </c>
    </row>
    <row r="427" spans="1:3" x14ac:dyDescent="0.25">
      <c r="A427" s="71" t="s">
        <v>655</v>
      </c>
      <c r="B427" s="74" t="s">
        <v>5596</v>
      </c>
      <c r="C427" s="74" t="s">
        <v>4918</v>
      </c>
    </row>
    <row r="428" spans="1:3" x14ac:dyDescent="0.25">
      <c r="A428" s="71" t="s">
        <v>1127</v>
      </c>
      <c r="B428" s="74" t="s">
        <v>5597</v>
      </c>
      <c r="C428" s="74" t="s">
        <v>4918</v>
      </c>
    </row>
    <row r="429" spans="1:3" x14ac:dyDescent="0.25">
      <c r="A429" s="71" t="s">
        <v>1129</v>
      </c>
      <c r="B429" s="74" t="s">
        <v>5598</v>
      </c>
      <c r="C429" s="74" t="s">
        <v>4918</v>
      </c>
    </row>
    <row r="430" spans="1:3" x14ac:dyDescent="0.25">
      <c r="A430" s="71" t="s">
        <v>1131</v>
      </c>
      <c r="B430" s="74" t="s">
        <v>5599</v>
      </c>
      <c r="C430" s="74" t="s">
        <v>4918</v>
      </c>
    </row>
    <row r="431" spans="1:3" x14ac:dyDescent="0.25">
      <c r="A431" s="71" t="s">
        <v>1133</v>
      </c>
      <c r="B431" s="74" t="s">
        <v>5600</v>
      </c>
      <c r="C431" s="74" t="s">
        <v>4918</v>
      </c>
    </row>
    <row r="432" spans="1:3" x14ac:dyDescent="0.25">
      <c r="A432" s="71" t="s">
        <v>1135</v>
      </c>
      <c r="B432" s="74" t="s">
        <v>5601</v>
      </c>
      <c r="C432" s="74" t="s">
        <v>4918</v>
      </c>
    </row>
    <row r="433" spans="1:3" x14ac:dyDescent="0.25">
      <c r="A433" s="71" t="s">
        <v>1139</v>
      </c>
      <c r="B433" s="74" t="s">
        <v>5602</v>
      </c>
      <c r="C433" s="74" t="s">
        <v>4918</v>
      </c>
    </row>
    <row r="434" spans="1:3" x14ac:dyDescent="0.25">
      <c r="A434" s="71" t="s">
        <v>1141</v>
      </c>
      <c r="B434" s="74" t="s">
        <v>5603</v>
      </c>
      <c r="C434" s="74" t="s">
        <v>4918</v>
      </c>
    </row>
    <row r="435" spans="1:3" x14ac:dyDescent="0.25">
      <c r="A435" s="71" t="s">
        <v>1143</v>
      </c>
      <c r="B435" s="74" t="s">
        <v>5604</v>
      </c>
      <c r="C435" s="74" t="s">
        <v>4918</v>
      </c>
    </row>
    <row r="436" spans="1:3" x14ac:dyDescent="0.25">
      <c r="A436" s="71" t="s">
        <v>1145</v>
      </c>
      <c r="B436" s="74" t="s">
        <v>5605</v>
      </c>
      <c r="C436" s="74" t="s">
        <v>4918</v>
      </c>
    </row>
    <row r="437" spans="1:3" x14ac:dyDescent="0.25">
      <c r="A437" s="71" t="s">
        <v>657</v>
      </c>
      <c r="B437" s="74" t="s">
        <v>5606</v>
      </c>
      <c r="C437" s="74" t="s">
        <v>4918</v>
      </c>
    </row>
    <row r="438" spans="1:3" x14ac:dyDescent="0.25">
      <c r="A438" s="71" t="s">
        <v>1147</v>
      </c>
      <c r="B438" s="74" t="s">
        <v>5607</v>
      </c>
      <c r="C438" s="74" t="s">
        <v>4918</v>
      </c>
    </row>
    <row r="439" spans="1:3" x14ac:dyDescent="0.25">
      <c r="A439" s="71" t="s">
        <v>1149</v>
      </c>
      <c r="B439" s="74" t="s">
        <v>5608</v>
      </c>
      <c r="C439" s="74" t="s">
        <v>4918</v>
      </c>
    </row>
    <row r="440" spans="1:3" x14ac:dyDescent="0.25">
      <c r="A440" s="71" t="s">
        <v>1151</v>
      </c>
      <c r="B440" s="74" t="s">
        <v>5609</v>
      </c>
      <c r="C440" s="74" t="s">
        <v>4918</v>
      </c>
    </row>
    <row r="441" spans="1:3" x14ac:dyDescent="0.25">
      <c r="A441" s="71" t="s">
        <v>1153</v>
      </c>
      <c r="B441" s="74" t="s">
        <v>5610</v>
      </c>
      <c r="C441" s="74" t="s">
        <v>4918</v>
      </c>
    </row>
    <row r="442" spans="1:3" x14ac:dyDescent="0.25">
      <c r="A442" s="71" t="s">
        <v>1155</v>
      </c>
      <c r="B442" s="74" t="s">
        <v>5611</v>
      </c>
      <c r="C442" s="74" t="s">
        <v>4918</v>
      </c>
    </row>
    <row r="443" spans="1:3" x14ac:dyDescent="0.25">
      <c r="A443" s="71" t="s">
        <v>1157</v>
      </c>
      <c r="B443" s="74" t="s">
        <v>5612</v>
      </c>
      <c r="C443" s="74" t="s">
        <v>4918</v>
      </c>
    </row>
    <row r="444" spans="1:3" x14ac:dyDescent="0.25">
      <c r="A444" s="71" t="s">
        <v>1161</v>
      </c>
      <c r="B444" s="74" t="s">
        <v>5613</v>
      </c>
      <c r="C444" s="74" t="s">
        <v>4918</v>
      </c>
    </row>
    <row r="445" spans="1:3" x14ac:dyDescent="0.25">
      <c r="A445" s="71" t="s">
        <v>1163</v>
      </c>
      <c r="B445" s="74" t="s">
        <v>5614</v>
      </c>
      <c r="C445" s="74" t="s">
        <v>4918</v>
      </c>
    </row>
    <row r="446" spans="1:3" x14ac:dyDescent="0.25">
      <c r="A446" s="71" t="s">
        <v>1165</v>
      </c>
      <c r="B446" s="74" t="s">
        <v>5615</v>
      </c>
      <c r="C446" s="74" t="s">
        <v>4918</v>
      </c>
    </row>
    <row r="447" spans="1:3" x14ac:dyDescent="0.25">
      <c r="A447" s="71" t="s">
        <v>659</v>
      </c>
      <c r="B447" s="74" t="s">
        <v>5616</v>
      </c>
      <c r="C447" s="74" t="s">
        <v>4918</v>
      </c>
    </row>
    <row r="448" spans="1:3" x14ac:dyDescent="0.25">
      <c r="A448" s="71" t="s">
        <v>1167</v>
      </c>
      <c r="B448" s="74" t="s">
        <v>5617</v>
      </c>
      <c r="C448" s="74" t="s">
        <v>4918</v>
      </c>
    </row>
    <row r="449" spans="1:3" x14ac:dyDescent="0.25">
      <c r="A449" s="71" t="s">
        <v>1169</v>
      </c>
      <c r="B449" s="74" t="s">
        <v>5618</v>
      </c>
      <c r="C449" s="74" t="s">
        <v>4918</v>
      </c>
    </row>
    <row r="450" spans="1:3" x14ac:dyDescent="0.25">
      <c r="A450" s="71" t="s">
        <v>1171</v>
      </c>
      <c r="B450" s="74" t="s">
        <v>5619</v>
      </c>
      <c r="C450" s="74" t="s">
        <v>4918</v>
      </c>
    </row>
    <row r="451" spans="1:3" x14ac:dyDescent="0.25">
      <c r="A451" s="71" t="s">
        <v>1173</v>
      </c>
      <c r="B451" s="74" t="s">
        <v>5620</v>
      </c>
      <c r="C451" s="74" t="s">
        <v>4918</v>
      </c>
    </row>
    <row r="452" spans="1:3" x14ac:dyDescent="0.25">
      <c r="A452" s="71" t="s">
        <v>1175</v>
      </c>
      <c r="B452" s="74" t="s">
        <v>5621</v>
      </c>
      <c r="C452" s="74" t="s">
        <v>4918</v>
      </c>
    </row>
    <row r="453" spans="1:3" x14ac:dyDescent="0.25">
      <c r="A453" s="71" t="s">
        <v>1177</v>
      </c>
      <c r="B453" s="74" t="s">
        <v>5622</v>
      </c>
      <c r="C453" s="74" t="s">
        <v>4918</v>
      </c>
    </row>
    <row r="454" spans="1:3" x14ac:dyDescent="0.25">
      <c r="A454" s="71" t="s">
        <v>1179</v>
      </c>
      <c r="B454" s="74" t="s">
        <v>5450</v>
      </c>
      <c r="C454" s="74" t="s">
        <v>4918</v>
      </c>
    </row>
    <row r="455" spans="1:3" x14ac:dyDescent="0.25">
      <c r="A455" s="71" t="s">
        <v>1181</v>
      </c>
      <c r="B455" s="74" t="s">
        <v>5623</v>
      </c>
      <c r="C455" s="74" t="s">
        <v>4918</v>
      </c>
    </row>
    <row r="456" spans="1:3" x14ac:dyDescent="0.25">
      <c r="A456" s="71" t="s">
        <v>1183</v>
      </c>
      <c r="B456" s="74" t="s">
        <v>5624</v>
      </c>
      <c r="C456" s="74" t="s">
        <v>4918</v>
      </c>
    </row>
    <row r="457" spans="1:3" x14ac:dyDescent="0.25">
      <c r="A457" s="71" t="s">
        <v>1185</v>
      </c>
      <c r="B457" s="74" t="s">
        <v>5625</v>
      </c>
      <c r="C457" s="74" t="s">
        <v>4918</v>
      </c>
    </row>
    <row r="458" spans="1:3" x14ac:dyDescent="0.25">
      <c r="A458" s="71" t="s">
        <v>661</v>
      </c>
      <c r="B458" s="74" t="s">
        <v>5626</v>
      </c>
      <c r="C458" s="74" t="s">
        <v>4918</v>
      </c>
    </row>
    <row r="459" spans="1:3" x14ac:dyDescent="0.25">
      <c r="A459" s="71" t="s">
        <v>1187</v>
      </c>
      <c r="B459" s="74" t="s">
        <v>5627</v>
      </c>
      <c r="C459" s="74" t="s">
        <v>4918</v>
      </c>
    </row>
    <row r="460" spans="1:3" x14ac:dyDescent="0.25">
      <c r="A460" s="71" t="s">
        <v>1189</v>
      </c>
      <c r="B460" s="74" t="s">
        <v>5628</v>
      </c>
      <c r="C460" s="74" t="s">
        <v>4918</v>
      </c>
    </row>
    <row r="461" spans="1:3" x14ac:dyDescent="0.25">
      <c r="A461" s="71" t="s">
        <v>1191</v>
      </c>
      <c r="B461" s="74" t="s">
        <v>5629</v>
      </c>
      <c r="C461" s="74" t="s">
        <v>4918</v>
      </c>
    </row>
    <row r="462" spans="1:3" x14ac:dyDescent="0.25">
      <c r="A462" s="71" t="s">
        <v>1193</v>
      </c>
      <c r="B462" s="74" t="s">
        <v>5630</v>
      </c>
      <c r="C462" s="74" t="s">
        <v>4918</v>
      </c>
    </row>
    <row r="463" spans="1:3" x14ac:dyDescent="0.25">
      <c r="A463" s="71" t="s">
        <v>1195</v>
      </c>
      <c r="B463" s="74" t="s">
        <v>5631</v>
      </c>
      <c r="C463" s="74" t="s">
        <v>4918</v>
      </c>
    </row>
    <row r="464" spans="1:3" x14ac:dyDescent="0.25">
      <c r="A464" s="71" t="s">
        <v>1197</v>
      </c>
      <c r="B464" s="74" t="s">
        <v>5632</v>
      </c>
      <c r="C464" s="74" t="s">
        <v>4918</v>
      </c>
    </row>
    <row r="465" spans="1:3" x14ac:dyDescent="0.25">
      <c r="A465" s="71" t="s">
        <v>1199</v>
      </c>
      <c r="B465" s="74" t="s">
        <v>5633</v>
      </c>
      <c r="C465" s="74" t="s">
        <v>4918</v>
      </c>
    </row>
    <row r="466" spans="1:3" x14ac:dyDescent="0.25">
      <c r="A466" s="71" t="s">
        <v>1205</v>
      </c>
      <c r="B466" s="74" t="s">
        <v>5634</v>
      </c>
      <c r="C466" s="74" t="s">
        <v>4918</v>
      </c>
    </row>
    <row r="467" spans="1:3" x14ac:dyDescent="0.25">
      <c r="A467" s="71" t="s">
        <v>663</v>
      </c>
      <c r="B467" s="74" t="s">
        <v>5635</v>
      </c>
      <c r="C467" s="74" t="s">
        <v>4918</v>
      </c>
    </row>
    <row r="468" spans="1:3" x14ac:dyDescent="0.25">
      <c r="A468" s="71" t="s">
        <v>1207</v>
      </c>
      <c r="B468" s="74" t="s">
        <v>5636</v>
      </c>
      <c r="C468" s="74" t="s">
        <v>4918</v>
      </c>
    </row>
    <row r="469" spans="1:3" x14ac:dyDescent="0.25">
      <c r="A469" s="71" t="s">
        <v>1209</v>
      </c>
      <c r="B469" s="74" t="s">
        <v>5637</v>
      </c>
      <c r="C469" s="74" t="s">
        <v>4918</v>
      </c>
    </row>
    <row r="470" spans="1:3" x14ac:dyDescent="0.25">
      <c r="A470" s="71" t="s">
        <v>1211</v>
      </c>
      <c r="B470" s="74" t="s">
        <v>5638</v>
      </c>
      <c r="C470" s="74" t="s">
        <v>4918</v>
      </c>
    </row>
    <row r="471" spans="1:3" x14ac:dyDescent="0.25">
      <c r="A471" s="71" t="s">
        <v>1213</v>
      </c>
      <c r="B471" s="74" t="s">
        <v>5639</v>
      </c>
      <c r="C471" s="74" t="s">
        <v>4918</v>
      </c>
    </row>
    <row r="472" spans="1:3" x14ac:dyDescent="0.25">
      <c r="A472" s="71" t="s">
        <v>1215</v>
      </c>
      <c r="B472" s="74" t="s">
        <v>5640</v>
      </c>
      <c r="C472" s="74" t="s">
        <v>4918</v>
      </c>
    </row>
    <row r="473" spans="1:3" x14ac:dyDescent="0.25">
      <c r="A473" s="71" t="s">
        <v>1217</v>
      </c>
      <c r="B473" s="74" t="s">
        <v>5641</v>
      </c>
      <c r="C473" s="74" t="s">
        <v>4918</v>
      </c>
    </row>
    <row r="474" spans="1:3" x14ac:dyDescent="0.25">
      <c r="A474" s="71" t="s">
        <v>1219</v>
      </c>
      <c r="B474" s="74" t="s">
        <v>5642</v>
      </c>
      <c r="C474" s="74" t="s">
        <v>4918</v>
      </c>
    </row>
    <row r="475" spans="1:3" x14ac:dyDescent="0.25">
      <c r="A475" s="71" t="s">
        <v>1221</v>
      </c>
      <c r="B475" s="74" t="s">
        <v>5643</v>
      </c>
      <c r="C475" s="74" t="s">
        <v>4918</v>
      </c>
    </row>
    <row r="476" spans="1:3" x14ac:dyDescent="0.25">
      <c r="A476" s="71" t="s">
        <v>1223</v>
      </c>
      <c r="B476" s="74" t="s">
        <v>5644</v>
      </c>
      <c r="C476" s="74" t="s">
        <v>4918</v>
      </c>
    </row>
    <row r="477" spans="1:3" x14ac:dyDescent="0.25">
      <c r="A477" s="71" t="s">
        <v>1225</v>
      </c>
      <c r="B477" s="74" t="s">
        <v>5645</v>
      </c>
      <c r="C477" s="74" t="s">
        <v>4918</v>
      </c>
    </row>
    <row r="478" spans="1:3" x14ac:dyDescent="0.25">
      <c r="A478" s="71" t="s">
        <v>665</v>
      </c>
      <c r="B478" s="74" t="s">
        <v>5646</v>
      </c>
      <c r="C478" s="74" t="s">
        <v>4918</v>
      </c>
    </row>
    <row r="479" spans="1:3" x14ac:dyDescent="0.25">
      <c r="A479" s="71" t="s">
        <v>1229</v>
      </c>
      <c r="B479" s="74" t="s">
        <v>5647</v>
      </c>
      <c r="C479" s="74" t="s">
        <v>4918</v>
      </c>
    </row>
    <row r="480" spans="1:3" x14ac:dyDescent="0.25">
      <c r="A480" s="71" t="s">
        <v>1231</v>
      </c>
      <c r="B480" s="74" t="s">
        <v>5648</v>
      </c>
      <c r="C480" s="74" t="s">
        <v>4918</v>
      </c>
    </row>
    <row r="481" spans="1:3" x14ac:dyDescent="0.25">
      <c r="A481" s="71" t="s">
        <v>1232</v>
      </c>
      <c r="B481" s="74" t="s">
        <v>5649</v>
      </c>
      <c r="C481" s="74" t="s">
        <v>4918</v>
      </c>
    </row>
    <row r="482" spans="1:3" x14ac:dyDescent="0.25">
      <c r="A482" s="71" t="s">
        <v>1235</v>
      </c>
      <c r="B482" s="74" t="s">
        <v>5650</v>
      </c>
      <c r="C482" s="74" t="s">
        <v>4918</v>
      </c>
    </row>
    <row r="483" spans="1:3" x14ac:dyDescent="0.25">
      <c r="A483" s="71" t="s">
        <v>1238</v>
      </c>
      <c r="B483" s="74" t="s">
        <v>5651</v>
      </c>
      <c r="C483" s="74" t="s">
        <v>4918</v>
      </c>
    </row>
    <row r="484" spans="1:3" x14ac:dyDescent="0.25">
      <c r="A484" s="71" t="s">
        <v>1240</v>
      </c>
      <c r="B484" s="74" t="s">
        <v>5652</v>
      </c>
      <c r="C484" s="74" t="s">
        <v>4918</v>
      </c>
    </row>
    <row r="485" spans="1:3" x14ac:dyDescent="0.25">
      <c r="A485" s="71" t="s">
        <v>1241</v>
      </c>
      <c r="B485" s="74" t="s">
        <v>5653</v>
      </c>
      <c r="C485" s="74" t="s">
        <v>4918</v>
      </c>
    </row>
    <row r="486" spans="1:3" x14ac:dyDescent="0.25">
      <c r="A486" s="71" t="s">
        <v>667</v>
      </c>
      <c r="B486" s="74" t="s">
        <v>5654</v>
      </c>
      <c r="C486" s="74" t="s">
        <v>4918</v>
      </c>
    </row>
    <row r="487" spans="1:3" x14ac:dyDescent="0.25">
      <c r="A487" s="71" t="s">
        <v>5655</v>
      </c>
      <c r="B487" s="74" t="s">
        <v>5656</v>
      </c>
      <c r="C487" s="74" t="s">
        <v>4918</v>
      </c>
    </row>
    <row r="488" spans="1:3" x14ac:dyDescent="0.25">
      <c r="A488" s="71" t="s">
        <v>1244</v>
      </c>
      <c r="B488" s="74" t="s">
        <v>5657</v>
      </c>
      <c r="C488" s="74" t="s">
        <v>4918</v>
      </c>
    </row>
    <row r="489" spans="1:3" x14ac:dyDescent="0.25">
      <c r="A489" s="71" t="s">
        <v>1246</v>
      </c>
      <c r="B489" s="74" t="s">
        <v>5658</v>
      </c>
      <c r="C489" s="74" t="s">
        <v>4918</v>
      </c>
    </row>
    <row r="490" spans="1:3" x14ac:dyDescent="0.25">
      <c r="A490" s="71" t="s">
        <v>1247</v>
      </c>
      <c r="B490" s="74" t="s">
        <v>5659</v>
      </c>
      <c r="C490" s="74" t="s">
        <v>4918</v>
      </c>
    </row>
    <row r="491" spans="1:3" x14ac:dyDescent="0.25">
      <c r="A491" s="71" t="s">
        <v>5660</v>
      </c>
      <c r="B491" s="74" t="s">
        <v>5661</v>
      </c>
      <c r="C491" s="74" t="s">
        <v>4918</v>
      </c>
    </row>
    <row r="492" spans="1:3" x14ac:dyDescent="0.25">
      <c r="A492" s="71" t="s">
        <v>1248</v>
      </c>
      <c r="B492" s="74" t="s">
        <v>5662</v>
      </c>
      <c r="C492" s="74" t="s">
        <v>4918</v>
      </c>
    </row>
    <row r="493" spans="1:3" x14ac:dyDescent="0.25">
      <c r="A493" s="71" t="s">
        <v>1250</v>
      </c>
      <c r="B493" s="74" t="s">
        <v>5663</v>
      </c>
      <c r="C493" s="74" t="s">
        <v>4918</v>
      </c>
    </row>
    <row r="494" spans="1:3" x14ac:dyDescent="0.25">
      <c r="A494" s="71" t="s">
        <v>1251</v>
      </c>
      <c r="B494" s="74" t="s">
        <v>5664</v>
      </c>
      <c r="C494" s="74" t="s">
        <v>4918</v>
      </c>
    </row>
    <row r="495" spans="1:3" x14ac:dyDescent="0.25">
      <c r="A495" s="71" t="s">
        <v>1253</v>
      </c>
      <c r="B495" s="74" t="s">
        <v>5665</v>
      </c>
      <c r="C495" s="74" t="s">
        <v>4918</v>
      </c>
    </row>
    <row r="496" spans="1:3" x14ac:dyDescent="0.25">
      <c r="A496" s="71" t="s">
        <v>669</v>
      </c>
      <c r="B496" s="74" t="s">
        <v>5666</v>
      </c>
      <c r="C496" s="74" t="s">
        <v>4918</v>
      </c>
    </row>
    <row r="497" spans="1:3" x14ac:dyDescent="0.25">
      <c r="A497" s="71" t="s">
        <v>1254</v>
      </c>
      <c r="B497" s="74" t="s">
        <v>5667</v>
      </c>
      <c r="C497" s="74" t="s">
        <v>4918</v>
      </c>
    </row>
    <row r="498" spans="1:3" x14ac:dyDescent="0.25">
      <c r="A498" s="71" t="s">
        <v>1257</v>
      </c>
      <c r="B498" s="74" t="s">
        <v>5668</v>
      </c>
      <c r="C498" s="74" t="s">
        <v>4918</v>
      </c>
    </row>
    <row r="499" spans="1:3" x14ac:dyDescent="0.25">
      <c r="A499" s="71" t="s">
        <v>1259</v>
      </c>
      <c r="B499" s="74" t="s">
        <v>5669</v>
      </c>
      <c r="C499" s="74" t="s">
        <v>4918</v>
      </c>
    </row>
    <row r="500" spans="1:3" x14ac:dyDescent="0.25">
      <c r="A500" s="71" t="s">
        <v>1263</v>
      </c>
      <c r="B500" s="74" t="s">
        <v>5670</v>
      </c>
      <c r="C500" s="74" t="s">
        <v>4918</v>
      </c>
    </row>
    <row r="501" spans="1:3" x14ac:dyDescent="0.25">
      <c r="A501" s="71" t="s">
        <v>1265</v>
      </c>
      <c r="B501" s="74" t="s">
        <v>5671</v>
      </c>
      <c r="C501" s="74" t="s">
        <v>4918</v>
      </c>
    </row>
    <row r="502" spans="1:3" x14ac:dyDescent="0.25">
      <c r="A502" s="71" t="s">
        <v>1271</v>
      </c>
      <c r="B502" s="74" t="s">
        <v>5251</v>
      </c>
      <c r="C502" s="74" t="s">
        <v>4918</v>
      </c>
    </row>
    <row r="503" spans="1:3" x14ac:dyDescent="0.25">
      <c r="A503" s="71" t="s">
        <v>1273</v>
      </c>
      <c r="B503" s="74" t="s">
        <v>1274</v>
      </c>
      <c r="C503" s="74" t="s">
        <v>4918</v>
      </c>
    </row>
    <row r="504" spans="1:3" x14ac:dyDescent="0.25">
      <c r="A504" s="71" t="s">
        <v>1275</v>
      </c>
      <c r="B504" s="74" t="s">
        <v>5672</v>
      </c>
      <c r="C504" s="74" t="s">
        <v>4918</v>
      </c>
    </row>
    <row r="505" spans="1:3" x14ac:dyDescent="0.25">
      <c r="A505" s="71" t="s">
        <v>1276</v>
      </c>
      <c r="B505" s="74" t="s">
        <v>1277</v>
      </c>
      <c r="C505" s="74" t="s">
        <v>4918</v>
      </c>
    </row>
    <row r="506" spans="1:3" x14ac:dyDescent="0.25">
      <c r="A506" s="71" t="s">
        <v>1278</v>
      </c>
      <c r="B506" s="74" t="s">
        <v>5673</v>
      </c>
      <c r="C506" s="74" t="s">
        <v>4918</v>
      </c>
    </row>
    <row r="507" spans="1:3" x14ac:dyDescent="0.25">
      <c r="A507" s="71" t="s">
        <v>1280</v>
      </c>
      <c r="B507" s="74" t="s">
        <v>5674</v>
      </c>
      <c r="C507" s="74" t="s">
        <v>4918</v>
      </c>
    </row>
    <row r="508" spans="1:3" x14ac:dyDescent="0.25">
      <c r="A508" s="71" t="s">
        <v>1282</v>
      </c>
      <c r="B508" s="74" t="s">
        <v>5675</v>
      </c>
      <c r="C508" s="74" t="s">
        <v>4918</v>
      </c>
    </row>
    <row r="509" spans="1:3" x14ac:dyDescent="0.25">
      <c r="A509" s="71" t="s">
        <v>1284</v>
      </c>
      <c r="B509" s="74" t="s">
        <v>5676</v>
      </c>
      <c r="C509" s="74" t="s">
        <v>4918</v>
      </c>
    </row>
    <row r="510" spans="1:3" x14ac:dyDescent="0.25">
      <c r="A510" s="71" t="s">
        <v>1286</v>
      </c>
      <c r="B510" s="74" t="s">
        <v>5677</v>
      </c>
      <c r="C510" s="74" t="s">
        <v>4918</v>
      </c>
    </row>
    <row r="511" spans="1:3" x14ac:dyDescent="0.25">
      <c r="A511" s="71" t="s">
        <v>1287</v>
      </c>
      <c r="B511" s="74" t="s">
        <v>5678</v>
      </c>
      <c r="C511" s="74" t="s">
        <v>4918</v>
      </c>
    </row>
    <row r="512" spans="1:3" x14ac:dyDescent="0.25">
      <c r="A512" s="71" t="s">
        <v>1289</v>
      </c>
      <c r="B512" s="74" t="s">
        <v>5679</v>
      </c>
      <c r="C512" s="74" t="s">
        <v>4918</v>
      </c>
    </row>
    <row r="513" spans="1:3" x14ac:dyDescent="0.25">
      <c r="A513" s="71" t="s">
        <v>671</v>
      </c>
      <c r="B513" s="74" t="s">
        <v>5680</v>
      </c>
      <c r="C513" s="74" t="s">
        <v>4918</v>
      </c>
    </row>
    <row r="514" spans="1:3" x14ac:dyDescent="0.25">
      <c r="A514" s="71" t="s">
        <v>1291</v>
      </c>
      <c r="B514" s="74" t="s">
        <v>5681</v>
      </c>
      <c r="C514" s="74" t="s">
        <v>4918</v>
      </c>
    </row>
    <row r="515" spans="1:3" x14ac:dyDescent="0.25">
      <c r="A515" s="71" t="s">
        <v>1293</v>
      </c>
      <c r="B515" s="74" t="s">
        <v>5682</v>
      </c>
      <c r="C515" s="74" t="s">
        <v>4918</v>
      </c>
    </row>
    <row r="516" spans="1:3" x14ac:dyDescent="0.25">
      <c r="A516" s="71" t="s">
        <v>1295</v>
      </c>
      <c r="B516" s="74" t="s">
        <v>5683</v>
      </c>
      <c r="C516" s="74" t="s">
        <v>4918</v>
      </c>
    </row>
    <row r="517" spans="1:3" x14ac:dyDescent="0.25">
      <c r="A517" s="71" t="s">
        <v>1297</v>
      </c>
      <c r="B517" s="74" t="s">
        <v>5684</v>
      </c>
      <c r="C517" s="74" t="s">
        <v>4918</v>
      </c>
    </row>
    <row r="518" spans="1:3" x14ac:dyDescent="0.25">
      <c r="A518" s="71" t="s">
        <v>1299</v>
      </c>
      <c r="B518" s="74" t="s">
        <v>5685</v>
      </c>
      <c r="C518" s="74" t="s">
        <v>4918</v>
      </c>
    </row>
    <row r="519" spans="1:3" x14ac:dyDescent="0.25">
      <c r="A519" s="71" t="s">
        <v>1303</v>
      </c>
      <c r="B519" s="74" t="s">
        <v>5686</v>
      </c>
      <c r="C519" s="74" t="s">
        <v>4918</v>
      </c>
    </row>
    <row r="520" spans="1:3" x14ac:dyDescent="0.25">
      <c r="A520" s="71" t="s">
        <v>1305</v>
      </c>
      <c r="B520" s="74" t="s">
        <v>5687</v>
      </c>
      <c r="C520" s="74" t="s">
        <v>4918</v>
      </c>
    </row>
    <row r="521" spans="1:3" x14ac:dyDescent="0.25">
      <c r="A521" s="71" t="s">
        <v>615</v>
      </c>
      <c r="B521" s="74" t="s">
        <v>5688</v>
      </c>
      <c r="C521" s="74" t="s">
        <v>4918</v>
      </c>
    </row>
    <row r="522" spans="1:3" x14ac:dyDescent="0.25">
      <c r="A522" s="71" t="s">
        <v>1312</v>
      </c>
      <c r="B522" s="74" t="s">
        <v>5689</v>
      </c>
      <c r="C522" s="74" t="s">
        <v>4918</v>
      </c>
    </row>
    <row r="523" spans="1:3" x14ac:dyDescent="0.25">
      <c r="A523" s="71" t="s">
        <v>1316</v>
      </c>
      <c r="B523" s="74" t="s">
        <v>5690</v>
      </c>
      <c r="C523" s="74" t="s">
        <v>4918</v>
      </c>
    </row>
    <row r="524" spans="1:3" x14ac:dyDescent="0.25">
      <c r="A524" s="71" t="s">
        <v>1318</v>
      </c>
      <c r="B524" s="74" t="s">
        <v>5691</v>
      </c>
      <c r="C524" s="74" t="s">
        <v>4918</v>
      </c>
    </row>
    <row r="525" spans="1:3" x14ac:dyDescent="0.25">
      <c r="A525" s="71" t="s">
        <v>1320</v>
      </c>
      <c r="B525" s="74" t="s">
        <v>5692</v>
      </c>
      <c r="C525" s="74" t="s">
        <v>4918</v>
      </c>
    </row>
    <row r="526" spans="1:3" x14ac:dyDescent="0.25">
      <c r="A526" s="71" t="s">
        <v>1324</v>
      </c>
      <c r="B526" s="74" t="s">
        <v>5693</v>
      </c>
      <c r="C526" s="74" t="s">
        <v>4918</v>
      </c>
    </row>
    <row r="527" spans="1:3" x14ac:dyDescent="0.25">
      <c r="A527" s="71" t="s">
        <v>1328</v>
      </c>
      <c r="B527" s="74" t="s">
        <v>5694</v>
      </c>
      <c r="C527" s="74" t="s">
        <v>4918</v>
      </c>
    </row>
    <row r="528" spans="1:3" x14ac:dyDescent="0.25">
      <c r="A528" s="71" t="s">
        <v>5695</v>
      </c>
      <c r="B528" s="74" t="s">
        <v>5696</v>
      </c>
      <c r="C528" s="74" t="s">
        <v>4918</v>
      </c>
    </row>
    <row r="529" spans="1:3" x14ac:dyDescent="0.25">
      <c r="A529" s="71" t="s">
        <v>1330</v>
      </c>
      <c r="B529" s="74" t="s">
        <v>5697</v>
      </c>
      <c r="C529" s="74" t="s">
        <v>4918</v>
      </c>
    </row>
    <row r="530" spans="1:3" x14ac:dyDescent="0.25">
      <c r="A530" s="71" t="s">
        <v>1334</v>
      </c>
      <c r="B530" s="74" t="s">
        <v>5698</v>
      </c>
      <c r="C530" s="74" t="s">
        <v>4918</v>
      </c>
    </row>
    <row r="531" spans="1:3" x14ac:dyDescent="0.25">
      <c r="A531" s="71" t="s">
        <v>1336</v>
      </c>
      <c r="B531" s="74" t="s">
        <v>5699</v>
      </c>
      <c r="C531" s="74" t="s">
        <v>4918</v>
      </c>
    </row>
    <row r="532" spans="1:3" x14ac:dyDescent="0.25">
      <c r="A532" s="71" t="s">
        <v>1338</v>
      </c>
      <c r="B532" s="74" t="s">
        <v>5700</v>
      </c>
      <c r="C532" s="74" t="s">
        <v>4918</v>
      </c>
    </row>
    <row r="533" spans="1:3" x14ac:dyDescent="0.25">
      <c r="A533" s="71" t="s">
        <v>1342</v>
      </c>
      <c r="B533" s="74" t="s">
        <v>5701</v>
      </c>
      <c r="C533" s="74" t="s">
        <v>4918</v>
      </c>
    </row>
    <row r="534" spans="1:3" x14ac:dyDescent="0.25">
      <c r="A534" s="71" t="s">
        <v>1344</v>
      </c>
      <c r="B534" s="74" t="s">
        <v>5702</v>
      </c>
      <c r="C534" s="74" t="s">
        <v>4918</v>
      </c>
    </row>
    <row r="535" spans="1:3" x14ac:dyDescent="0.25">
      <c r="A535" s="71" t="s">
        <v>1346</v>
      </c>
      <c r="B535" s="74" t="s">
        <v>1347</v>
      </c>
      <c r="C535" s="74" t="s">
        <v>4918</v>
      </c>
    </row>
    <row r="536" spans="1:3" x14ac:dyDescent="0.25">
      <c r="A536" s="71" t="s">
        <v>1348</v>
      </c>
      <c r="B536" s="74" t="s">
        <v>5703</v>
      </c>
      <c r="C536" s="74" t="s">
        <v>4918</v>
      </c>
    </row>
    <row r="537" spans="1:3" x14ac:dyDescent="0.25">
      <c r="A537" s="71" t="s">
        <v>675</v>
      </c>
      <c r="B537" s="74" t="s">
        <v>5704</v>
      </c>
      <c r="C537" s="74" t="s">
        <v>4918</v>
      </c>
    </row>
    <row r="538" spans="1:3" x14ac:dyDescent="0.25">
      <c r="A538" s="71" t="s">
        <v>1350</v>
      </c>
      <c r="B538" s="74" t="s">
        <v>5705</v>
      </c>
      <c r="C538" s="74" t="s">
        <v>4918</v>
      </c>
    </row>
    <row r="539" spans="1:3" x14ac:dyDescent="0.25">
      <c r="A539" s="71" t="s">
        <v>1352</v>
      </c>
      <c r="B539" s="74" t="s">
        <v>5706</v>
      </c>
      <c r="C539" s="74" t="s">
        <v>4918</v>
      </c>
    </row>
    <row r="540" spans="1:3" x14ac:dyDescent="0.25">
      <c r="A540" s="71" t="s">
        <v>1354</v>
      </c>
      <c r="B540" s="74" t="s">
        <v>5707</v>
      </c>
      <c r="C540" s="74" t="s">
        <v>4918</v>
      </c>
    </row>
    <row r="541" spans="1:3" x14ac:dyDescent="0.25">
      <c r="A541" s="71" t="s">
        <v>1356</v>
      </c>
      <c r="B541" s="74" t="s">
        <v>5708</v>
      </c>
      <c r="C541" s="74" t="s">
        <v>4918</v>
      </c>
    </row>
    <row r="542" spans="1:3" x14ac:dyDescent="0.25">
      <c r="A542" s="71" t="s">
        <v>1358</v>
      </c>
      <c r="B542" s="74" t="s">
        <v>5709</v>
      </c>
      <c r="C542" s="74" t="s">
        <v>4918</v>
      </c>
    </row>
    <row r="543" spans="1:3" x14ac:dyDescent="0.25">
      <c r="A543" s="71" t="s">
        <v>1360</v>
      </c>
      <c r="B543" s="74" t="s">
        <v>5710</v>
      </c>
      <c r="C543" s="74" t="s">
        <v>4918</v>
      </c>
    </row>
    <row r="544" spans="1:3" x14ac:dyDescent="0.25">
      <c r="A544" s="71" t="s">
        <v>1362</v>
      </c>
      <c r="B544" s="74" t="s">
        <v>5711</v>
      </c>
      <c r="C544" s="74" t="s">
        <v>4918</v>
      </c>
    </row>
    <row r="545" spans="1:3" x14ac:dyDescent="0.25">
      <c r="A545" s="71" t="s">
        <v>1364</v>
      </c>
      <c r="B545" s="74" t="s">
        <v>5712</v>
      </c>
      <c r="C545" s="74" t="s">
        <v>4918</v>
      </c>
    </row>
    <row r="546" spans="1:3" x14ac:dyDescent="0.25">
      <c r="A546" s="71" t="s">
        <v>1366</v>
      </c>
      <c r="B546" s="74" t="s">
        <v>5713</v>
      </c>
      <c r="C546" s="74" t="s">
        <v>4918</v>
      </c>
    </row>
    <row r="547" spans="1:3" x14ac:dyDescent="0.25">
      <c r="A547" s="71" t="s">
        <v>677</v>
      </c>
      <c r="B547" s="74" t="s">
        <v>5714</v>
      </c>
      <c r="C547" s="74" t="s">
        <v>4918</v>
      </c>
    </row>
    <row r="548" spans="1:3" x14ac:dyDescent="0.25">
      <c r="A548" s="71" t="s">
        <v>1370</v>
      </c>
      <c r="B548" s="74" t="s">
        <v>5715</v>
      </c>
      <c r="C548" s="74" t="s">
        <v>4918</v>
      </c>
    </row>
    <row r="549" spans="1:3" x14ac:dyDescent="0.25">
      <c r="A549" s="71" t="s">
        <v>1372</v>
      </c>
      <c r="B549" s="74" t="s">
        <v>5716</v>
      </c>
      <c r="C549" s="74" t="s">
        <v>4918</v>
      </c>
    </row>
    <row r="550" spans="1:3" x14ac:dyDescent="0.25">
      <c r="A550" s="71" t="s">
        <v>1374</v>
      </c>
      <c r="B550" s="74" t="s">
        <v>5717</v>
      </c>
      <c r="C550" s="74" t="s">
        <v>4918</v>
      </c>
    </row>
    <row r="551" spans="1:3" x14ac:dyDescent="0.25">
      <c r="A551" s="71" t="s">
        <v>1375</v>
      </c>
      <c r="B551" s="74" t="s">
        <v>5718</v>
      </c>
      <c r="C551" s="74" t="s">
        <v>4918</v>
      </c>
    </row>
    <row r="552" spans="1:3" x14ac:dyDescent="0.25">
      <c r="A552" s="71" t="s">
        <v>1377</v>
      </c>
      <c r="B552" s="74" t="s">
        <v>5719</v>
      </c>
      <c r="C552" s="74" t="s">
        <v>4918</v>
      </c>
    </row>
    <row r="553" spans="1:3" x14ac:dyDescent="0.25">
      <c r="A553" s="71" t="s">
        <v>1381</v>
      </c>
      <c r="B553" s="74" t="s">
        <v>5720</v>
      </c>
      <c r="C553" s="74" t="s">
        <v>4918</v>
      </c>
    </row>
    <row r="554" spans="1:3" x14ac:dyDescent="0.25">
      <c r="A554" s="71" t="s">
        <v>1383</v>
      </c>
      <c r="B554" s="74" t="s">
        <v>5721</v>
      </c>
      <c r="C554" s="74" t="s">
        <v>4918</v>
      </c>
    </row>
    <row r="555" spans="1:3" x14ac:dyDescent="0.25">
      <c r="A555" s="71" t="s">
        <v>1384</v>
      </c>
      <c r="B555" s="74" t="s">
        <v>273</v>
      </c>
      <c r="C555" s="74" t="s">
        <v>4918</v>
      </c>
    </row>
    <row r="556" spans="1:3" x14ac:dyDescent="0.25">
      <c r="A556" s="71" t="s">
        <v>1386</v>
      </c>
      <c r="B556" s="74" t="s">
        <v>5722</v>
      </c>
      <c r="C556" s="74" t="s">
        <v>4918</v>
      </c>
    </row>
    <row r="557" spans="1:3" x14ac:dyDescent="0.25">
      <c r="A557" s="71" t="s">
        <v>5723</v>
      </c>
      <c r="B557" s="74" t="s">
        <v>5724</v>
      </c>
      <c r="C557" s="74" t="s">
        <v>4918</v>
      </c>
    </row>
    <row r="558" spans="1:3" x14ac:dyDescent="0.25">
      <c r="A558" s="71" t="s">
        <v>1388</v>
      </c>
      <c r="B558" s="74" t="s">
        <v>5725</v>
      </c>
      <c r="C558" s="74" t="s">
        <v>4918</v>
      </c>
    </row>
    <row r="559" spans="1:3" x14ac:dyDescent="0.25">
      <c r="A559" s="71" t="s">
        <v>1390</v>
      </c>
      <c r="B559" s="74" t="s">
        <v>5726</v>
      </c>
      <c r="C559" s="74" t="s">
        <v>4918</v>
      </c>
    </row>
    <row r="560" spans="1:3" x14ac:dyDescent="0.25">
      <c r="A560" s="71" t="s">
        <v>1392</v>
      </c>
      <c r="B560" s="74" t="s">
        <v>5727</v>
      </c>
      <c r="C560" s="74" t="s">
        <v>4918</v>
      </c>
    </row>
    <row r="561" spans="1:3" x14ac:dyDescent="0.25">
      <c r="A561" s="71" t="s">
        <v>1394</v>
      </c>
      <c r="B561" s="74" t="s">
        <v>5728</v>
      </c>
      <c r="C561" s="74" t="s">
        <v>4918</v>
      </c>
    </row>
    <row r="562" spans="1:3" x14ac:dyDescent="0.25">
      <c r="A562" s="71" t="s">
        <v>1396</v>
      </c>
      <c r="B562" s="74" t="s">
        <v>5729</v>
      </c>
      <c r="C562" s="74" t="s">
        <v>4918</v>
      </c>
    </row>
    <row r="563" spans="1:3" x14ac:dyDescent="0.25">
      <c r="A563" s="71" t="s">
        <v>1397</v>
      </c>
      <c r="B563" s="74" t="s">
        <v>5730</v>
      </c>
      <c r="C563" s="74" t="s">
        <v>4918</v>
      </c>
    </row>
    <row r="564" spans="1:3" x14ac:dyDescent="0.25">
      <c r="A564" s="71" t="s">
        <v>1403</v>
      </c>
      <c r="B564" s="74" t="s">
        <v>5731</v>
      </c>
      <c r="C564" s="74" t="s">
        <v>4918</v>
      </c>
    </row>
    <row r="565" spans="1:3" x14ac:dyDescent="0.25">
      <c r="A565" s="71" t="s">
        <v>679</v>
      </c>
      <c r="B565" s="74" t="s">
        <v>5732</v>
      </c>
      <c r="C565" s="74" t="s">
        <v>4918</v>
      </c>
    </row>
    <row r="566" spans="1:3" x14ac:dyDescent="0.25">
      <c r="A566" s="71" t="s">
        <v>1407</v>
      </c>
      <c r="B566" s="74" t="s">
        <v>5733</v>
      </c>
      <c r="C566" s="74" t="s">
        <v>4918</v>
      </c>
    </row>
    <row r="567" spans="1:3" x14ac:dyDescent="0.25">
      <c r="A567" s="71" t="s">
        <v>1409</v>
      </c>
      <c r="B567" s="74" t="s">
        <v>5734</v>
      </c>
      <c r="C567" s="74" t="s">
        <v>4918</v>
      </c>
    </row>
    <row r="568" spans="1:3" x14ac:dyDescent="0.25">
      <c r="A568" s="71" t="s">
        <v>1411</v>
      </c>
      <c r="B568" s="74" t="s">
        <v>5735</v>
      </c>
      <c r="C568" s="74" t="s">
        <v>4918</v>
      </c>
    </row>
    <row r="569" spans="1:3" x14ac:dyDescent="0.25">
      <c r="A569" s="71" t="s">
        <v>1413</v>
      </c>
      <c r="B569" s="74" t="s">
        <v>5736</v>
      </c>
      <c r="C569" s="74" t="s">
        <v>4918</v>
      </c>
    </row>
    <row r="570" spans="1:3" x14ac:dyDescent="0.25">
      <c r="A570" s="71" t="s">
        <v>1417</v>
      </c>
      <c r="B570" s="74" t="s">
        <v>5737</v>
      </c>
      <c r="C570" s="74" t="s">
        <v>4918</v>
      </c>
    </row>
    <row r="571" spans="1:3" x14ac:dyDescent="0.25">
      <c r="A571" s="71" t="s">
        <v>1419</v>
      </c>
      <c r="B571" s="74" t="s">
        <v>5738</v>
      </c>
      <c r="C571" s="74" t="s">
        <v>4918</v>
      </c>
    </row>
    <row r="572" spans="1:3" x14ac:dyDescent="0.25">
      <c r="A572" s="71" t="s">
        <v>1423</v>
      </c>
      <c r="B572" s="74" t="s">
        <v>5739</v>
      </c>
      <c r="C572" s="74" t="s">
        <v>4918</v>
      </c>
    </row>
    <row r="573" spans="1:3" x14ac:dyDescent="0.25">
      <c r="A573" s="71" t="s">
        <v>1425</v>
      </c>
      <c r="B573" s="74" t="s">
        <v>5740</v>
      </c>
      <c r="C573" s="74" t="s">
        <v>4918</v>
      </c>
    </row>
    <row r="574" spans="1:3" x14ac:dyDescent="0.25">
      <c r="A574" s="71" t="s">
        <v>681</v>
      </c>
      <c r="B574" s="74" t="s">
        <v>5741</v>
      </c>
      <c r="C574" s="74" t="s">
        <v>4918</v>
      </c>
    </row>
    <row r="575" spans="1:3" x14ac:dyDescent="0.25">
      <c r="A575" s="71" t="s">
        <v>1429</v>
      </c>
      <c r="B575" s="74" t="s">
        <v>5742</v>
      </c>
      <c r="C575" s="74" t="s">
        <v>4918</v>
      </c>
    </row>
    <row r="576" spans="1:3" x14ac:dyDescent="0.25">
      <c r="A576" s="71" t="s">
        <v>1431</v>
      </c>
      <c r="B576" s="74" t="s">
        <v>5743</v>
      </c>
      <c r="C576" s="74" t="s">
        <v>4918</v>
      </c>
    </row>
    <row r="577" spans="1:3" x14ac:dyDescent="0.25">
      <c r="A577" s="71" t="s">
        <v>1433</v>
      </c>
      <c r="B577" s="74" t="s">
        <v>5744</v>
      </c>
      <c r="C577" s="74" t="s">
        <v>4918</v>
      </c>
    </row>
    <row r="578" spans="1:3" x14ac:dyDescent="0.25">
      <c r="A578" s="71" t="s">
        <v>1435</v>
      </c>
      <c r="B578" s="74" t="s">
        <v>5745</v>
      </c>
      <c r="C578" s="74" t="s">
        <v>4918</v>
      </c>
    </row>
    <row r="579" spans="1:3" x14ac:dyDescent="0.25">
      <c r="A579" s="71" t="s">
        <v>1439</v>
      </c>
      <c r="B579" s="74" t="s">
        <v>5746</v>
      </c>
      <c r="C579" s="74" t="s">
        <v>4918</v>
      </c>
    </row>
    <row r="580" spans="1:3" x14ac:dyDescent="0.25">
      <c r="A580" s="71" t="s">
        <v>1445</v>
      </c>
      <c r="B580" s="74" t="s">
        <v>5747</v>
      </c>
      <c r="C580" s="74" t="s">
        <v>4918</v>
      </c>
    </row>
    <row r="581" spans="1:3" x14ac:dyDescent="0.25">
      <c r="A581" s="71" t="s">
        <v>683</v>
      </c>
      <c r="B581" s="74" t="s">
        <v>5748</v>
      </c>
      <c r="C581" s="74" t="s">
        <v>4918</v>
      </c>
    </row>
    <row r="582" spans="1:3" x14ac:dyDescent="0.25">
      <c r="A582" s="71" t="s">
        <v>1446</v>
      </c>
      <c r="B582" s="74" t="s">
        <v>5749</v>
      </c>
      <c r="C582" s="74" t="s">
        <v>4918</v>
      </c>
    </row>
    <row r="583" spans="1:3" x14ac:dyDescent="0.25">
      <c r="A583" s="71" t="s">
        <v>1448</v>
      </c>
      <c r="B583" s="74" t="s">
        <v>5750</v>
      </c>
      <c r="C583" s="74" t="s">
        <v>4918</v>
      </c>
    </row>
    <row r="584" spans="1:3" x14ac:dyDescent="0.25">
      <c r="A584" s="71" t="s">
        <v>1450</v>
      </c>
      <c r="B584" s="74" t="s">
        <v>5751</v>
      </c>
      <c r="C584" s="74" t="s">
        <v>4918</v>
      </c>
    </row>
    <row r="585" spans="1:3" x14ac:dyDescent="0.25">
      <c r="A585" s="71" t="s">
        <v>1452</v>
      </c>
      <c r="B585" s="74" t="s">
        <v>5752</v>
      </c>
      <c r="C585" s="74" t="s">
        <v>4918</v>
      </c>
    </row>
    <row r="586" spans="1:3" x14ac:dyDescent="0.25">
      <c r="A586" s="71" t="s">
        <v>1454</v>
      </c>
      <c r="B586" s="74" t="s">
        <v>5753</v>
      </c>
      <c r="C586" s="74" t="s">
        <v>4918</v>
      </c>
    </row>
    <row r="587" spans="1:3" x14ac:dyDescent="0.25">
      <c r="A587" s="71" t="s">
        <v>1456</v>
      </c>
      <c r="B587" s="74" t="s">
        <v>5754</v>
      </c>
      <c r="C587" s="74" t="s">
        <v>4918</v>
      </c>
    </row>
    <row r="588" spans="1:3" x14ac:dyDescent="0.25">
      <c r="A588" s="71" t="s">
        <v>1462</v>
      </c>
      <c r="B588" s="74" t="s">
        <v>5755</v>
      </c>
      <c r="C588" s="74" t="s">
        <v>4918</v>
      </c>
    </row>
    <row r="589" spans="1:3" x14ac:dyDescent="0.25">
      <c r="A589" s="71" t="s">
        <v>1464</v>
      </c>
      <c r="B589" s="74" t="s">
        <v>1465</v>
      </c>
      <c r="C589" s="74" t="s">
        <v>4918</v>
      </c>
    </row>
    <row r="590" spans="1:3" x14ac:dyDescent="0.25">
      <c r="A590" s="71" t="s">
        <v>685</v>
      </c>
      <c r="B590" s="74" t="s">
        <v>5756</v>
      </c>
      <c r="C590" s="74" t="s">
        <v>4918</v>
      </c>
    </row>
    <row r="591" spans="1:3" x14ac:dyDescent="0.25">
      <c r="A591" s="71" t="s">
        <v>1466</v>
      </c>
      <c r="B591" s="74" t="s">
        <v>5757</v>
      </c>
      <c r="C591" s="74" t="s">
        <v>4918</v>
      </c>
    </row>
    <row r="592" spans="1:3" x14ac:dyDescent="0.25">
      <c r="A592" s="71" t="s">
        <v>1470</v>
      </c>
      <c r="B592" s="74" t="s">
        <v>5758</v>
      </c>
      <c r="C592" s="74" t="s">
        <v>4918</v>
      </c>
    </row>
    <row r="593" spans="1:3" x14ac:dyDescent="0.25">
      <c r="A593" s="71" t="s">
        <v>5759</v>
      </c>
      <c r="B593" s="74" t="s">
        <v>5760</v>
      </c>
      <c r="C593" s="74" t="s">
        <v>4918</v>
      </c>
    </row>
    <row r="594" spans="1:3" x14ac:dyDescent="0.25">
      <c r="A594" s="71" t="s">
        <v>5761</v>
      </c>
      <c r="B594" s="74" t="s">
        <v>5762</v>
      </c>
      <c r="C594" s="74" t="s">
        <v>4918</v>
      </c>
    </row>
    <row r="595" spans="1:3" x14ac:dyDescent="0.25">
      <c r="A595" s="71" t="s">
        <v>1472</v>
      </c>
      <c r="B595" s="74" t="s">
        <v>5763</v>
      </c>
      <c r="C595" s="74" t="s">
        <v>4918</v>
      </c>
    </row>
    <row r="596" spans="1:3" x14ac:dyDescent="0.25">
      <c r="A596" s="71" t="s">
        <v>1474</v>
      </c>
      <c r="B596" s="74" t="s">
        <v>5764</v>
      </c>
      <c r="C596" s="74" t="s">
        <v>4918</v>
      </c>
    </row>
    <row r="597" spans="1:3" x14ac:dyDescent="0.25">
      <c r="A597" s="71" t="s">
        <v>1476</v>
      </c>
      <c r="B597" s="74" t="s">
        <v>5765</v>
      </c>
      <c r="C597" s="74" t="s">
        <v>4918</v>
      </c>
    </row>
    <row r="598" spans="1:3" x14ac:dyDescent="0.25">
      <c r="A598" s="71" t="s">
        <v>1478</v>
      </c>
      <c r="B598" s="74" t="s">
        <v>5766</v>
      </c>
      <c r="C598" s="74" t="s">
        <v>4918</v>
      </c>
    </row>
    <row r="599" spans="1:3" x14ac:dyDescent="0.25">
      <c r="A599" s="71" t="s">
        <v>1480</v>
      </c>
      <c r="B599" s="74" t="s">
        <v>5767</v>
      </c>
      <c r="C599" s="74" t="s">
        <v>4918</v>
      </c>
    </row>
    <row r="600" spans="1:3" x14ac:dyDescent="0.25">
      <c r="A600" s="71" t="s">
        <v>687</v>
      </c>
      <c r="B600" s="74" t="s">
        <v>5768</v>
      </c>
      <c r="C600" s="74" t="s">
        <v>4918</v>
      </c>
    </row>
    <row r="601" spans="1:3" x14ac:dyDescent="0.25">
      <c r="A601" s="71" t="s">
        <v>1482</v>
      </c>
      <c r="B601" s="74" t="s">
        <v>5769</v>
      </c>
      <c r="C601" s="74" t="s">
        <v>4918</v>
      </c>
    </row>
    <row r="602" spans="1:3" x14ac:dyDescent="0.25">
      <c r="A602" s="71" t="s">
        <v>1486</v>
      </c>
      <c r="B602" s="74" t="s">
        <v>5770</v>
      </c>
      <c r="C602" s="74" t="s">
        <v>4918</v>
      </c>
    </row>
    <row r="603" spans="1:3" x14ac:dyDescent="0.25">
      <c r="A603" s="71" t="s">
        <v>1489</v>
      </c>
      <c r="B603" s="74" t="s">
        <v>5771</v>
      </c>
      <c r="C603" s="74" t="s">
        <v>4918</v>
      </c>
    </row>
    <row r="604" spans="1:3" x14ac:dyDescent="0.25">
      <c r="A604" s="71" t="s">
        <v>1491</v>
      </c>
      <c r="B604" s="74" t="s">
        <v>5772</v>
      </c>
      <c r="C604" s="74" t="s">
        <v>4918</v>
      </c>
    </row>
    <row r="605" spans="1:3" x14ac:dyDescent="0.25">
      <c r="A605" s="71" t="s">
        <v>1493</v>
      </c>
      <c r="B605" s="74" t="s">
        <v>5773</v>
      </c>
      <c r="C605" s="74" t="s">
        <v>4918</v>
      </c>
    </row>
    <row r="606" spans="1:3" x14ac:dyDescent="0.25">
      <c r="A606" s="71" t="s">
        <v>1495</v>
      </c>
      <c r="B606" s="74" t="s">
        <v>5774</v>
      </c>
      <c r="C606" s="74" t="s">
        <v>4918</v>
      </c>
    </row>
    <row r="607" spans="1:3" x14ac:dyDescent="0.25">
      <c r="A607" s="71" t="s">
        <v>1499</v>
      </c>
      <c r="B607" s="74" t="s">
        <v>5775</v>
      </c>
      <c r="C607" s="74" t="s">
        <v>4918</v>
      </c>
    </row>
    <row r="608" spans="1:3" x14ac:dyDescent="0.25">
      <c r="A608" s="71" t="s">
        <v>617</v>
      </c>
      <c r="B608" s="74" t="s">
        <v>5776</v>
      </c>
      <c r="C608" s="74" t="s">
        <v>4918</v>
      </c>
    </row>
    <row r="609" spans="1:3" x14ac:dyDescent="0.25">
      <c r="A609" s="71" t="s">
        <v>689</v>
      </c>
      <c r="B609" s="74" t="s">
        <v>5777</v>
      </c>
      <c r="C609" s="74" t="s">
        <v>4918</v>
      </c>
    </row>
    <row r="610" spans="1:3" x14ac:dyDescent="0.25">
      <c r="A610" s="71" t="s">
        <v>1501</v>
      </c>
      <c r="B610" s="74" t="s">
        <v>5778</v>
      </c>
      <c r="C610" s="74" t="s">
        <v>4918</v>
      </c>
    </row>
    <row r="611" spans="1:3" x14ac:dyDescent="0.25">
      <c r="A611" s="71" t="s">
        <v>1503</v>
      </c>
      <c r="B611" s="74" t="s">
        <v>5779</v>
      </c>
      <c r="C611" s="74" t="s">
        <v>4918</v>
      </c>
    </row>
    <row r="612" spans="1:3" x14ac:dyDescent="0.25">
      <c r="A612" s="71" t="s">
        <v>1505</v>
      </c>
      <c r="B612" s="74" t="s">
        <v>5780</v>
      </c>
      <c r="C612" s="74" t="s">
        <v>4918</v>
      </c>
    </row>
    <row r="613" spans="1:3" x14ac:dyDescent="0.25">
      <c r="A613" s="71" t="s">
        <v>1507</v>
      </c>
      <c r="B613" s="74" t="s">
        <v>5781</v>
      </c>
      <c r="C613" s="74" t="s">
        <v>4918</v>
      </c>
    </row>
    <row r="614" spans="1:3" x14ac:dyDescent="0.25">
      <c r="A614" s="71" t="s">
        <v>1509</v>
      </c>
      <c r="B614" s="74" t="s">
        <v>5782</v>
      </c>
      <c r="C614" s="74" t="s">
        <v>4918</v>
      </c>
    </row>
    <row r="615" spans="1:3" x14ac:dyDescent="0.25">
      <c r="A615" s="71" t="s">
        <v>1511</v>
      </c>
      <c r="B615" s="74" t="s">
        <v>5783</v>
      </c>
      <c r="C615" s="74" t="s">
        <v>4918</v>
      </c>
    </row>
    <row r="616" spans="1:3" x14ac:dyDescent="0.25">
      <c r="A616" s="71" t="s">
        <v>1512</v>
      </c>
      <c r="B616" s="74" t="s">
        <v>5784</v>
      </c>
      <c r="C616" s="74" t="s">
        <v>4918</v>
      </c>
    </row>
    <row r="617" spans="1:3" x14ac:dyDescent="0.25">
      <c r="A617" s="71" t="s">
        <v>1513</v>
      </c>
      <c r="B617" s="74" t="s">
        <v>5785</v>
      </c>
      <c r="C617" s="74" t="s">
        <v>4918</v>
      </c>
    </row>
    <row r="618" spans="1:3" x14ac:dyDescent="0.25">
      <c r="A618" s="71" t="s">
        <v>1515</v>
      </c>
      <c r="B618" s="74" t="s">
        <v>5786</v>
      </c>
      <c r="C618" s="74" t="s">
        <v>4918</v>
      </c>
    </row>
    <row r="619" spans="1:3" x14ac:dyDescent="0.25">
      <c r="A619" s="71" t="s">
        <v>691</v>
      </c>
      <c r="B619" s="74" t="s">
        <v>5787</v>
      </c>
      <c r="C619" s="74" t="s">
        <v>4918</v>
      </c>
    </row>
    <row r="620" spans="1:3" x14ac:dyDescent="0.25">
      <c r="A620" s="71" t="s">
        <v>1517</v>
      </c>
      <c r="B620" s="74" t="s">
        <v>5788</v>
      </c>
      <c r="C620" s="74" t="s">
        <v>4918</v>
      </c>
    </row>
    <row r="621" spans="1:3" x14ac:dyDescent="0.25">
      <c r="A621" s="71" t="s">
        <v>1518</v>
      </c>
      <c r="B621" s="74" t="s">
        <v>5789</v>
      </c>
      <c r="C621" s="74" t="s">
        <v>4918</v>
      </c>
    </row>
    <row r="622" spans="1:3" x14ac:dyDescent="0.25">
      <c r="A622" s="71" t="s">
        <v>1519</v>
      </c>
      <c r="B622" s="74" t="s">
        <v>5790</v>
      </c>
      <c r="C622" s="74" t="s">
        <v>4918</v>
      </c>
    </row>
    <row r="623" spans="1:3" x14ac:dyDescent="0.25">
      <c r="A623" s="71" t="s">
        <v>1520</v>
      </c>
      <c r="B623" s="74" t="s">
        <v>5791</v>
      </c>
      <c r="C623" s="74" t="s">
        <v>4918</v>
      </c>
    </row>
    <row r="624" spans="1:3" x14ac:dyDescent="0.25">
      <c r="A624" s="71" t="s">
        <v>5792</v>
      </c>
      <c r="B624" s="74" t="s">
        <v>5793</v>
      </c>
      <c r="C624" s="74" t="s">
        <v>4918</v>
      </c>
    </row>
    <row r="625" spans="1:3" x14ac:dyDescent="0.25">
      <c r="A625" s="71" t="s">
        <v>5794</v>
      </c>
      <c r="B625" s="74" t="s">
        <v>5795</v>
      </c>
      <c r="C625" s="74" t="s">
        <v>4918</v>
      </c>
    </row>
    <row r="626" spans="1:3" x14ac:dyDescent="0.25">
      <c r="A626" s="71" t="s">
        <v>1521</v>
      </c>
      <c r="B626" s="74" t="s">
        <v>5796</v>
      </c>
      <c r="C626" s="74" t="s">
        <v>4918</v>
      </c>
    </row>
    <row r="627" spans="1:3" x14ac:dyDescent="0.25">
      <c r="A627" s="71" t="s">
        <v>1523</v>
      </c>
      <c r="B627" s="74" t="s">
        <v>5797</v>
      </c>
      <c r="C627" s="74" t="s">
        <v>4918</v>
      </c>
    </row>
    <row r="628" spans="1:3" x14ac:dyDescent="0.25">
      <c r="A628" s="71" t="s">
        <v>1527</v>
      </c>
      <c r="B628" s="74" t="s">
        <v>5798</v>
      </c>
      <c r="C628" s="74" t="s">
        <v>4918</v>
      </c>
    </row>
    <row r="629" spans="1:3" x14ac:dyDescent="0.25">
      <c r="A629" s="71" t="s">
        <v>693</v>
      </c>
      <c r="B629" s="74" t="s">
        <v>694</v>
      </c>
      <c r="C629" s="74" t="s">
        <v>4918</v>
      </c>
    </row>
    <row r="630" spans="1:3" x14ac:dyDescent="0.25">
      <c r="A630" s="71" t="s">
        <v>1529</v>
      </c>
      <c r="B630" s="74" t="s">
        <v>5799</v>
      </c>
      <c r="C630" s="74" t="s">
        <v>4918</v>
      </c>
    </row>
    <row r="631" spans="1:3" x14ac:dyDescent="0.25">
      <c r="A631" s="71" t="s">
        <v>1530</v>
      </c>
      <c r="B631" s="74" t="s">
        <v>5800</v>
      </c>
      <c r="C631" s="74" t="s">
        <v>4918</v>
      </c>
    </row>
    <row r="632" spans="1:3" x14ac:dyDescent="0.25">
      <c r="A632" s="71" t="s">
        <v>1534</v>
      </c>
      <c r="B632" s="74" t="s">
        <v>5801</v>
      </c>
      <c r="C632" s="74" t="s">
        <v>4918</v>
      </c>
    </row>
    <row r="633" spans="1:3" x14ac:dyDescent="0.25">
      <c r="A633" s="71" t="s">
        <v>1536</v>
      </c>
      <c r="B633" s="74" t="s">
        <v>5802</v>
      </c>
      <c r="C633" s="74" t="s">
        <v>4918</v>
      </c>
    </row>
    <row r="634" spans="1:3" x14ac:dyDescent="0.25">
      <c r="A634" s="71" t="s">
        <v>1538</v>
      </c>
      <c r="B634" s="74" t="s">
        <v>5803</v>
      </c>
      <c r="C634" s="74" t="s">
        <v>4918</v>
      </c>
    </row>
    <row r="635" spans="1:3" x14ac:dyDescent="0.25">
      <c r="A635" s="71" t="s">
        <v>1540</v>
      </c>
      <c r="B635" s="74" t="s">
        <v>5804</v>
      </c>
      <c r="C635" s="74" t="s">
        <v>4918</v>
      </c>
    </row>
    <row r="636" spans="1:3" x14ac:dyDescent="0.25">
      <c r="A636" s="71" t="s">
        <v>1542</v>
      </c>
      <c r="B636" s="74" t="s">
        <v>5805</v>
      </c>
      <c r="C636" s="74" t="s">
        <v>4918</v>
      </c>
    </row>
    <row r="637" spans="1:3" x14ac:dyDescent="0.25">
      <c r="A637" s="71" t="s">
        <v>1544</v>
      </c>
      <c r="B637" s="74" t="s">
        <v>5806</v>
      </c>
      <c r="C637" s="74" t="s">
        <v>4918</v>
      </c>
    </row>
    <row r="638" spans="1:3" x14ac:dyDescent="0.25">
      <c r="A638" s="71" t="s">
        <v>1546</v>
      </c>
      <c r="B638" s="74" t="s">
        <v>5807</v>
      </c>
      <c r="C638" s="74" t="s">
        <v>4918</v>
      </c>
    </row>
    <row r="639" spans="1:3" x14ac:dyDescent="0.25">
      <c r="A639" s="71" t="s">
        <v>695</v>
      </c>
      <c r="B639" s="74" t="s">
        <v>5808</v>
      </c>
      <c r="C639" s="74" t="s">
        <v>4918</v>
      </c>
    </row>
    <row r="640" spans="1:3" x14ac:dyDescent="0.25">
      <c r="A640" s="71" t="s">
        <v>1548</v>
      </c>
      <c r="B640" s="74" t="s">
        <v>5809</v>
      </c>
      <c r="C640" s="74" t="s">
        <v>4918</v>
      </c>
    </row>
    <row r="641" spans="1:3" x14ac:dyDescent="0.25">
      <c r="A641" s="71" t="s">
        <v>1550</v>
      </c>
      <c r="B641" s="74" t="s">
        <v>5810</v>
      </c>
      <c r="C641" s="74" t="s">
        <v>4918</v>
      </c>
    </row>
    <row r="642" spans="1:3" x14ac:dyDescent="0.25">
      <c r="A642" s="71" t="s">
        <v>1552</v>
      </c>
      <c r="B642" s="74" t="s">
        <v>5811</v>
      </c>
      <c r="C642" s="74" t="s">
        <v>4918</v>
      </c>
    </row>
    <row r="643" spans="1:3" x14ac:dyDescent="0.25">
      <c r="A643" s="71" t="s">
        <v>1554</v>
      </c>
      <c r="B643" s="74" t="s">
        <v>5812</v>
      </c>
      <c r="C643" s="74" t="s">
        <v>4918</v>
      </c>
    </row>
    <row r="644" spans="1:3" x14ac:dyDescent="0.25">
      <c r="A644" s="71" t="s">
        <v>1556</v>
      </c>
      <c r="B644" s="74" t="s">
        <v>5813</v>
      </c>
      <c r="C644" s="74" t="s">
        <v>4918</v>
      </c>
    </row>
    <row r="645" spans="1:3" x14ac:dyDescent="0.25">
      <c r="A645" s="71" t="s">
        <v>1558</v>
      </c>
      <c r="B645" s="74" t="s">
        <v>5814</v>
      </c>
      <c r="C645" s="74" t="s">
        <v>4918</v>
      </c>
    </row>
    <row r="646" spans="1:3" x14ac:dyDescent="0.25">
      <c r="A646" s="71" t="s">
        <v>1560</v>
      </c>
      <c r="B646" s="74" t="s">
        <v>5815</v>
      </c>
      <c r="C646" s="74" t="s">
        <v>4918</v>
      </c>
    </row>
    <row r="647" spans="1:3" x14ac:dyDescent="0.25">
      <c r="A647" s="71" t="s">
        <v>1562</v>
      </c>
      <c r="B647" s="74" t="s">
        <v>5816</v>
      </c>
      <c r="C647" s="74" t="s">
        <v>4918</v>
      </c>
    </row>
    <row r="648" spans="1:3" x14ac:dyDescent="0.25">
      <c r="A648" s="71" t="s">
        <v>1564</v>
      </c>
      <c r="B648" s="74" t="s">
        <v>5817</v>
      </c>
      <c r="C648" s="74" t="s">
        <v>4918</v>
      </c>
    </row>
    <row r="649" spans="1:3" x14ac:dyDescent="0.25">
      <c r="A649" s="71" t="s">
        <v>1566</v>
      </c>
      <c r="B649" s="74" t="s">
        <v>5818</v>
      </c>
      <c r="C649" s="74" t="s">
        <v>4918</v>
      </c>
    </row>
    <row r="650" spans="1:3" x14ac:dyDescent="0.25">
      <c r="A650" s="71" t="s">
        <v>697</v>
      </c>
      <c r="B650" s="74" t="s">
        <v>5819</v>
      </c>
      <c r="C650" s="74" t="s">
        <v>4918</v>
      </c>
    </row>
    <row r="651" spans="1:3" x14ac:dyDescent="0.25">
      <c r="A651" s="71" t="s">
        <v>1567</v>
      </c>
      <c r="B651" s="74" t="s">
        <v>5820</v>
      </c>
      <c r="C651" s="74" t="s">
        <v>4918</v>
      </c>
    </row>
    <row r="652" spans="1:3" x14ac:dyDescent="0.25">
      <c r="A652" s="71" t="s">
        <v>1569</v>
      </c>
      <c r="B652" s="74" t="s">
        <v>5821</v>
      </c>
      <c r="C652" s="74" t="s">
        <v>4918</v>
      </c>
    </row>
    <row r="653" spans="1:3" x14ac:dyDescent="0.25">
      <c r="A653" s="71" t="s">
        <v>1571</v>
      </c>
      <c r="B653" s="74" t="s">
        <v>5822</v>
      </c>
      <c r="C653" s="74" t="s">
        <v>4918</v>
      </c>
    </row>
    <row r="654" spans="1:3" x14ac:dyDescent="0.25">
      <c r="A654" s="71" t="s">
        <v>1573</v>
      </c>
      <c r="B654" s="74" t="s">
        <v>5823</v>
      </c>
      <c r="C654" s="74" t="s">
        <v>4918</v>
      </c>
    </row>
    <row r="655" spans="1:3" x14ac:dyDescent="0.25">
      <c r="A655" s="71" t="s">
        <v>1575</v>
      </c>
      <c r="B655" s="74" t="s">
        <v>5824</v>
      </c>
      <c r="C655" s="74" t="s">
        <v>4918</v>
      </c>
    </row>
    <row r="656" spans="1:3" x14ac:dyDescent="0.25">
      <c r="A656" s="71" t="s">
        <v>1576</v>
      </c>
      <c r="B656" s="74" t="s">
        <v>5825</v>
      </c>
      <c r="C656" s="74" t="s">
        <v>4918</v>
      </c>
    </row>
    <row r="657" spans="1:3" x14ac:dyDescent="0.25">
      <c r="A657" s="71" t="s">
        <v>1578</v>
      </c>
      <c r="B657" s="74" t="s">
        <v>5826</v>
      </c>
      <c r="C657" s="74" t="s">
        <v>4918</v>
      </c>
    </row>
    <row r="658" spans="1:3" x14ac:dyDescent="0.25">
      <c r="A658" s="71" t="s">
        <v>1580</v>
      </c>
      <c r="B658" s="74" t="s">
        <v>5827</v>
      </c>
      <c r="C658" s="74" t="s">
        <v>4918</v>
      </c>
    </row>
    <row r="659" spans="1:3" x14ac:dyDescent="0.25">
      <c r="A659" s="71" t="s">
        <v>1582</v>
      </c>
      <c r="B659" s="74" t="s">
        <v>5828</v>
      </c>
      <c r="C659" s="74" t="s">
        <v>4918</v>
      </c>
    </row>
    <row r="660" spans="1:3" x14ac:dyDescent="0.25">
      <c r="A660" s="71" t="s">
        <v>699</v>
      </c>
      <c r="B660" s="74" t="s">
        <v>5829</v>
      </c>
      <c r="C660" s="74" t="s">
        <v>4918</v>
      </c>
    </row>
    <row r="661" spans="1:3" x14ac:dyDescent="0.25">
      <c r="A661" s="71" t="s">
        <v>1584</v>
      </c>
      <c r="B661" s="74" t="s">
        <v>5830</v>
      </c>
      <c r="C661" s="74" t="s">
        <v>4918</v>
      </c>
    </row>
    <row r="662" spans="1:3" x14ac:dyDescent="0.25">
      <c r="A662" s="71" t="s">
        <v>1585</v>
      </c>
      <c r="B662" s="74" t="s">
        <v>5831</v>
      </c>
      <c r="C662" s="74" t="s">
        <v>4918</v>
      </c>
    </row>
    <row r="663" spans="1:3" x14ac:dyDescent="0.25">
      <c r="A663" s="71" t="s">
        <v>1589</v>
      </c>
      <c r="B663" s="74" t="s">
        <v>5832</v>
      </c>
      <c r="C663" s="74" t="s">
        <v>4918</v>
      </c>
    </row>
    <row r="664" spans="1:3" x14ac:dyDescent="0.25">
      <c r="A664" s="71" t="s">
        <v>1591</v>
      </c>
      <c r="B664" s="74" t="s">
        <v>5833</v>
      </c>
      <c r="C664" s="74" t="s">
        <v>4918</v>
      </c>
    </row>
    <row r="665" spans="1:3" x14ac:dyDescent="0.25">
      <c r="A665" s="71" t="s">
        <v>1595</v>
      </c>
      <c r="B665" s="74" t="s">
        <v>5834</v>
      </c>
      <c r="C665" s="74" t="s">
        <v>4918</v>
      </c>
    </row>
    <row r="666" spans="1:3" x14ac:dyDescent="0.25">
      <c r="A666" s="71" t="s">
        <v>1597</v>
      </c>
      <c r="B666" s="74" t="s">
        <v>5835</v>
      </c>
      <c r="C666" s="74" t="s">
        <v>4918</v>
      </c>
    </row>
    <row r="667" spans="1:3" x14ac:dyDescent="0.25">
      <c r="A667" s="71" t="s">
        <v>701</v>
      </c>
      <c r="B667" s="74" t="s">
        <v>5836</v>
      </c>
      <c r="C667" s="74" t="s">
        <v>4918</v>
      </c>
    </row>
    <row r="668" spans="1:3" x14ac:dyDescent="0.25">
      <c r="A668" s="71" t="s">
        <v>1601</v>
      </c>
      <c r="B668" s="74" t="s">
        <v>5837</v>
      </c>
      <c r="C668" s="74" t="s">
        <v>4918</v>
      </c>
    </row>
    <row r="669" spans="1:3" x14ac:dyDescent="0.25">
      <c r="A669" s="71" t="s">
        <v>1603</v>
      </c>
      <c r="B669" s="74" t="s">
        <v>5838</v>
      </c>
      <c r="C669" s="74" t="s">
        <v>4918</v>
      </c>
    </row>
    <row r="670" spans="1:3" x14ac:dyDescent="0.25">
      <c r="A670" s="71" t="s">
        <v>1607</v>
      </c>
      <c r="B670" s="74" t="s">
        <v>5839</v>
      </c>
      <c r="C670" s="74" t="s">
        <v>4918</v>
      </c>
    </row>
    <row r="671" spans="1:3" x14ac:dyDescent="0.25">
      <c r="A671" s="71" t="s">
        <v>1608</v>
      </c>
      <c r="B671" s="74" t="s">
        <v>5840</v>
      </c>
      <c r="C671" s="74" t="s">
        <v>4918</v>
      </c>
    </row>
    <row r="672" spans="1:3" x14ac:dyDescent="0.25">
      <c r="A672" s="71" t="s">
        <v>1610</v>
      </c>
      <c r="B672" s="74" t="s">
        <v>5841</v>
      </c>
      <c r="C672" s="74" t="s">
        <v>4918</v>
      </c>
    </row>
    <row r="673" spans="1:3" x14ac:dyDescent="0.25">
      <c r="A673" s="71" t="s">
        <v>1612</v>
      </c>
      <c r="B673" s="74" t="s">
        <v>5842</v>
      </c>
      <c r="C673" s="74" t="s">
        <v>4918</v>
      </c>
    </row>
    <row r="674" spans="1:3" x14ac:dyDescent="0.25">
      <c r="A674" s="71" t="s">
        <v>1614</v>
      </c>
      <c r="B674" s="74" t="s">
        <v>5843</v>
      </c>
      <c r="C674" s="74" t="s">
        <v>4918</v>
      </c>
    </row>
    <row r="675" spans="1:3" x14ac:dyDescent="0.25">
      <c r="A675" s="71" t="s">
        <v>1615</v>
      </c>
      <c r="B675" s="74" t="s">
        <v>5844</v>
      </c>
      <c r="C675" s="74" t="s">
        <v>4918</v>
      </c>
    </row>
    <row r="676" spans="1:3" x14ac:dyDescent="0.25">
      <c r="A676" s="71" t="s">
        <v>703</v>
      </c>
      <c r="B676" s="74" t="s">
        <v>5845</v>
      </c>
      <c r="C676" s="74" t="s">
        <v>4918</v>
      </c>
    </row>
    <row r="677" spans="1:3" x14ac:dyDescent="0.25">
      <c r="A677" s="71" t="s">
        <v>1617</v>
      </c>
      <c r="B677" s="74" t="s">
        <v>5846</v>
      </c>
      <c r="C677" s="74" t="s">
        <v>4918</v>
      </c>
    </row>
    <row r="678" spans="1:3" x14ac:dyDescent="0.25">
      <c r="A678" s="71" t="s">
        <v>1619</v>
      </c>
      <c r="B678" s="74" t="s">
        <v>5717</v>
      </c>
      <c r="C678" s="74" t="s">
        <v>4918</v>
      </c>
    </row>
    <row r="679" spans="1:3" x14ac:dyDescent="0.25">
      <c r="A679" s="71" t="s">
        <v>1620</v>
      </c>
      <c r="B679" s="74" t="s">
        <v>5847</v>
      </c>
      <c r="C679" s="74" t="s">
        <v>4918</v>
      </c>
    </row>
    <row r="680" spans="1:3" x14ac:dyDescent="0.25">
      <c r="A680" s="71" t="s">
        <v>1625</v>
      </c>
      <c r="B680" s="74" t="s">
        <v>5848</v>
      </c>
      <c r="C680" s="74" t="s">
        <v>4918</v>
      </c>
    </row>
    <row r="681" spans="1:3" x14ac:dyDescent="0.25">
      <c r="A681" s="71" t="s">
        <v>1627</v>
      </c>
      <c r="B681" s="74" t="s">
        <v>5849</v>
      </c>
      <c r="C681" s="74" t="s">
        <v>4918</v>
      </c>
    </row>
    <row r="682" spans="1:3" x14ac:dyDescent="0.25">
      <c r="A682" s="71" t="s">
        <v>1629</v>
      </c>
      <c r="B682" s="74" t="s">
        <v>5850</v>
      </c>
      <c r="C682" s="74" t="s">
        <v>4918</v>
      </c>
    </row>
    <row r="683" spans="1:3" x14ac:dyDescent="0.25">
      <c r="A683" s="71" t="s">
        <v>1631</v>
      </c>
      <c r="B683" s="74" t="s">
        <v>5851</v>
      </c>
      <c r="C683" s="74" t="s">
        <v>4918</v>
      </c>
    </row>
    <row r="684" spans="1:3" x14ac:dyDescent="0.25">
      <c r="A684" s="71" t="s">
        <v>1633</v>
      </c>
      <c r="B684" s="74" t="s">
        <v>5852</v>
      </c>
      <c r="C684" s="74" t="s">
        <v>4918</v>
      </c>
    </row>
    <row r="685" spans="1:3" x14ac:dyDescent="0.25">
      <c r="A685" s="71" t="s">
        <v>1635</v>
      </c>
      <c r="B685" s="74" t="s">
        <v>5853</v>
      </c>
      <c r="C685" s="74" t="s">
        <v>4918</v>
      </c>
    </row>
    <row r="686" spans="1:3" x14ac:dyDescent="0.25">
      <c r="A686" s="71" t="s">
        <v>1643</v>
      </c>
      <c r="B686" s="74" t="s">
        <v>5854</v>
      </c>
      <c r="C686" s="74" t="s">
        <v>4918</v>
      </c>
    </row>
    <row r="687" spans="1:3" x14ac:dyDescent="0.25">
      <c r="A687" s="71" t="s">
        <v>1645</v>
      </c>
      <c r="B687" s="74" t="s">
        <v>5855</v>
      </c>
      <c r="C687" s="74" t="s">
        <v>4918</v>
      </c>
    </row>
    <row r="688" spans="1:3" x14ac:dyDescent="0.25">
      <c r="A688" s="71" t="s">
        <v>1647</v>
      </c>
      <c r="B688" s="74" t="s">
        <v>5856</v>
      </c>
      <c r="C688" s="74" t="s">
        <v>4918</v>
      </c>
    </row>
    <row r="689" spans="1:3" x14ac:dyDescent="0.25">
      <c r="A689" s="71" t="s">
        <v>1651</v>
      </c>
      <c r="B689" s="74" t="s">
        <v>5857</v>
      </c>
      <c r="C689" s="74" t="s">
        <v>4918</v>
      </c>
    </row>
    <row r="690" spans="1:3" x14ac:dyDescent="0.25">
      <c r="A690" s="71" t="s">
        <v>1653</v>
      </c>
      <c r="B690" s="74" t="s">
        <v>5858</v>
      </c>
      <c r="C690" s="74" t="s">
        <v>4918</v>
      </c>
    </row>
    <row r="691" spans="1:3" x14ac:dyDescent="0.25">
      <c r="A691" s="71" t="s">
        <v>707</v>
      </c>
      <c r="B691" s="74" t="s">
        <v>5859</v>
      </c>
      <c r="C691" s="74" t="s">
        <v>4918</v>
      </c>
    </row>
    <row r="692" spans="1:3" x14ac:dyDescent="0.25">
      <c r="A692" s="71" t="s">
        <v>1655</v>
      </c>
      <c r="B692" s="74" t="s">
        <v>5860</v>
      </c>
      <c r="C692" s="74" t="s">
        <v>4918</v>
      </c>
    </row>
    <row r="693" spans="1:3" x14ac:dyDescent="0.25">
      <c r="A693" s="71" t="s">
        <v>1657</v>
      </c>
      <c r="B693" s="74" t="s">
        <v>5861</v>
      </c>
      <c r="C693" s="74" t="s">
        <v>4918</v>
      </c>
    </row>
    <row r="694" spans="1:3" x14ac:dyDescent="0.25">
      <c r="A694" s="71" t="s">
        <v>1661</v>
      </c>
      <c r="B694" s="74" t="s">
        <v>5862</v>
      </c>
      <c r="C694" s="74" t="s">
        <v>4918</v>
      </c>
    </row>
    <row r="695" spans="1:3" x14ac:dyDescent="0.25">
      <c r="A695" s="71" t="s">
        <v>1663</v>
      </c>
      <c r="B695" s="74" t="s">
        <v>5863</v>
      </c>
      <c r="C695" s="74" t="s">
        <v>4918</v>
      </c>
    </row>
    <row r="696" spans="1:3" x14ac:dyDescent="0.25">
      <c r="A696" s="71" t="s">
        <v>1665</v>
      </c>
      <c r="B696" s="74" t="s">
        <v>5864</v>
      </c>
      <c r="C696" s="74" t="s">
        <v>4918</v>
      </c>
    </row>
    <row r="697" spans="1:3" x14ac:dyDescent="0.25">
      <c r="A697" s="71" t="s">
        <v>1669</v>
      </c>
      <c r="B697" s="74" t="s">
        <v>5865</v>
      </c>
      <c r="C697" s="74" t="s">
        <v>4918</v>
      </c>
    </row>
    <row r="698" spans="1:3" x14ac:dyDescent="0.25">
      <c r="A698" s="71" t="s">
        <v>1673</v>
      </c>
      <c r="B698" s="74" t="s">
        <v>5866</v>
      </c>
      <c r="C698" s="74" t="s">
        <v>4918</v>
      </c>
    </row>
    <row r="699" spans="1:3" x14ac:dyDescent="0.25">
      <c r="A699" s="71" t="s">
        <v>5867</v>
      </c>
      <c r="B699" s="74" t="s">
        <v>5868</v>
      </c>
      <c r="C699" s="74" t="s">
        <v>4918</v>
      </c>
    </row>
    <row r="700" spans="1:3" x14ac:dyDescent="0.25">
      <c r="A700" s="71" t="s">
        <v>1675</v>
      </c>
      <c r="B700" s="74" t="s">
        <v>5869</v>
      </c>
      <c r="C700" s="74" t="s">
        <v>4918</v>
      </c>
    </row>
    <row r="701" spans="1:3" x14ac:dyDescent="0.25">
      <c r="A701" s="71" t="s">
        <v>1677</v>
      </c>
      <c r="B701" s="74" t="s">
        <v>5870</v>
      </c>
      <c r="C701" s="74" t="s">
        <v>4918</v>
      </c>
    </row>
    <row r="702" spans="1:3" x14ac:dyDescent="0.25">
      <c r="A702" s="71" t="s">
        <v>1679</v>
      </c>
      <c r="B702" s="74" t="s">
        <v>5871</v>
      </c>
      <c r="C702" s="74" t="s">
        <v>4918</v>
      </c>
    </row>
    <row r="703" spans="1:3" x14ac:dyDescent="0.25">
      <c r="A703" s="71" t="s">
        <v>1681</v>
      </c>
      <c r="B703" s="74" t="s">
        <v>5872</v>
      </c>
      <c r="C703" s="74" t="s">
        <v>4918</v>
      </c>
    </row>
    <row r="704" spans="1:3" x14ac:dyDescent="0.25">
      <c r="A704" s="71" t="s">
        <v>1683</v>
      </c>
      <c r="B704" s="74" t="s">
        <v>5873</v>
      </c>
      <c r="C704" s="74" t="s">
        <v>4918</v>
      </c>
    </row>
    <row r="705" spans="1:3" x14ac:dyDescent="0.25">
      <c r="A705" s="71" t="s">
        <v>1685</v>
      </c>
      <c r="B705" s="74" t="s">
        <v>5874</v>
      </c>
      <c r="C705" s="74" t="s">
        <v>4918</v>
      </c>
    </row>
    <row r="706" spans="1:3" x14ac:dyDescent="0.25">
      <c r="A706" s="71" t="s">
        <v>1687</v>
      </c>
      <c r="B706" s="74" t="s">
        <v>5875</v>
      </c>
      <c r="C706" s="74" t="s">
        <v>4918</v>
      </c>
    </row>
    <row r="707" spans="1:3" x14ac:dyDescent="0.25">
      <c r="A707" s="71" t="s">
        <v>1689</v>
      </c>
      <c r="B707" s="74" t="s">
        <v>5876</v>
      </c>
      <c r="C707" s="74" t="s">
        <v>4918</v>
      </c>
    </row>
    <row r="708" spans="1:3" x14ac:dyDescent="0.25">
      <c r="A708" s="71" t="s">
        <v>1691</v>
      </c>
      <c r="B708" s="74" t="s">
        <v>5877</v>
      </c>
      <c r="C708" s="74" t="s">
        <v>4918</v>
      </c>
    </row>
    <row r="709" spans="1:3" x14ac:dyDescent="0.25">
      <c r="A709" s="71" t="s">
        <v>1693</v>
      </c>
      <c r="B709" s="74" t="s">
        <v>5878</v>
      </c>
      <c r="C709" s="74" t="s">
        <v>4918</v>
      </c>
    </row>
    <row r="710" spans="1:3" x14ac:dyDescent="0.25">
      <c r="A710" s="71" t="s">
        <v>708</v>
      </c>
      <c r="B710" s="74" t="s">
        <v>5879</v>
      </c>
      <c r="C710" s="74" t="s">
        <v>4918</v>
      </c>
    </row>
    <row r="711" spans="1:3" x14ac:dyDescent="0.25">
      <c r="A711" s="71" t="s">
        <v>1695</v>
      </c>
      <c r="B711" s="74" t="s">
        <v>5880</v>
      </c>
      <c r="C711" s="74" t="s">
        <v>4918</v>
      </c>
    </row>
    <row r="712" spans="1:3" x14ac:dyDescent="0.25">
      <c r="A712" s="71" t="s">
        <v>1696</v>
      </c>
      <c r="B712" s="74" t="s">
        <v>5881</v>
      </c>
      <c r="C712" s="74" t="s">
        <v>4918</v>
      </c>
    </row>
    <row r="713" spans="1:3" x14ac:dyDescent="0.25">
      <c r="A713" s="71" t="s">
        <v>1698</v>
      </c>
      <c r="B713" s="74" t="s">
        <v>5882</v>
      </c>
      <c r="C713" s="74" t="s">
        <v>4918</v>
      </c>
    </row>
    <row r="714" spans="1:3" x14ac:dyDescent="0.25">
      <c r="A714" s="71" t="s">
        <v>1700</v>
      </c>
      <c r="B714" s="74" t="s">
        <v>5883</v>
      </c>
      <c r="C714" s="74" t="s">
        <v>4918</v>
      </c>
    </row>
    <row r="715" spans="1:3" x14ac:dyDescent="0.25">
      <c r="A715" s="71" t="s">
        <v>1701</v>
      </c>
      <c r="B715" s="74" t="s">
        <v>5884</v>
      </c>
      <c r="C715" s="74" t="s">
        <v>4918</v>
      </c>
    </row>
    <row r="716" spans="1:3" x14ac:dyDescent="0.25">
      <c r="A716" s="71" t="s">
        <v>1702</v>
      </c>
      <c r="B716" s="74" t="s">
        <v>5885</v>
      </c>
      <c r="C716" s="74" t="s">
        <v>4918</v>
      </c>
    </row>
    <row r="717" spans="1:3" x14ac:dyDescent="0.25">
      <c r="A717" s="71" t="s">
        <v>1703</v>
      </c>
      <c r="B717" s="74" t="s">
        <v>5886</v>
      </c>
      <c r="C717" s="74" t="s">
        <v>4918</v>
      </c>
    </row>
    <row r="718" spans="1:3" x14ac:dyDescent="0.25">
      <c r="A718" s="71" t="s">
        <v>1707</v>
      </c>
      <c r="B718" s="74" t="s">
        <v>5887</v>
      </c>
      <c r="C718" s="74" t="s">
        <v>4918</v>
      </c>
    </row>
    <row r="719" spans="1:3" x14ac:dyDescent="0.25">
      <c r="A719" s="71" t="s">
        <v>710</v>
      </c>
      <c r="B719" s="74" t="s">
        <v>5888</v>
      </c>
      <c r="C719" s="74" t="s">
        <v>4918</v>
      </c>
    </row>
    <row r="720" spans="1:3" x14ac:dyDescent="0.25">
      <c r="A720" s="71" t="s">
        <v>1710</v>
      </c>
      <c r="B720" s="74" t="s">
        <v>5889</v>
      </c>
      <c r="C720" s="74" t="s">
        <v>4918</v>
      </c>
    </row>
    <row r="721" spans="1:3" x14ac:dyDescent="0.25">
      <c r="A721" s="71" t="s">
        <v>1714</v>
      </c>
      <c r="B721" s="74" t="s">
        <v>5890</v>
      </c>
      <c r="C721" s="74" t="s">
        <v>4918</v>
      </c>
    </row>
    <row r="722" spans="1:3" x14ac:dyDescent="0.25">
      <c r="A722" s="71" t="s">
        <v>1718</v>
      </c>
      <c r="B722" s="74" t="s">
        <v>5891</v>
      </c>
      <c r="C722" s="74" t="s">
        <v>4918</v>
      </c>
    </row>
    <row r="723" spans="1:3" x14ac:dyDescent="0.25">
      <c r="A723" s="71" t="s">
        <v>1720</v>
      </c>
      <c r="B723" s="74" t="s">
        <v>5892</v>
      </c>
      <c r="C723" s="74" t="s">
        <v>4918</v>
      </c>
    </row>
    <row r="724" spans="1:3" x14ac:dyDescent="0.25">
      <c r="A724" s="71" t="s">
        <v>5893</v>
      </c>
      <c r="B724" s="74" t="s">
        <v>5894</v>
      </c>
      <c r="C724" s="74" t="s">
        <v>4918</v>
      </c>
    </row>
    <row r="725" spans="1:3" x14ac:dyDescent="0.25">
      <c r="A725" s="71" t="s">
        <v>1724</v>
      </c>
      <c r="B725" s="74" t="s">
        <v>5895</v>
      </c>
      <c r="C725" s="74" t="s">
        <v>4918</v>
      </c>
    </row>
    <row r="726" spans="1:3" x14ac:dyDescent="0.25">
      <c r="A726" s="71" t="s">
        <v>712</v>
      </c>
      <c r="B726" s="74" t="s">
        <v>5896</v>
      </c>
      <c r="C726" s="74" t="s">
        <v>4918</v>
      </c>
    </row>
    <row r="727" spans="1:3" x14ac:dyDescent="0.25">
      <c r="A727" s="71" t="s">
        <v>1728</v>
      </c>
      <c r="B727" s="74" t="s">
        <v>5897</v>
      </c>
      <c r="C727" s="74" t="s">
        <v>4918</v>
      </c>
    </row>
    <row r="728" spans="1:3" x14ac:dyDescent="0.25">
      <c r="A728" s="71" t="s">
        <v>1730</v>
      </c>
      <c r="B728" s="74" t="s">
        <v>5898</v>
      </c>
      <c r="C728" s="74" t="s">
        <v>4918</v>
      </c>
    </row>
    <row r="729" spans="1:3" x14ac:dyDescent="0.25">
      <c r="A729" s="71" t="s">
        <v>1734</v>
      </c>
      <c r="B729" s="74" t="s">
        <v>5899</v>
      </c>
      <c r="C729" s="74" t="s">
        <v>4918</v>
      </c>
    </row>
    <row r="730" spans="1:3" x14ac:dyDescent="0.25">
      <c r="A730" s="71" t="s">
        <v>1740</v>
      </c>
      <c r="B730" s="74" t="s">
        <v>5900</v>
      </c>
      <c r="C730" s="74" t="s">
        <v>4918</v>
      </c>
    </row>
    <row r="731" spans="1:3" x14ac:dyDescent="0.25">
      <c r="A731" s="71" t="s">
        <v>1742</v>
      </c>
      <c r="B731" s="74" t="s">
        <v>5901</v>
      </c>
      <c r="C731" s="74" t="s">
        <v>4918</v>
      </c>
    </row>
    <row r="732" spans="1:3" x14ac:dyDescent="0.25">
      <c r="A732" s="71" t="s">
        <v>714</v>
      </c>
      <c r="B732" s="74" t="s">
        <v>5902</v>
      </c>
      <c r="C732" s="74" t="s">
        <v>4918</v>
      </c>
    </row>
    <row r="733" spans="1:3" x14ac:dyDescent="0.25">
      <c r="A733" s="71" t="s">
        <v>1744</v>
      </c>
      <c r="B733" s="74" t="s">
        <v>5903</v>
      </c>
      <c r="C733" s="74" t="s">
        <v>4918</v>
      </c>
    </row>
    <row r="734" spans="1:3" x14ac:dyDescent="0.25">
      <c r="A734" s="71" t="s">
        <v>1746</v>
      </c>
      <c r="B734" s="74" t="s">
        <v>5904</v>
      </c>
      <c r="C734" s="74" t="s">
        <v>4918</v>
      </c>
    </row>
    <row r="735" spans="1:3" x14ac:dyDescent="0.25">
      <c r="A735" s="71" t="s">
        <v>1750</v>
      </c>
      <c r="B735" s="74" t="s">
        <v>5905</v>
      </c>
      <c r="C735" s="74" t="s">
        <v>4918</v>
      </c>
    </row>
    <row r="736" spans="1:3" x14ac:dyDescent="0.25">
      <c r="A736" s="71" t="s">
        <v>1754</v>
      </c>
      <c r="B736" s="74" t="s">
        <v>5906</v>
      </c>
      <c r="C736" s="74" t="s">
        <v>4918</v>
      </c>
    </row>
    <row r="737" spans="1:3" x14ac:dyDescent="0.25">
      <c r="A737" s="71" t="s">
        <v>1756</v>
      </c>
      <c r="B737" s="74" t="s">
        <v>5907</v>
      </c>
      <c r="C737" s="74" t="s">
        <v>4918</v>
      </c>
    </row>
    <row r="738" spans="1:3" x14ac:dyDescent="0.25">
      <c r="A738" s="71" t="s">
        <v>1758</v>
      </c>
      <c r="B738" s="74" t="s">
        <v>5908</v>
      </c>
      <c r="C738" s="74" t="s">
        <v>4918</v>
      </c>
    </row>
    <row r="739" spans="1:3" x14ac:dyDescent="0.25">
      <c r="A739" s="71" t="s">
        <v>1762</v>
      </c>
      <c r="B739" s="74" t="s">
        <v>5909</v>
      </c>
      <c r="C739" s="74" t="s">
        <v>4918</v>
      </c>
    </row>
    <row r="740" spans="1:3" x14ac:dyDescent="0.25">
      <c r="A740" s="71" t="s">
        <v>716</v>
      </c>
      <c r="B740" s="74" t="s">
        <v>5910</v>
      </c>
      <c r="C740" s="74" t="s">
        <v>4918</v>
      </c>
    </row>
    <row r="741" spans="1:3" x14ac:dyDescent="0.25">
      <c r="A741" s="71" t="s">
        <v>1764</v>
      </c>
      <c r="B741" s="74" t="s">
        <v>5911</v>
      </c>
      <c r="C741" s="74" t="s">
        <v>4918</v>
      </c>
    </row>
    <row r="742" spans="1:3" x14ac:dyDescent="0.25">
      <c r="A742" s="71" t="s">
        <v>1770</v>
      </c>
      <c r="B742" s="74" t="s">
        <v>5912</v>
      </c>
      <c r="C742" s="74" t="s">
        <v>4918</v>
      </c>
    </row>
    <row r="743" spans="1:3" x14ac:dyDescent="0.25">
      <c r="A743" s="71" t="s">
        <v>1772</v>
      </c>
      <c r="B743" s="74" t="s">
        <v>5913</v>
      </c>
      <c r="C743" s="74" t="s">
        <v>4918</v>
      </c>
    </row>
    <row r="744" spans="1:3" x14ac:dyDescent="0.25">
      <c r="A744" s="71" t="s">
        <v>1774</v>
      </c>
      <c r="B744" s="74" t="s">
        <v>5914</v>
      </c>
      <c r="C744" s="74" t="s">
        <v>4918</v>
      </c>
    </row>
    <row r="745" spans="1:3" x14ac:dyDescent="0.25">
      <c r="A745" s="71" t="s">
        <v>1780</v>
      </c>
      <c r="B745" s="74" t="s">
        <v>5915</v>
      </c>
      <c r="C745" s="74" t="s">
        <v>4918</v>
      </c>
    </row>
    <row r="746" spans="1:3" x14ac:dyDescent="0.25">
      <c r="A746" s="71" t="s">
        <v>1782</v>
      </c>
      <c r="B746" s="74" t="s">
        <v>5916</v>
      </c>
      <c r="C746" s="74" t="s">
        <v>4918</v>
      </c>
    </row>
    <row r="747" spans="1:3" x14ac:dyDescent="0.25">
      <c r="A747" s="71" t="s">
        <v>1784</v>
      </c>
      <c r="B747" s="74" t="s">
        <v>5917</v>
      </c>
      <c r="C747" s="74" t="s">
        <v>4918</v>
      </c>
    </row>
    <row r="748" spans="1:3" x14ac:dyDescent="0.25">
      <c r="A748" s="71" t="s">
        <v>1788</v>
      </c>
      <c r="B748" s="74" t="s">
        <v>5918</v>
      </c>
      <c r="C748" s="74" t="s">
        <v>4918</v>
      </c>
    </row>
    <row r="749" spans="1:3" x14ac:dyDescent="0.25">
      <c r="A749" s="71" t="s">
        <v>1789</v>
      </c>
      <c r="B749" s="74" t="s">
        <v>5919</v>
      </c>
      <c r="C749" s="74" t="s">
        <v>4918</v>
      </c>
    </row>
    <row r="750" spans="1:3" x14ac:dyDescent="0.25">
      <c r="A750" s="71" t="s">
        <v>1793</v>
      </c>
      <c r="B750" s="74" t="s">
        <v>5920</v>
      </c>
      <c r="C750" s="74" t="s">
        <v>4918</v>
      </c>
    </row>
    <row r="751" spans="1:3" x14ac:dyDescent="0.25">
      <c r="A751" s="71" t="s">
        <v>1795</v>
      </c>
      <c r="B751" s="74" t="s">
        <v>5921</v>
      </c>
      <c r="C751" s="74" t="s">
        <v>4918</v>
      </c>
    </row>
    <row r="752" spans="1:3" x14ac:dyDescent="0.25">
      <c r="A752" s="71" t="s">
        <v>1797</v>
      </c>
      <c r="B752" s="74" t="s">
        <v>5922</v>
      </c>
      <c r="C752" s="74" t="s">
        <v>4918</v>
      </c>
    </row>
    <row r="753" spans="1:3" x14ac:dyDescent="0.25">
      <c r="A753" s="71" t="s">
        <v>1799</v>
      </c>
      <c r="B753" s="74" t="s">
        <v>5923</v>
      </c>
      <c r="C753" s="74" t="s">
        <v>4918</v>
      </c>
    </row>
    <row r="754" spans="1:3" x14ac:dyDescent="0.25">
      <c r="A754" s="71" t="s">
        <v>1801</v>
      </c>
      <c r="B754" s="74" t="s">
        <v>5924</v>
      </c>
      <c r="C754" s="74" t="s">
        <v>4918</v>
      </c>
    </row>
    <row r="755" spans="1:3" x14ac:dyDescent="0.25">
      <c r="A755" s="71" t="s">
        <v>718</v>
      </c>
      <c r="B755" s="74" t="s">
        <v>5238</v>
      </c>
      <c r="C755" s="74" t="s">
        <v>4918</v>
      </c>
    </row>
    <row r="756" spans="1:3" x14ac:dyDescent="0.25">
      <c r="A756" s="71" t="s">
        <v>1803</v>
      </c>
      <c r="B756" s="74" t="s">
        <v>1804</v>
      </c>
      <c r="C756" s="74" t="s">
        <v>4918</v>
      </c>
    </row>
    <row r="757" spans="1:3" x14ac:dyDescent="0.25">
      <c r="A757" s="71" t="s">
        <v>1805</v>
      </c>
      <c r="B757" s="74" t="s">
        <v>5925</v>
      </c>
      <c r="C757" s="74" t="s">
        <v>4918</v>
      </c>
    </row>
    <row r="758" spans="1:3" x14ac:dyDescent="0.25">
      <c r="A758" s="71" t="s">
        <v>1807</v>
      </c>
      <c r="B758" s="74" t="s">
        <v>5926</v>
      </c>
      <c r="C758" s="74" t="s">
        <v>4918</v>
      </c>
    </row>
    <row r="759" spans="1:3" x14ac:dyDescent="0.25">
      <c r="A759" s="71" t="s">
        <v>1808</v>
      </c>
      <c r="B759" s="74" t="s">
        <v>5927</v>
      </c>
      <c r="C759" s="74" t="s">
        <v>4918</v>
      </c>
    </row>
    <row r="760" spans="1:3" x14ac:dyDescent="0.25">
      <c r="A760" s="71" t="s">
        <v>1810</v>
      </c>
      <c r="B760" s="74" t="s">
        <v>1811</v>
      </c>
      <c r="C760" s="74" t="s">
        <v>4918</v>
      </c>
    </row>
    <row r="761" spans="1:3" x14ac:dyDescent="0.25">
      <c r="A761" s="71" t="s">
        <v>1814</v>
      </c>
      <c r="B761" s="74" t="s">
        <v>5928</v>
      </c>
      <c r="C761" s="74" t="s">
        <v>4918</v>
      </c>
    </row>
    <row r="762" spans="1:3" x14ac:dyDescent="0.25">
      <c r="A762" s="71" t="s">
        <v>1816</v>
      </c>
      <c r="B762" s="74" t="s">
        <v>5929</v>
      </c>
      <c r="C762" s="74" t="s">
        <v>4918</v>
      </c>
    </row>
    <row r="763" spans="1:3" x14ac:dyDescent="0.25">
      <c r="A763" s="71" t="s">
        <v>1817</v>
      </c>
      <c r="B763" s="74" t="s">
        <v>5930</v>
      </c>
      <c r="C763" s="74" t="s">
        <v>4918</v>
      </c>
    </row>
    <row r="764" spans="1:3" x14ac:dyDescent="0.25">
      <c r="A764" s="71" t="s">
        <v>1819</v>
      </c>
      <c r="B764" s="74" t="s">
        <v>5931</v>
      </c>
      <c r="C764" s="74" t="s">
        <v>4918</v>
      </c>
    </row>
    <row r="765" spans="1:3" x14ac:dyDescent="0.25">
      <c r="A765" s="71" t="s">
        <v>720</v>
      </c>
      <c r="B765" s="74" t="s">
        <v>5932</v>
      </c>
      <c r="C765" s="74" t="s">
        <v>4918</v>
      </c>
    </row>
    <row r="766" spans="1:3" x14ac:dyDescent="0.25">
      <c r="A766" s="71" t="s">
        <v>1821</v>
      </c>
      <c r="B766" s="74" t="s">
        <v>5933</v>
      </c>
      <c r="C766" s="74" t="s">
        <v>4918</v>
      </c>
    </row>
    <row r="767" spans="1:3" x14ac:dyDescent="0.25">
      <c r="A767" s="71" t="s">
        <v>1825</v>
      </c>
      <c r="B767" s="74" t="s">
        <v>5934</v>
      </c>
      <c r="C767" s="74" t="s">
        <v>4918</v>
      </c>
    </row>
    <row r="768" spans="1:3" x14ac:dyDescent="0.25">
      <c r="A768" s="71" t="s">
        <v>1831</v>
      </c>
      <c r="B768" s="74" t="s">
        <v>5935</v>
      </c>
      <c r="C768" s="74" t="s">
        <v>4918</v>
      </c>
    </row>
    <row r="769" spans="1:3" x14ac:dyDescent="0.25">
      <c r="A769" s="71" t="s">
        <v>1833</v>
      </c>
      <c r="B769" s="74" t="s">
        <v>5936</v>
      </c>
      <c r="C769" s="74" t="s">
        <v>4918</v>
      </c>
    </row>
    <row r="770" spans="1:3" x14ac:dyDescent="0.25">
      <c r="A770" s="71" t="s">
        <v>1835</v>
      </c>
      <c r="B770" s="74" t="s">
        <v>5937</v>
      </c>
      <c r="C770" s="74" t="s">
        <v>4918</v>
      </c>
    </row>
    <row r="771" spans="1:3" x14ac:dyDescent="0.25">
      <c r="A771" s="71" t="s">
        <v>1836</v>
      </c>
      <c r="B771" s="74" t="s">
        <v>5938</v>
      </c>
      <c r="C771" s="74" t="s">
        <v>4918</v>
      </c>
    </row>
    <row r="772" spans="1:3" x14ac:dyDescent="0.25">
      <c r="A772" s="71" t="s">
        <v>1837</v>
      </c>
      <c r="B772" s="74" t="s">
        <v>5939</v>
      </c>
      <c r="C772" s="74" t="s">
        <v>4918</v>
      </c>
    </row>
    <row r="773" spans="1:3" x14ac:dyDescent="0.25">
      <c r="A773" s="71" t="s">
        <v>722</v>
      </c>
      <c r="B773" s="74" t="s">
        <v>5940</v>
      </c>
      <c r="C773" s="74" t="s">
        <v>4918</v>
      </c>
    </row>
    <row r="774" spans="1:3" x14ac:dyDescent="0.25">
      <c r="A774" s="71" t="s">
        <v>1838</v>
      </c>
      <c r="B774" s="74" t="s">
        <v>5941</v>
      </c>
      <c r="C774" s="74" t="s">
        <v>4918</v>
      </c>
    </row>
    <row r="775" spans="1:3" x14ac:dyDescent="0.25">
      <c r="A775" s="71" t="s">
        <v>1839</v>
      </c>
      <c r="B775" s="74" t="s">
        <v>5942</v>
      </c>
      <c r="C775" s="74" t="s">
        <v>4918</v>
      </c>
    </row>
    <row r="776" spans="1:3" x14ac:dyDescent="0.25">
      <c r="A776" s="71" t="s">
        <v>1840</v>
      </c>
      <c r="B776" s="74" t="s">
        <v>5943</v>
      </c>
      <c r="C776" s="74" t="s">
        <v>4918</v>
      </c>
    </row>
    <row r="777" spans="1:3" x14ac:dyDescent="0.25">
      <c r="A777" s="71" t="s">
        <v>1841</v>
      </c>
      <c r="B777" s="74" t="s">
        <v>5944</v>
      </c>
      <c r="C777" s="74" t="s">
        <v>4918</v>
      </c>
    </row>
    <row r="778" spans="1:3" x14ac:dyDescent="0.25">
      <c r="A778" s="71" t="s">
        <v>1844</v>
      </c>
      <c r="B778" s="74" t="s">
        <v>5945</v>
      </c>
      <c r="C778" s="74" t="s">
        <v>4918</v>
      </c>
    </row>
    <row r="779" spans="1:3" x14ac:dyDescent="0.25">
      <c r="A779" s="71" t="s">
        <v>1845</v>
      </c>
      <c r="B779" s="74" t="s">
        <v>5946</v>
      </c>
      <c r="C779" s="74" t="s">
        <v>4918</v>
      </c>
    </row>
    <row r="780" spans="1:3" x14ac:dyDescent="0.25">
      <c r="A780" s="71" t="s">
        <v>1846</v>
      </c>
      <c r="B780" s="74" t="s">
        <v>5947</v>
      </c>
      <c r="C780" s="74" t="s">
        <v>4918</v>
      </c>
    </row>
    <row r="781" spans="1:3" x14ac:dyDescent="0.25">
      <c r="A781" s="71" t="s">
        <v>1847</v>
      </c>
      <c r="B781" s="74" t="s">
        <v>5948</v>
      </c>
      <c r="C781" s="74" t="s">
        <v>4918</v>
      </c>
    </row>
    <row r="782" spans="1:3" x14ac:dyDescent="0.25">
      <c r="A782" s="71" t="s">
        <v>621</v>
      </c>
      <c r="B782" s="74" t="s">
        <v>5949</v>
      </c>
      <c r="C782" s="74" t="s">
        <v>4918</v>
      </c>
    </row>
    <row r="783" spans="1:3" x14ac:dyDescent="0.25">
      <c r="A783" s="71" t="s">
        <v>723</v>
      </c>
      <c r="B783" s="74" t="s">
        <v>5950</v>
      </c>
      <c r="C783" s="74" t="s">
        <v>4918</v>
      </c>
    </row>
    <row r="784" spans="1:3" x14ac:dyDescent="0.25">
      <c r="A784" s="71" t="s">
        <v>1849</v>
      </c>
      <c r="B784" s="74" t="s">
        <v>5951</v>
      </c>
      <c r="C784" s="74" t="s">
        <v>4918</v>
      </c>
    </row>
    <row r="785" spans="1:3" x14ac:dyDescent="0.25">
      <c r="A785" s="71" t="s">
        <v>1851</v>
      </c>
      <c r="B785" s="74" t="s">
        <v>5952</v>
      </c>
      <c r="C785" s="74" t="s">
        <v>4918</v>
      </c>
    </row>
    <row r="786" spans="1:3" x14ac:dyDescent="0.25">
      <c r="A786" s="71" t="s">
        <v>1853</v>
      </c>
      <c r="B786" s="74" t="s">
        <v>5953</v>
      </c>
      <c r="C786" s="74" t="s">
        <v>4918</v>
      </c>
    </row>
    <row r="787" spans="1:3" x14ac:dyDescent="0.25">
      <c r="A787" s="71" t="s">
        <v>1855</v>
      </c>
      <c r="B787" s="74" t="s">
        <v>5954</v>
      </c>
      <c r="C787" s="74" t="s">
        <v>4918</v>
      </c>
    </row>
    <row r="788" spans="1:3" x14ac:dyDescent="0.25">
      <c r="A788" s="71" t="s">
        <v>1857</v>
      </c>
      <c r="B788" s="74" t="s">
        <v>5955</v>
      </c>
      <c r="C788" s="74" t="s">
        <v>4918</v>
      </c>
    </row>
    <row r="789" spans="1:3" x14ac:dyDescent="0.25">
      <c r="A789" s="71" t="s">
        <v>1858</v>
      </c>
      <c r="B789" s="74" t="s">
        <v>5956</v>
      </c>
      <c r="C789" s="74" t="s">
        <v>4918</v>
      </c>
    </row>
    <row r="790" spans="1:3" x14ac:dyDescent="0.25">
      <c r="A790" s="71" t="s">
        <v>1860</v>
      </c>
      <c r="B790" s="74" t="s">
        <v>5957</v>
      </c>
      <c r="C790" s="74" t="s">
        <v>4918</v>
      </c>
    </row>
    <row r="791" spans="1:3" x14ac:dyDescent="0.25">
      <c r="A791" s="71" t="s">
        <v>1862</v>
      </c>
      <c r="B791" s="74" t="s">
        <v>5958</v>
      </c>
      <c r="C791" s="74" t="s">
        <v>4918</v>
      </c>
    </row>
    <row r="792" spans="1:3" x14ac:dyDescent="0.25">
      <c r="A792" s="71" t="s">
        <v>1864</v>
      </c>
      <c r="B792" s="74" t="s">
        <v>5959</v>
      </c>
      <c r="C792" s="74" t="s">
        <v>4918</v>
      </c>
    </row>
    <row r="793" spans="1:3" x14ac:dyDescent="0.25">
      <c r="A793" s="71" t="s">
        <v>1866</v>
      </c>
      <c r="B793" s="74" t="s">
        <v>5960</v>
      </c>
      <c r="C793" s="74" t="s">
        <v>4918</v>
      </c>
    </row>
    <row r="794" spans="1:3" x14ac:dyDescent="0.25">
      <c r="A794" s="71" t="s">
        <v>725</v>
      </c>
      <c r="B794" s="74" t="s">
        <v>5961</v>
      </c>
      <c r="C794" s="74" t="s">
        <v>4918</v>
      </c>
    </row>
    <row r="795" spans="1:3" x14ac:dyDescent="0.25">
      <c r="A795" s="71" t="s">
        <v>1868</v>
      </c>
      <c r="B795" s="74" t="s">
        <v>5962</v>
      </c>
      <c r="C795" s="74" t="s">
        <v>4918</v>
      </c>
    </row>
    <row r="796" spans="1:3" x14ac:dyDescent="0.25">
      <c r="A796" s="71" t="s">
        <v>1874</v>
      </c>
      <c r="B796" s="74" t="s">
        <v>5963</v>
      </c>
      <c r="C796" s="74" t="s">
        <v>4918</v>
      </c>
    </row>
    <row r="797" spans="1:3" x14ac:dyDescent="0.25">
      <c r="A797" s="71" t="s">
        <v>1878</v>
      </c>
      <c r="B797" s="74" t="s">
        <v>5964</v>
      </c>
      <c r="C797" s="74" t="s">
        <v>4918</v>
      </c>
    </row>
    <row r="798" spans="1:3" x14ac:dyDescent="0.25">
      <c r="A798" s="71" t="s">
        <v>1884</v>
      </c>
      <c r="B798" s="74" t="s">
        <v>5965</v>
      </c>
      <c r="C798" s="74" t="s">
        <v>4918</v>
      </c>
    </row>
    <row r="799" spans="1:3" x14ac:dyDescent="0.25">
      <c r="A799" s="71" t="s">
        <v>1886</v>
      </c>
      <c r="B799" s="74" t="s">
        <v>5966</v>
      </c>
      <c r="C799" s="74" t="s">
        <v>4918</v>
      </c>
    </row>
    <row r="800" spans="1:3" x14ac:dyDescent="0.25">
      <c r="A800" s="71" t="s">
        <v>727</v>
      </c>
      <c r="B800" s="74" t="s">
        <v>5967</v>
      </c>
      <c r="C800" s="74" t="s">
        <v>4918</v>
      </c>
    </row>
    <row r="801" spans="1:3" x14ac:dyDescent="0.25">
      <c r="A801" s="71" t="s">
        <v>1888</v>
      </c>
      <c r="B801" s="74" t="s">
        <v>5968</v>
      </c>
      <c r="C801" s="74" t="s">
        <v>4918</v>
      </c>
    </row>
    <row r="802" spans="1:3" x14ac:dyDescent="0.25">
      <c r="A802" s="71" t="s">
        <v>1889</v>
      </c>
      <c r="B802" s="74" t="s">
        <v>5969</v>
      </c>
      <c r="C802" s="74" t="s">
        <v>4918</v>
      </c>
    </row>
    <row r="803" spans="1:3" x14ac:dyDescent="0.25">
      <c r="A803" s="71" t="s">
        <v>1891</v>
      </c>
      <c r="B803" s="74" t="s">
        <v>5970</v>
      </c>
      <c r="C803" s="74" t="s">
        <v>4918</v>
      </c>
    </row>
    <row r="804" spans="1:3" x14ac:dyDescent="0.25">
      <c r="A804" s="71" t="s">
        <v>1893</v>
      </c>
      <c r="B804" s="74" t="s">
        <v>5971</v>
      </c>
      <c r="C804" s="74" t="s">
        <v>4918</v>
      </c>
    </row>
    <row r="805" spans="1:3" x14ac:dyDescent="0.25">
      <c r="A805" s="71" t="s">
        <v>1895</v>
      </c>
      <c r="B805" s="74" t="s">
        <v>5972</v>
      </c>
      <c r="C805" s="74" t="s">
        <v>4918</v>
      </c>
    </row>
    <row r="806" spans="1:3" x14ac:dyDescent="0.25">
      <c r="A806" s="71" t="s">
        <v>1897</v>
      </c>
      <c r="B806" s="74" t="s">
        <v>5973</v>
      </c>
      <c r="C806" s="74" t="s">
        <v>4918</v>
      </c>
    </row>
    <row r="807" spans="1:3" x14ac:dyDescent="0.25">
      <c r="A807" s="71" t="s">
        <v>1899</v>
      </c>
      <c r="B807" s="74" t="s">
        <v>5974</v>
      </c>
      <c r="C807" s="74" t="s">
        <v>4918</v>
      </c>
    </row>
    <row r="808" spans="1:3" x14ac:dyDescent="0.25">
      <c r="A808" s="71" t="s">
        <v>1901</v>
      </c>
      <c r="B808" s="74" t="s">
        <v>5975</v>
      </c>
      <c r="C808" s="74" t="s">
        <v>4918</v>
      </c>
    </row>
    <row r="809" spans="1:3" x14ac:dyDescent="0.25">
      <c r="A809" s="71" t="s">
        <v>1903</v>
      </c>
      <c r="B809" s="74" t="s">
        <v>1904</v>
      </c>
      <c r="C809" s="74" t="s">
        <v>4918</v>
      </c>
    </row>
    <row r="810" spans="1:3" x14ac:dyDescent="0.25">
      <c r="A810" s="71" t="s">
        <v>1905</v>
      </c>
      <c r="B810" s="74" t="s">
        <v>5976</v>
      </c>
      <c r="C810" s="74" t="s">
        <v>4918</v>
      </c>
    </row>
    <row r="811" spans="1:3" x14ac:dyDescent="0.25">
      <c r="A811" s="71" t="s">
        <v>1909</v>
      </c>
      <c r="B811" s="74" t="s">
        <v>5977</v>
      </c>
      <c r="C811" s="74" t="s">
        <v>4918</v>
      </c>
    </row>
    <row r="812" spans="1:3" x14ac:dyDescent="0.25">
      <c r="A812" s="71" t="s">
        <v>1913</v>
      </c>
      <c r="B812" s="74" t="s">
        <v>5978</v>
      </c>
      <c r="C812" s="74" t="s">
        <v>4918</v>
      </c>
    </row>
    <row r="813" spans="1:3" x14ac:dyDescent="0.25">
      <c r="A813" s="71" t="s">
        <v>1915</v>
      </c>
      <c r="B813" s="74" t="s">
        <v>5979</v>
      </c>
      <c r="C813" s="74" t="s">
        <v>4918</v>
      </c>
    </row>
    <row r="814" spans="1:3" x14ac:dyDescent="0.25">
      <c r="A814" s="71" t="s">
        <v>1917</v>
      </c>
      <c r="B814" s="74" t="s">
        <v>5980</v>
      </c>
      <c r="C814" s="74" t="s">
        <v>4918</v>
      </c>
    </row>
    <row r="815" spans="1:3" x14ac:dyDescent="0.25">
      <c r="A815" s="71" t="s">
        <v>1919</v>
      </c>
      <c r="B815" s="74" t="s">
        <v>5981</v>
      </c>
      <c r="C815" s="74" t="s">
        <v>4918</v>
      </c>
    </row>
    <row r="816" spans="1:3" x14ac:dyDescent="0.25">
      <c r="A816" s="71" t="s">
        <v>1921</v>
      </c>
      <c r="B816" s="74" t="s">
        <v>5982</v>
      </c>
      <c r="C816" s="74" t="s">
        <v>4918</v>
      </c>
    </row>
    <row r="817" spans="1:3" x14ac:dyDescent="0.25">
      <c r="A817" s="71" t="s">
        <v>729</v>
      </c>
      <c r="B817" s="74" t="s">
        <v>5983</v>
      </c>
      <c r="C817" s="74" t="s">
        <v>4918</v>
      </c>
    </row>
    <row r="818" spans="1:3" x14ac:dyDescent="0.25">
      <c r="A818" s="71" t="s">
        <v>5984</v>
      </c>
      <c r="B818" s="74" t="s">
        <v>5985</v>
      </c>
      <c r="C818" s="74" t="s">
        <v>4918</v>
      </c>
    </row>
    <row r="819" spans="1:3" x14ac:dyDescent="0.25">
      <c r="A819" s="71" t="s">
        <v>1929</v>
      </c>
      <c r="B819" s="74" t="s">
        <v>5986</v>
      </c>
      <c r="C819" s="74" t="s">
        <v>4918</v>
      </c>
    </row>
    <row r="820" spans="1:3" x14ac:dyDescent="0.25">
      <c r="A820" s="71" t="s">
        <v>1933</v>
      </c>
      <c r="B820" s="74" t="s">
        <v>5987</v>
      </c>
      <c r="C820" s="74" t="s">
        <v>4918</v>
      </c>
    </row>
    <row r="821" spans="1:3" x14ac:dyDescent="0.25">
      <c r="A821" s="71" t="s">
        <v>1935</v>
      </c>
      <c r="B821" s="74" t="s">
        <v>5988</v>
      </c>
      <c r="C821" s="74" t="s">
        <v>4918</v>
      </c>
    </row>
    <row r="822" spans="1:3" x14ac:dyDescent="0.25">
      <c r="A822" s="71" t="s">
        <v>1937</v>
      </c>
      <c r="B822" s="74" t="s">
        <v>5989</v>
      </c>
      <c r="C822" s="74" t="s">
        <v>4918</v>
      </c>
    </row>
    <row r="823" spans="1:3" x14ac:dyDescent="0.25">
      <c r="A823" s="71" t="s">
        <v>1939</v>
      </c>
      <c r="B823" s="74" t="s">
        <v>5990</v>
      </c>
      <c r="C823" s="74" t="s">
        <v>4918</v>
      </c>
    </row>
    <row r="824" spans="1:3" x14ac:dyDescent="0.25">
      <c r="A824" s="71" t="s">
        <v>731</v>
      </c>
      <c r="B824" s="74" t="s">
        <v>5991</v>
      </c>
      <c r="C824" s="74" t="s">
        <v>4918</v>
      </c>
    </row>
    <row r="825" spans="1:3" x14ac:dyDescent="0.25">
      <c r="A825" s="71" t="s">
        <v>1943</v>
      </c>
      <c r="B825" s="74" t="s">
        <v>5992</v>
      </c>
      <c r="C825" s="74" t="s">
        <v>4918</v>
      </c>
    </row>
    <row r="826" spans="1:3" x14ac:dyDescent="0.25">
      <c r="A826" s="71" t="s">
        <v>1945</v>
      </c>
      <c r="B826" s="74" t="s">
        <v>5993</v>
      </c>
      <c r="C826" s="74" t="s">
        <v>4918</v>
      </c>
    </row>
    <row r="827" spans="1:3" x14ac:dyDescent="0.25">
      <c r="A827" s="71" t="s">
        <v>1947</v>
      </c>
      <c r="B827" s="74" t="s">
        <v>5994</v>
      </c>
      <c r="C827" s="74" t="s">
        <v>4918</v>
      </c>
    </row>
    <row r="828" spans="1:3" x14ac:dyDescent="0.25">
      <c r="A828" s="71" t="s">
        <v>1949</v>
      </c>
      <c r="B828" s="74" t="s">
        <v>5995</v>
      </c>
      <c r="C828" s="74" t="s">
        <v>4918</v>
      </c>
    </row>
    <row r="829" spans="1:3" x14ac:dyDescent="0.25">
      <c r="A829" s="71" t="s">
        <v>1951</v>
      </c>
      <c r="B829" s="74" t="s">
        <v>5996</v>
      </c>
      <c r="C829" s="74" t="s">
        <v>4918</v>
      </c>
    </row>
    <row r="830" spans="1:3" x14ac:dyDescent="0.25">
      <c r="A830" s="71" t="s">
        <v>1953</v>
      </c>
      <c r="B830" s="74" t="s">
        <v>5997</v>
      </c>
      <c r="C830" s="74" t="s">
        <v>4918</v>
      </c>
    </row>
    <row r="831" spans="1:3" x14ac:dyDescent="0.25">
      <c r="A831" s="71" t="s">
        <v>1955</v>
      </c>
      <c r="B831" s="74" t="s">
        <v>5998</v>
      </c>
      <c r="C831" s="74" t="s">
        <v>4918</v>
      </c>
    </row>
    <row r="832" spans="1:3" x14ac:dyDescent="0.25">
      <c r="A832" s="71" t="s">
        <v>1957</v>
      </c>
      <c r="B832" s="74" t="s">
        <v>5999</v>
      </c>
      <c r="C832" s="74" t="s">
        <v>4918</v>
      </c>
    </row>
    <row r="833" spans="1:3" x14ac:dyDescent="0.25">
      <c r="A833" s="71" t="s">
        <v>1959</v>
      </c>
      <c r="B833" s="74" t="s">
        <v>6000</v>
      </c>
      <c r="C833" s="74" t="s">
        <v>4918</v>
      </c>
    </row>
    <row r="834" spans="1:3" x14ac:dyDescent="0.25">
      <c r="A834" s="71" t="s">
        <v>1961</v>
      </c>
      <c r="B834" s="74" t="s">
        <v>6001</v>
      </c>
      <c r="C834" s="74" t="s">
        <v>4918</v>
      </c>
    </row>
    <row r="835" spans="1:3" x14ac:dyDescent="0.25">
      <c r="A835" s="71" t="s">
        <v>733</v>
      </c>
      <c r="B835" s="74" t="s">
        <v>6002</v>
      </c>
      <c r="C835" s="74" t="s">
        <v>4918</v>
      </c>
    </row>
    <row r="836" spans="1:3" x14ac:dyDescent="0.25">
      <c r="A836" s="71" t="s">
        <v>1963</v>
      </c>
      <c r="B836" s="74" t="s">
        <v>6003</v>
      </c>
      <c r="C836" s="74" t="s">
        <v>4918</v>
      </c>
    </row>
    <row r="837" spans="1:3" x14ac:dyDescent="0.25">
      <c r="A837" s="71" t="s">
        <v>1965</v>
      </c>
      <c r="B837" s="74" t="s">
        <v>6004</v>
      </c>
      <c r="C837" s="74" t="s">
        <v>4918</v>
      </c>
    </row>
    <row r="838" spans="1:3" x14ac:dyDescent="0.25">
      <c r="A838" s="71" t="s">
        <v>1967</v>
      </c>
      <c r="B838" s="74" t="s">
        <v>6005</v>
      </c>
      <c r="C838" s="74" t="s">
        <v>4918</v>
      </c>
    </row>
    <row r="839" spans="1:3" x14ac:dyDescent="0.25">
      <c r="A839" s="71" t="s">
        <v>1969</v>
      </c>
      <c r="B839" s="74" t="s">
        <v>6006</v>
      </c>
      <c r="C839" s="74" t="s">
        <v>4918</v>
      </c>
    </row>
    <row r="840" spans="1:3" x14ac:dyDescent="0.25">
      <c r="A840" s="71" t="s">
        <v>1971</v>
      </c>
      <c r="B840" s="74" t="s">
        <v>6007</v>
      </c>
      <c r="C840" s="74" t="s">
        <v>4918</v>
      </c>
    </row>
    <row r="841" spans="1:3" x14ac:dyDescent="0.25">
      <c r="A841" s="71" t="s">
        <v>1975</v>
      </c>
      <c r="B841" s="74" t="s">
        <v>6008</v>
      </c>
      <c r="C841" s="74" t="s">
        <v>4918</v>
      </c>
    </row>
    <row r="842" spans="1:3" x14ac:dyDescent="0.25">
      <c r="A842" s="71" t="s">
        <v>1977</v>
      </c>
      <c r="B842" s="74" t="s">
        <v>6009</v>
      </c>
      <c r="C842" s="74" t="s">
        <v>4918</v>
      </c>
    </row>
    <row r="843" spans="1:3" x14ac:dyDescent="0.25">
      <c r="A843" s="71" t="s">
        <v>1981</v>
      </c>
      <c r="B843" s="74" t="s">
        <v>6010</v>
      </c>
      <c r="C843" s="74" t="s">
        <v>4918</v>
      </c>
    </row>
    <row r="844" spans="1:3" x14ac:dyDescent="0.25">
      <c r="A844" s="71" t="s">
        <v>735</v>
      </c>
      <c r="B844" s="74" t="s">
        <v>6011</v>
      </c>
      <c r="C844" s="74" t="s">
        <v>4918</v>
      </c>
    </row>
    <row r="845" spans="1:3" x14ac:dyDescent="0.25">
      <c r="A845" s="71" t="s">
        <v>1983</v>
      </c>
      <c r="B845" s="74" t="s">
        <v>6012</v>
      </c>
      <c r="C845" s="74" t="s">
        <v>4918</v>
      </c>
    </row>
    <row r="846" spans="1:3" x14ac:dyDescent="0.25">
      <c r="A846" s="71" t="s">
        <v>1985</v>
      </c>
      <c r="B846" s="74" t="s">
        <v>6013</v>
      </c>
      <c r="C846" s="74" t="s">
        <v>4918</v>
      </c>
    </row>
    <row r="847" spans="1:3" x14ac:dyDescent="0.25">
      <c r="A847" s="71" t="s">
        <v>1989</v>
      </c>
      <c r="B847" s="74" t="s">
        <v>6014</v>
      </c>
      <c r="C847" s="74" t="s">
        <v>4918</v>
      </c>
    </row>
    <row r="848" spans="1:3" x14ac:dyDescent="0.25">
      <c r="A848" s="71" t="s">
        <v>1992</v>
      </c>
      <c r="B848" s="74" t="s">
        <v>6015</v>
      </c>
      <c r="C848" s="74" t="s">
        <v>4918</v>
      </c>
    </row>
    <row r="849" spans="1:3" x14ac:dyDescent="0.25">
      <c r="A849" s="71" t="s">
        <v>1994</v>
      </c>
      <c r="B849" s="74" t="s">
        <v>6016</v>
      </c>
      <c r="C849" s="74" t="s">
        <v>4918</v>
      </c>
    </row>
    <row r="850" spans="1:3" x14ac:dyDescent="0.25">
      <c r="A850" s="71" t="s">
        <v>1996</v>
      </c>
      <c r="B850" s="74" t="s">
        <v>6017</v>
      </c>
      <c r="C850" s="74" t="s">
        <v>4918</v>
      </c>
    </row>
    <row r="851" spans="1:3" x14ac:dyDescent="0.25">
      <c r="A851" s="71" t="s">
        <v>1998</v>
      </c>
      <c r="B851" s="74" t="s">
        <v>6018</v>
      </c>
      <c r="C851" s="74" t="s">
        <v>4918</v>
      </c>
    </row>
    <row r="852" spans="1:3" x14ac:dyDescent="0.25">
      <c r="A852" s="71" t="s">
        <v>2002</v>
      </c>
      <c r="B852" s="74" t="s">
        <v>6157</v>
      </c>
      <c r="C852" s="74" t="s">
        <v>4918</v>
      </c>
    </row>
    <row r="853" spans="1:3" x14ac:dyDescent="0.25">
      <c r="A853" s="71" t="s">
        <v>2003</v>
      </c>
      <c r="B853" s="74" t="s">
        <v>6158</v>
      </c>
      <c r="C853" s="74" t="s">
        <v>4918</v>
      </c>
    </row>
    <row r="854" spans="1:3" x14ac:dyDescent="0.25">
      <c r="A854" s="71" t="s">
        <v>2004</v>
      </c>
      <c r="B854" s="74" t="s">
        <v>6019</v>
      </c>
      <c r="C854" s="74" t="s">
        <v>4918</v>
      </c>
    </row>
    <row r="855" spans="1:3" x14ac:dyDescent="0.25">
      <c r="A855" s="71" t="s">
        <v>2007</v>
      </c>
      <c r="B855" s="74" t="s">
        <v>6020</v>
      </c>
      <c r="C855" s="74" t="s">
        <v>4918</v>
      </c>
    </row>
    <row r="856" spans="1:3" x14ac:dyDescent="0.25">
      <c r="A856" s="71" t="s">
        <v>2009</v>
      </c>
      <c r="B856" s="74" t="s">
        <v>6021</v>
      </c>
      <c r="C856" s="74" t="s">
        <v>4918</v>
      </c>
    </row>
    <row r="857" spans="1:3" x14ac:dyDescent="0.25">
      <c r="A857" s="71" t="s">
        <v>2011</v>
      </c>
      <c r="B857" s="74" t="s">
        <v>6022</v>
      </c>
      <c r="C857" s="74" t="s">
        <v>4918</v>
      </c>
    </row>
    <row r="858" spans="1:3" x14ac:dyDescent="0.25">
      <c r="A858" s="71" t="s">
        <v>2012</v>
      </c>
      <c r="B858" s="74" t="s">
        <v>6023</v>
      </c>
      <c r="C858" s="74" t="s">
        <v>4918</v>
      </c>
    </row>
    <row r="859" spans="1:3" x14ac:dyDescent="0.25">
      <c r="A859" s="71" t="s">
        <v>2013</v>
      </c>
      <c r="B859" s="74" t="s">
        <v>6024</v>
      </c>
      <c r="C859" s="74" t="s">
        <v>4918</v>
      </c>
    </row>
    <row r="860" spans="1:3" x14ac:dyDescent="0.25">
      <c r="A860" s="71" t="s">
        <v>739</v>
      </c>
      <c r="B860" s="74" t="s">
        <v>1272</v>
      </c>
      <c r="C860" s="74" t="s">
        <v>4918</v>
      </c>
    </row>
    <row r="861" spans="1:3" x14ac:dyDescent="0.25">
      <c r="A861" s="71" t="s">
        <v>2015</v>
      </c>
      <c r="B861" s="74" t="s">
        <v>6025</v>
      </c>
      <c r="C861" s="74" t="s">
        <v>4918</v>
      </c>
    </row>
    <row r="862" spans="1:3" x14ac:dyDescent="0.25">
      <c r="A862" s="71" t="s">
        <v>2019</v>
      </c>
      <c r="B862" s="74" t="s">
        <v>6026</v>
      </c>
      <c r="C862" s="74" t="s">
        <v>4918</v>
      </c>
    </row>
    <row r="863" spans="1:3" x14ac:dyDescent="0.25">
      <c r="A863" s="71" t="s">
        <v>6027</v>
      </c>
      <c r="B863" s="74" t="s">
        <v>6028</v>
      </c>
      <c r="C863" s="74" t="s">
        <v>4918</v>
      </c>
    </row>
    <row r="864" spans="1:3" x14ac:dyDescent="0.25">
      <c r="A864" s="71" t="s">
        <v>2021</v>
      </c>
      <c r="B864" s="74" t="s">
        <v>6029</v>
      </c>
      <c r="C864" s="74" t="s">
        <v>4918</v>
      </c>
    </row>
    <row r="865" spans="1:3" x14ac:dyDescent="0.25">
      <c r="A865" s="71" t="s">
        <v>2023</v>
      </c>
      <c r="B865" s="74" t="s">
        <v>6030</v>
      </c>
      <c r="C865" s="74" t="s">
        <v>4918</v>
      </c>
    </row>
    <row r="866" spans="1:3" x14ac:dyDescent="0.25">
      <c r="A866" s="71" t="s">
        <v>2025</v>
      </c>
      <c r="B866" s="74" t="s">
        <v>6031</v>
      </c>
      <c r="C866" s="74" t="s">
        <v>4918</v>
      </c>
    </row>
    <row r="867" spans="1:3" x14ac:dyDescent="0.25">
      <c r="A867" s="71" t="s">
        <v>2027</v>
      </c>
      <c r="B867" s="74" t="s">
        <v>6032</v>
      </c>
      <c r="C867" s="74" t="s">
        <v>4918</v>
      </c>
    </row>
    <row r="868" spans="1:3" x14ac:dyDescent="0.25">
      <c r="A868" s="71" t="s">
        <v>2029</v>
      </c>
      <c r="B868" s="74" t="s">
        <v>6033</v>
      </c>
      <c r="C868" s="74" t="s">
        <v>4918</v>
      </c>
    </row>
    <row r="869" spans="1:3" x14ac:dyDescent="0.25">
      <c r="A869" s="71" t="s">
        <v>2031</v>
      </c>
      <c r="B869" s="74" t="s">
        <v>6034</v>
      </c>
      <c r="C869" s="74" t="s">
        <v>4918</v>
      </c>
    </row>
    <row r="870" spans="1:3" x14ac:dyDescent="0.25">
      <c r="A870" s="71" t="s">
        <v>622</v>
      </c>
      <c r="B870" s="74" t="s">
        <v>6035</v>
      </c>
      <c r="C870" s="74" t="s">
        <v>4918</v>
      </c>
    </row>
    <row r="871" spans="1:3" x14ac:dyDescent="0.25">
      <c r="A871" s="71" t="s">
        <v>741</v>
      </c>
      <c r="B871" s="74" t="s">
        <v>6036</v>
      </c>
      <c r="C871" s="74" t="s">
        <v>4918</v>
      </c>
    </row>
    <row r="872" spans="1:3" x14ac:dyDescent="0.25">
      <c r="A872" s="71" t="s">
        <v>2033</v>
      </c>
      <c r="B872" s="74" t="s">
        <v>6037</v>
      </c>
      <c r="C872" s="74" t="s">
        <v>4918</v>
      </c>
    </row>
    <row r="873" spans="1:3" x14ac:dyDescent="0.25">
      <c r="A873" s="71" t="s">
        <v>2035</v>
      </c>
      <c r="B873" s="74" t="s">
        <v>6038</v>
      </c>
      <c r="C873" s="74" t="s">
        <v>4918</v>
      </c>
    </row>
    <row r="874" spans="1:3" x14ac:dyDescent="0.25">
      <c r="A874" s="71" t="s">
        <v>2037</v>
      </c>
      <c r="B874" s="74" t="s">
        <v>6039</v>
      </c>
      <c r="C874" s="74" t="s">
        <v>4918</v>
      </c>
    </row>
    <row r="875" spans="1:3" x14ac:dyDescent="0.25">
      <c r="A875" s="71" t="s">
        <v>2039</v>
      </c>
      <c r="B875" s="74" t="s">
        <v>6040</v>
      </c>
      <c r="C875" s="74" t="s">
        <v>4918</v>
      </c>
    </row>
    <row r="876" spans="1:3" x14ac:dyDescent="0.25">
      <c r="A876" s="71" t="s">
        <v>2041</v>
      </c>
      <c r="B876" s="74" t="s">
        <v>6041</v>
      </c>
      <c r="C876" s="74" t="s">
        <v>4918</v>
      </c>
    </row>
    <row r="877" spans="1:3" x14ac:dyDescent="0.25">
      <c r="A877" s="71" t="s">
        <v>2043</v>
      </c>
      <c r="B877" s="74" t="s">
        <v>6042</v>
      </c>
      <c r="C877" s="74" t="s">
        <v>4918</v>
      </c>
    </row>
    <row r="878" spans="1:3" x14ac:dyDescent="0.25">
      <c r="A878" s="71" t="s">
        <v>2045</v>
      </c>
      <c r="B878" s="74" t="s">
        <v>6043</v>
      </c>
      <c r="C878" s="74" t="s">
        <v>4918</v>
      </c>
    </row>
    <row r="879" spans="1:3" x14ac:dyDescent="0.25">
      <c r="A879" s="71" t="s">
        <v>2047</v>
      </c>
      <c r="B879" s="74" t="s">
        <v>6044</v>
      </c>
      <c r="C879" s="74" t="s">
        <v>4918</v>
      </c>
    </row>
    <row r="880" spans="1:3" x14ac:dyDescent="0.25">
      <c r="A880" s="71" t="s">
        <v>2049</v>
      </c>
      <c r="B880" s="74" t="s">
        <v>6045</v>
      </c>
      <c r="C880" s="74" t="s">
        <v>4918</v>
      </c>
    </row>
    <row r="881" spans="1:3" x14ac:dyDescent="0.25">
      <c r="A881" s="71" t="s">
        <v>743</v>
      </c>
      <c r="B881" s="74" t="s">
        <v>6046</v>
      </c>
      <c r="C881" s="74" t="s">
        <v>4918</v>
      </c>
    </row>
    <row r="882" spans="1:3" x14ac:dyDescent="0.25">
      <c r="A882" s="71" t="s">
        <v>2050</v>
      </c>
      <c r="B882" s="74" t="s">
        <v>6047</v>
      </c>
      <c r="C882" s="74" t="s">
        <v>4918</v>
      </c>
    </row>
    <row r="883" spans="1:3" x14ac:dyDescent="0.25">
      <c r="A883" s="71" t="s">
        <v>2051</v>
      </c>
      <c r="B883" s="74" t="s">
        <v>6048</v>
      </c>
      <c r="C883" s="74" t="s">
        <v>4918</v>
      </c>
    </row>
    <row r="884" spans="1:3" x14ac:dyDescent="0.25">
      <c r="A884" s="71" t="s">
        <v>2053</v>
      </c>
      <c r="B884" s="74" t="s">
        <v>6049</v>
      </c>
      <c r="C884" s="74" t="s">
        <v>4918</v>
      </c>
    </row>
    <row r="885" spans="1:3" x14ac:dyDescent="0.25">
      <c r="A885" s="71" t="s">
        <v>6050</v>
      </c>
      <c r="B885" s="74" t="s">
        <v>6051</v>
      </c>
      <c r="C885" s="74" t="s">
        <v>4918</v>
      </c>
    </row>
    <row r="886" spans="1:3" x14ac:dyDescent="0.25">
      <c r="A886" s="71" t="s">
        <v>2057</v>
      </c>
      <c r="B886" s="74" t="s">
        <v>6052</v>
      </c>
      <c r="C886" s="74" t="s">
        <v>4918</v>
      </c>
    </row>
    <row r="887" spans="1:3" x14ac:dyDescent="0.25">
      <c r="A887" s="71" t="s">
        <v>2059</v>
      </c>
      <c r="B887" s="74" t="s">
        <v>6053</v>
      </c>
      <c r="C887" s="74" t="s">
        <v>4918</v>
      </c>
    </row>
    <row r="888" spans="1:3" x14ac:dyDescent="0.25">
      <c r="A888" s="71" t="s">
        <v>2060</v>
      </c>
      <c r="B888" s="74" t="s">
        <v>6054</v>
      </c>
      <c r="C888" s="74" t="s">
        <v>4918</v>
      </c>
    </row>
    <row r="889" spans="1:3" x14ac:dyDescent="0.25">
      <c r="A889" s="71" t="s">
        <v>2062</v>
      </c>
      <c r="B889" s="74" t="s">
        <v>6055</v>
      </c>
      <c r="C889" s="74" t="s">
        <v>4918</v>
      </c>
    </row>
    <row r="890" spans="1:3" x14ac:dyDescent="0.25">
      <c r="A890" s="71" t="s">
        <v>745</v>
      </c>
      <c r="B890" s="74" t="s">
        <v>6056</v>
      </c>
      <c r="C890" s="74" t="s">
        <v>4918</v>
      </c>
    </row>
    <row r="891" spans="1:3" x14ac:dyDescent="0.25">
      <c r="A891" s="71" t="s">
        <v>2064</v>
      </c>
      <c r="B891" s="74" t="s">
        <v>6057</v>
      </c>
      <c r="C891" s="74" t="s">
        <v>4918</v>
      </c>
    </row>
    <row r="892" spans="1:3" x14ac:dyDescent="0.25">
      <c r="A892" s="71" t="s">
        <v>2066</v>
      </c>
      <c r="B892" s="74" t="s">
        <v>6058</v>
      </c>
      <c r="C892" s="74" t="s">
        <v>4918</v>
      </c>
    </row>
    <row r="893" spans="1:3" x14ac:dyDescent="0.25">
      <c r="A893" s="71" t="s">
        <v>2068</v>
      </c>
      <c r="B893" s="74" t="s">
        <v>6059</v>
      </c>
      <c r="C893" s="74" t="s">
        <v>4918</v>
      </c>
    </row>
    <row r="894" spans="1:3" x14ac:dyDescent="0.25">
      <c r="A894" s="71" t="s">
        <v>2070</v>
      </c>
      <c r="B894" s="74" t="s">
        <v>6060</v>
      </c>
      <c r="C894" s="74" t="s">
        <v>4918</v>
      </c>
    </row>
    <row r="895" spans="1:3" x14ac:dyDescent="0.25">
      <c r="A895" s="71" t="s">
        <v>2072</v>
      </c>
      <c r="B895" s="74" t="s">
        <v>6061</v>
      </c>
      <c r="C895" s="74" t="s">
        <v>4918</v>
      </c>
    </row>
    <row r="896" spans="1:3" x14ac:dyDescent="0.25">
      <c r="A896" s="71" t="s">
        <v>2074</v>
      </c>
      <c r="B896" s="74" t="s">
        <v>6062</v>
      </c>
      <c r="C896" s="74" t="s">
        <v>4918</v>
      </c>
    </row>
    <row r="897" spans="1:3" x14ac:dyDescent="0.25">
      <c r="A897" s="71" t="s">
        <v>2078</v>
      </c>
      <c r="B897" s="74" t="s">
        <v>6063</v>
      </c>
      <c r="C897" s="74" t="s">
        <v>4918</v>
      </c>
    </row>
    <row r="898" spans="1:3" x14ac:dyDescent="0.25">
      <c r="A898" s="71" t="s">
        <v>2080</v>
      </c>
      <c r="B898" s="74" t="s">
        <v>6064</v>
      </c>
      <c r="C898" s="74" t="s">
        <v>4918</v>
      </c>
    </row>
    <row r="899" spans="1:3" x14ac:dyDescent="0.25">
      <c r="A899" s="71" t="s">
        <v>747</v>
      </c>
      <c r="B899" s="74" t="s">
        <v>6065</v>
      </c>
      <c r="C899" s="74" t="s">
        <v>4918</v>
      </c>
    </row>
    <row r="900" spans="1:3" x14ac:dyDescent="0.25">
      <c r="A900" s="71" t="s">
        <v>2083</v>
      </c>
      <c r="B900" s="74" t="s">
        <v>6066</v>
      </c>
      <c r="C900" s="74" t="s">
        <v>4918</v>
      </c>
    </row>
    <row r="901" spans="1:3" x14ac:dyDescent="0.25">
      <c r="A901" s="71" t="s">
        <v>2090</v>
      </c>
      <c r="B901" s="74" t="s">
        <v>6067</v>
      </c>
      <c r="C901" s="74" t="s">
        <v>4918</v>
      </c>
    </row>
    <row r="902" spans="1:3" x14ac:dyDescent="0.25">
      <c r="A902" s="71" t="s">
        <v>2092</v>
      </c>
      <c r="B902" s="74" t="s">
        <v>6068</v>
      </c>
      <c r="C902" s="74" t="s">
        <v>4918</v>
      </c>
    </row>
    <row r="903" spans="1:3" x14ac:dyDescent="0.25">
      <c r="A903" s="71" t="s">
        <v>2094</v>
      </c>
      <c r="B903" s="74" t="s">
        <v>6069</v>
      </c>
      <c r="C903" s="74" t="s">
        <v>4918</v>
      </c>
    </row>
    <row r="904" spans="1:3" x14ac:dyDescent="0.25">
      <c r="A904" s="71" t="s">
        <v>2096</v>
      </c>
      <c r="B904" s="74" t="s">
        <v>6070</v>
      </c>
      <c r="C904" s="74" t="s">
        <v>4918</v>
      </c>
    </row>
    <row r="905" spans="1:3" x14ac:dyDescent="0.25">
      <c r="A905" s="71" t="s">
        <v>2097</v>
      </c>
      <c r="B905" s="74" t="s">
        <v>6071</v>
      </c>
      <c r="C905" s="74" t="s">
        <v>4918</v>
      </c>
    </row>
    <row r="906" spans="1:3" x14ac:dyDescent="0.25">
      <c r="A906" s="71" t="s">
        <v>2098</v>
      </c>
      <c r="B906" s="74" t="s">
        <v>6072</v>
      </c>
      <c r="C906" s="74" t="s">
        <v>4918</v>
      </c>
    </row>
    <row r="907" spans="1:3" x14ac:dyDescent="0.25">
      <c r="A907" s="71" t="s">
        <v>2102</v>
      </c>
      <c r="B907" s="74" t="s">
        <v>6073</v>
      </c>
      <c r="C907" s="74" t="s">
        <v>4918</v>
      </c>
    </row>
    <row r="908" spans="1:3" x14ac:dyDescent="0.25">
      <c r="A908" s="71" t="s">
        <v>2104</v>
      </c>
      <c r="B908" s="74" t="s">
        <v>6074</v>
      </c>
      <c r="C908" s="74" t="s">
        <v>4918</v>
      </c>
    </row>
    <row r="909" spans="1:3" x14ac:dyDescent="0.25">
      <c r="A909" s="71" t="s">
        <v>2108</v>
      </c>
      <c r="B909" s="74" t="s">
        <v>6075</v>
      </c>
      <c r="C909" s="74" t="s">
        <v>4918</v>
      </c>
    </row>
    <row r="910" spans="1:3" x14ac:dyDescent="0.25">
      <c r="A910" s="71" t="s">
        <v>2111</v>
      </c>
      <c r="B910" s="74" t="s">
        <v>6076</v>
      </c>
      <c r="C910" s="74" t="s">
        <v>4918</v>
      </c>
    </row>
    <row r="911" spans="1:3" x14ac:dyDescent="0.25">
      <c r="A911" s="71" t="s">
        <v>2113</v>
      </c>
      <c r="B911" s="74" t="s">
        <v>6077</v>
      </c>
      <c r="C911" s="74" t="s">
        <v>4918</v>
      </c>
    </row>
    <row r="912" spans="1:3" x14ac:dyDescent="0.25">
      <c r="A912" s="71" t="s">
        <v>750</v>
      </c>
      <c r="B912" s="74" t="s">
        <v>6078</v>
      </c>
      <c r="C912" s="74" t="s">
        <v>4918</v>
      </c>
    </row>
    <row r="913" spans="1:3" x14ac:dyDescent="0.25">
      <c r="A913" s="71" t="s">
        <v>751</v>
      </c>
      <c r="B913" s="74" t="s">
        <v>6079</v>
      </c>
      <c r="C913" s="74" t="s">
        <v>4918</v>
      </c>
    </row>
    <row r="914" spans="1:3" x14ac:dyDescent="0.25">
      <c r="A914" s="71" t="s">
        <v>755</v>
      </c>
      <c r="B914" s="74" t="s">
        <v>6080</v>
      </c>
      <c r="C914" s="74" t="s">
        <v>4918</v>
      </c>
    </row>
    <row r="915" spans="1:3" x14ac:dyDescent="0.25">
      <c r="A915" s="71" t="s">
        <v>756</v>
      </c>
      <c r="B915" s="74" t="s">
        <v>6081</v>
      </c>
      <c r="C915" s="74" t="s">
        <v>4918</v>
      </c>
    </row>
    <row r="916" spans="1:3" x14ac:dyDescent="0.25">
      <c r="A916" s="71" t="s">
        <v>624</v>
      </c>
      <c r="B916" s="74" t="s">
        <v>6082</v>
      </c>
      <c r="C916" s="74" t="s">
        <v>4918</v>
      </c>
    </row>
    <row r="917" spans="1:3" x14ac:dyDescent="0.25">
      <c r="A917" s="71" t="s">
        <v>757</v>
      </c>
      <c r="B917" s="74" t="s">
        <v>6083</v>
      </c>
      <c r="C917" s="74" t="s">
        <v>4918</v>
      </c>
    </row>
    <row r="918" spans="1:3" x14ac:dyDescent="0.25">
      <c r="A918" s="71" t="s">
        <v>759</v>
      </c>
      <c r="B918" s="74" t="s">
        <v>6084</v>
      </c>
      <c r="C918" s="74" t="s">
        <v>4918</v>
      </c>
    </row>
    <row r="919" spans="1:3" x14ac:dyDescent="0.25">
      <c r="A919" s="71" t="s">
        <v>761</v>
      </c>
      <c r="B919" s="74" t="s">
        <v>6085</v>
      </c>
      <c r="C919" s="74" t="s">
        <v>4918</v>
      </c>
    </row>
    <row r="920" spans="1:3" x14ac:dyDescent="0.25">
      <c r="A920" s="71" t="s">
        <v>763</v>
      </c>
      <c r="B920" s="74" t="s">
        <v>6086</v>
      </c>
      <c r="C920" s="74" t="s">
        <v>4918</v>
      </c>
    </row>
    <row r="921" spans="1:3" x14ac:dyDescent="0.25">
      <c r="A921" s="71" t="s">
        <v>765</v>
      </c>
      <c r="B921" s="74" t="s">
        <v>6087</v>
      </c>
      <c r="C921" s="74" t="s">
        <v>4918</v>
      </c>
    </row>
    <row r="922" spans="1:3" x14ac:dyDescent="0.25">
      <c r="A922" s="71" t="s">
        <v>767</v>
      </c>
      <c r="B922" s="74" t="s">
        <v>6088</v>
      </c>
      <c r="C922" s="74" t="s">
        <v>4918</v>
      </c>
    </row>
    <row r="923" spans="1:3" x14ac:dyDescent="0.25">
      <c r="A923" s="71" t="s">
        <v>771</v>
      </c>
      <c r="B923" s="74" t="s">
        <v>5145</v>
      </c>
      <c r="C923" s="74" t="s">
        <v>4918</v>
      </c>
    </row>
    <row r="924" spans="1:3" x14ac:dyDescent="0.25">
      <c r="A924" s="71" t="s">
        <v>773</v>
      </c>
      <c r="B924" s="74" t="s">
        <v>6089</v>
      </c>
      <c r="C924" s="74" t="s">
        <v>4918</v>
      </c>
    </row>
    <row r="925" spans="1:3" x14ac:dyDescent="0.25">
      <c r="A925" s="71" t="s">
        <v>775</v>
      </c>
      <c r="B925" s="74" t="s">
        <v>6090</v>
      </c>
      <c r="C925" s="74" t="s">
        <v>4918</v>
      </c>
    </row>
    <row r="926" spans="1:3" x14ac:dyDescent="0.25">
      <c r="A926" s="71" t="s">
        <v>171</v>
      </c>
      <c r="B926" s="74" t="s">
        <v>6161</v>
      </c>
      <c r="C926" s="74" t="s">
        <v>4918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CB13-4386-42B1-8F0A-83132D29AFC3}">
  <dimension ref="A1:I37"/>
  <sheetViews>
    <sheetView topLeftCell="F1" zoomScale="115" zoomScaleNormal="115" workbookViewId="0">
      <selection activeCell="I2" sqref="I2"/>
    </sheetView>
  </sheetViews>
  <sheetFormatPr defaultRowHeight="12.75" x14ac:dyDescent="0.2"/>
  <cols>
    <col min="1" max="1" width="9.5703125" style="40" bestFit="1" customWidth="1"/>
    <col min="2" max="2" width="17" style="40" bestFit="1" customWidth="1"/>
    <col min="3" max="3" width="31.85546875" style="40" bestFit="1" customWidth="1"/>
    <col min="4" max="4" width="43.42578125" style="12" bestFit="1" customWidth="1"/>
    <col min="5" max="5" width="95.42578125" style="40" bestFit="1" customWidth="1"/>
    <col min="6" max="6" width="30.140625" style="40" customWidth="1"/>
    <col min="7" max="7" width="28.85546875" style="40" customWidth="1"/>
    <col min="8" max="8" width="100.7109375" style="40" customWidth="1"/>
    <col min="9" max="9" width="60.7109375" style="40" customWidth="1"/>
    <col min="10" max="10" width="8" style="40" bestFit="1" customWidth="1"/>
    <col min="11" max="16384" width="9.140625" style="40"/>
  </cols>
  <sheetData>
    <row r="1" spans="1:9" x14ac:dyDescent="0.2">
      <c r="A1" s="16" t="s">
        <v>2446</v>
      </c>
      <c r="B1" s="17" t="s">
        <v>2447</v>
      </c>
      <c r="C1" s="18" t="s">
        <v>2448</v>
      </c>
      <c r="D1" s="31" t="s">
        <v>2449</v>
      </c>
      <c r="E1" s="31" t="s">
        <v>3636</v>
      </c>
      <c r="F1" s="31" t="s">
        <v>2450</v>
      </c>
      <c r="G1" s="31" t="s">
        <v>2451</v>
      </c>
      <c r="H1" s="34" t="s">
        <v>2452</v>
      </c>
      <c r="I1" s="31" t="s">
        <v>2444</v>
      </c>
    </row>
    <row r="2" spans="1:9" x14ac:dyDescent="0.2">
      <c r="A2" s="19" t="s">
        <v>2443</v>
      </c>
      <c r="B2" s="20" t="s">
        <v>2441</v>
      </c>
      <c r="C2" s="21" t="s">
        <v>2434</v>
      </c>
      <c r="D2" s="32" t="s">
        <v>2458</v>
      </c>
      <c r="E2" s="32"/>
      <c r="F2" s="32" t="s">
        <v>2467</v>
      </c>
      <c r="G2" s="32" t="s">
        <v>2476</v>
      </c>
      <c r="H2" s="35" t="s">
        <v>2485</v>
      </c>
      <c r="I2" s="31"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data-rarc="N425 — Authorization denied (patient responsibility plans)"data-denial="Authorization requested but payer denied medical necessity.\n• Surgery denied pre-cert\n• Imaging not approved\n• Inpatient admission denied"data-denial=""data-root="• Clinical criteria not met\n• Documentation insufficient\n• Payer guideline mismatch"&gt;&lt;td&gt;&lt;span class="carc-badge co"&gt;PR 96&lt;/span&gt;&lt;/td&gt;&lt;td style="font-weight:500;"&gt;Non-Covered Charge&lt;/td&gt;&lt;td class="rarc-wrap"&gt;&lt;div class="rarc-id"&gt;N425&lt;/div&gt;&lt;div class="rarc-desc"&gt;Authorization denied (patient responsibility plans)&lt;/div&gt;&lt;/td&gt;&lt;td class="td-sm"&gt;Authorization requested but payer denied medical necessity.&lt;br&gt;• Surgery denied pre-cert&lt;br&gt;• Imaging not approved&lt;br&gt;• Inpatient admission denied&lt;/td&gt;&lt;td&gt;&lt;div class="chip-row"&gt;&lt;span class="chip chip-red"&gt;Clinical criteria not met&lt;/span&gt;&lt;span class="chip chip-red"&gt;Documentation insufficient&lt;/span&gt;&lt;span class="chip chip-red"&gt;Payer guideline mismatch&lt;/span&gt;&lt;/div&gt;&lt;/td&gt;&lt;td class="td-sm"&gt;• Appeal with clinical documentation&lt;br&gt;• Peer-to-peer review&lt;br&gt;• Medical director review&lt;/td&gt;&lt;td class="td-sm"&gt;• Strong clinical submission&lt;br&gt;• Pre-cert review team&lt;/td&gt;&lt;/tr&gt;</v>
      </c>
    </row>
    <row r="3" spans="1:9" ht="60" customHeight="1" x14ac:dyDescent="0.2">
      <c r="A3" s="22" t="s">
        <v>2442</v>
      </c>
      <c r="B3" s="23" t="s">
        <v>2441</v>
      </c>
      <c r="C3" s="24" t="s">
        <v>2413</v>
      </c>
      <c r="D3" s="36" t="s">
        <v>2457</v>
      </c>
      <c r="E3" s="36"/>
      <c r="F3" s="36" t="s">
        <v>2455</v>
      </c>
      <c r="G3" s="36" t="s">
        <v>2453</v>
      </c>
      <c r="H3" s="37" t="s">
        <v>2454</v>
      </c>
      <c r="I3" s="25"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data-rarc="N290 — Missing/invalid authorization"data-denial="Authorization required but not obtained or invalid.\n• Surgery without prior auth\n• Imaging without authorization\n• Therapy visits exceeded approved units"data-denial=""data-root="• Auth not requested \n• Wrong CPT authorized\n• Units mismatch\n• Expired authorization"&gt;&lt;td&gt;&lt;span class="carc-badge co"&gt;CO 96&lt;/span&gt;&lt;/td&gt;&lt;td style="font-weight:500;"&gt;Non-Covered Charge&lt;/td&gt;&lt;td class="rarc-wrap"&gt;&lt;div class="rarc-id"&gt;N290&lt;/div&gt;&lt;div class="rarc-desc"&gt;Missing/invalid authorization&lt;/div&gt;&lt;/td&gt;&lt;td class="td-sm"&gt;Authorization required but not obtained or invalid.&lt;br&gt;• Surgery without prior auth&lt;br&gt;• Imaging without authorization&lt;br&gt;• Therapy visits exceeded approved units&lt;/td&gt;&lt;td&gt;&lt;div class="chip-row"&gt;&lt;span class="chip chip-red"&gt;Auth not requested &lt;/span&gt;&lt;span class="chip chip-red"&gt;Wrong CPT authorized&lt;/span&gt;&lt;span class="chip chip-red"&gt;Units mismatch&lt;/span&gt;&lt;span class="chip chip-red"&gt;Expired authorization&lt;/span&gt;&lt;/div&gt;&lt;/td&gt;&lt;td class="td-sm"&gt;• Obtain Retro Authorization&lt;br&gt;• Appeal with Clinical Documentation&lt;br&gt;• Resubmit Corrected claim.&lt;/td&gt;&lt;td class="td-sm"&gt;• Authorization Tracking Systems&lt;br&gt;• Real-Time Eligibility Tools&lt;/td&gt;&lt;/tr&gt;</v>
      </c>
    </row>
    <row r="4" spans="1:9" ht="60" customHeight="1" x14ac:dyDescent="0.2">
      <c r="A4" s="19" t="s">
        <v>2442</v>
      </c>
      <c r="B4" s="20" t="s">
        <v>2441</v>
      </c>
      <c r="C4" s="21" t="s">
        <v>2445</v>
      </c>
      <c r="D4" s="32" t="s">
        <v>2459</v>
      </c>
      <c r="E4" s="32"/>
      <c r="F4" s="32" t="s">
        <v>2468</v>
      </c>
      <c r="G4" s="32" t="s">
        <v>2477</v>
      </c>
      <c r="H4" s="35" t="s">
        <v>2486</v>
      </c>
      <c r="I4"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data-rarc="N50 | N52 — Missing Medical Information"data-denial="Claim lacks necessary documentation to determine coverage.\n• Missing Operative Report\n• Missing Notes\n• Missing Lab Results"data-denial=""data-root="• Documentation Not Submitted\n• Medical Records Incomplete"&gt;&lt;td&gt;&lt;span class="carc-badge co"&gt;CO 96&lt;/span&gt;&lt;/td&gt;&lt;td style="font-weight:500;"&gt;Non-Covered Charge&lt;/td&gt;&lt;td class="rarc-wrap"&gt;&lt;div class="rarc-id"&gt;N50&lt;/div&gt;&lt;div class="rarc-desc"&gt;Missing Medical Information&lt;/div&gt;&lt;/td&gt;&lt;td class="td-sm"&gt;Claim lacks necessary documentation to determine coverage.&lt;br&gt;• Missing Operative Report&lt;br&gt;• Missing Notes&lt;br&gt;• Missing Lab Results&lt;/td&gt;&lt;td&gt;&lt;div class="chip-row"&gt;&lt;span class="chip chip-red"&gt;Documentation Not Submitted&lt;/span&gt;&lt;span class="chip chip-red"&gt;Medical Records Incomplete&lt;/span&gt;&lt;/div&gt;&lt;/td&gt;&lt;td class="td-sm"&gt;• Submit records&lt;br&gt;• Reopen claim&lt;br&gt;• Appeal&lt;/td&gt;&lt;td class="td-sm"&gt;• Documentation checklist&lt;br&gt;• EMR integration&lt;/td&gt;&lt;/tr&gt;</v>
      </c>
    </row>
    <row r="5" spans="1:9" ht="60" customHeight="1" x14ac:dyDescent="0.2">
      <c r="A5" s="19" t="s">
        <v>2442</v>
      </c>
      <c r="B5" s="20" t="s">
        <v>2441</v>
      </c>
      <c r="C5" s="21" t="s">
        <v>2416</v>
      </c>
      <c r="D5" s="26" t="s">
        <v>2460</v>
      </c>
      <c r="E5" s="26"/>
      <c r="F5" s="26" t="s">
        <v>2469</v>
      </c>
      <c r="G5" s="26" t="s">
        <v>2478</v>
      </c>
      <c r="H5" s="27" t="s">
        <v>2487</v>
      </c>
      <c r="I5"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data-rarc="N20 — Service not covered by payer"data-denial="Payer does not cover the service at all.\n• Alternative medicine\n• Certain screenings\n• Non-covered vaccines\n• Experimental procedures"data-denial=""data-root="• Policy exclusion\n• Contract limitation\n• Wrong payer billed"&gt;&lt;td&gt;&lt;span class="carc-badge co"&gt;CO 96&lt;/span&gt;&lt;/td&gt;&lt;td style="font-weight:500;"&gt;Non-Covered Charge&lt;/td&gt;&lt;td class="rarc-wrap"&gt;&lt;div class="rarc-id"&gt;N20&lt;/div&gt;&lt;div class="rarc-desc"&gt;Service not covered by payer&lt;/div&gt;&lt;/td&gt;&lt;td class="td-sm"&gt;Payer does not cover the service at all.&lt;br&gt;• Alternative medicine&lt;br&gt;• Certain screenings&lt;br&gt;• Non-covered vaccines&lt;br&gt;• Experimental procedures&lt;/td&gt;&lt;td&gt;&lt;div class="chip-row"&gt;&lt;span class="chip chip-red"&gt;Policy exclusion&lt;/span&gt;&lt;span class="chip chip-red"&gt;Contract limitation&lt;/span&gt;&lt;span class="chip chip-red"&gt;Wrong payer billed&lt;/span&gt;&lt;/div&gt;&lt;/td&gt;&lt;td class="td-sm"&gt;• Verify if secondary payer exists&lt;br&gt;• Bill patient&lt;br&gt;• Write-off if necessary&lt;/td&gt;&lt;td class="td-sm"&gt;• Coverage verification before service&lt;br&gt;• Insurance discovery tools&lt;/td&gt;&lt;/tr&gt;</v>
      </c>
    </row>
    <row r="6" spans="1:9" ht="60" customHeight="1" x14ac:dyDescent="0.2">
      <c r="A6" s="19" t="s">
        <v>2442</v>
      </c>
      <c r="B6" s="20" t="s">
        <v>2441</v>
      </c>
      <c r="C6" s="21" t="s">
        <v>2410</v>
      </c>
      <c r="D6" s="32" t="s">
        <v>2461</v>
      </c>
      <c r="E6" s="32"/>
      <c r="F6" s="26" t="s">
        <v>2470</v>
      </c>
      <c r="G6" s="26" t="s">
        <v>2479</v>
      </c>
      <c r="H6" s="27" t="s">
        <v>2488</v>
      </c>
      <c r="I6"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data-rarc="N386 — Not covered in this setting"data-denial="Procedure is covered only in specific POS (Place of Service).\n• Procedure done outpatient but covered inpatient only\n• Office procedure billed facility\n• ASC vs hospital mismatch\n• Diagnostic tests in wrong setting"data-denial=""data-root="• POS error\n• Facility mismatch\n• Authorization tied to different setting\n• Billing mistake"&gt;&lt;td&gt;&lt;span class="carc-badge co"&gt;CO 96&lt;/span&gt;&lt;/td&gt;&lt;td style="font-weight:500;"&gt;Non-Covered Charge&lt;/td&gt;&lt;td class="rarc-wrap"&gt;&lt;div class="rarc-id"&gt;N386&lt;/div&gt;&lt;div class="rarc-desc"&gt;Not covered in this setting&lt;/div&gt;&lt;/td&gt;&lt;td class="td-sm"&gt;Procedure is covered only in specific POS (Place of Service).&lt;br&gt;• Procedure done outpatient but covered inpatient only&lt;br&gt;• Office procedure billed facility&lt;br&gt;• ASC vs hospital mismatch&lt;br&gt;• Diagnostic tests in wrong setting&lt;/td&gt;&lt;td&gt;&lt;div class="chip-row"&gt;&lt;span class="chip chip-red"&gt;POS error&lt;/span&gt;&lt;span class="chip chip-red"&gt;Facility mismatch&lt;/span&gt;&lt;span class="chip chip-red"&gt;Authorization tied to different setting&lt;/span&gt;&lt;span class="chip chip-red"&gt;Billing mistake&lt;/span&gt;&lt;/div&gt;&lt;/td&gt;&lt;td class="td-sm"&gt;• Correct POS&lt;br&gt;• Rebill claim&lt;br&gt;• Appeal with medical justification if setting required&lt;/td&gt;&lt;td class="td-sm"&gt;• POS validation during charge entry&lt;br&gt;• Authorization linked to location&lt;/td&gt;&lt;/tr&gt;</v>
      </c>
    </row>
    <row r="7" spans="1:9" ht="60" customHeight="1" x14ac:dyDescent="0.2">
      <c r="A7" s="19" t="s">
        <v>2443</v>
      </c>
      <c r="B7" s="20" t="s">
        <v>2441</v>
      </c>
      <c r="C7" s="21" t="s">
        <v>2432</v>
      </c>
      <c r="D7" s="32" t="s">
        <v>2462</v>
      </c>
      <c r="E7" s="32"/>
      <c r="F7" s="32" t="s">
        <v>2471</v>
      </c>
      <c r="G7" s="32" t="s">
        <v>2481</v>
      </c>
      <c r="H7" s="35" t="s">
        <v>2489</v>
      </c>
      <c r="I7"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data-rarc="N362 — Provider not eligible (OON scenarios)"data-denial="Provider type not eligible to perform service under policy.\n• NP billing physician-only service\n• Assistant surgeon not covered\n• Out-of-network provider"data-denial=""data-root="• Credentialing issue\n• Provider taxonomy mismatch\n• Contract limitations"&gt;&lt;td&gt;&lt;span class="carc-badge co"&gt;PR 96&lt;/span&gt;&lt;/td&gt;&lt;td style="font-weight:500;"&gt;Non-Covered Charge&lt;/td&gt;&lt;td class="rarc-wrap"&gt;&lt;div class="rarc-id"&gt;N362&lt;/div&gt;&lt;div class="rarc-desc"&gt;Provider not eligible (OON scenarios)&lt;/div&gt;&lt;/td&gt;&lt;td class="td-sm"&gt;Provider type not eligible to perform service under policy.&lt;br&gt;• NP billing physician-only service&lt;br&gt;• Assistant surgeon not covered&lt;br&gt;• Out-of-network provider&lt;/td&gt;&lt;td&gt;&lt;div class="chip-row"&gt;&lt;span class="chip chip-red"&gt;Credentialing issue&lt;/span&gt;&lt;span class="chip chip-red"&gt;Provider taxonomy mismatch&lt;/span&gt;&lt;span class="chip chip-red"&gt;Contract limitations&lt;/span&gt;&lt;/div&gt;&lt;/td&gt;&lt;td class="td-sm"&gt;• Correct billing provider&lt;br&gt;• Appeal with credential proof&lt;br&gt;• Write-off if contract exclusion&lt;/td&gt;&lt;td class="td-sm"&gt;• Credentialing validation&lt;br&gt;• NPI taxonomy audits&lt;/td&gt;&lt;/tr&gt;</v>
      </c>
    </row>
    <row r="8" spans="1:9" ht="60" customHeight="1" x14ac:dyDescent="0.2">
      <c r="A8" s="19" t="s">
        <v>2443</v>
      </c>
      <c r="B8" s="20" t="s">
        <v>2441</v>
      </c>
      <c r="C8" s="21" t="s">
        <v>2431</v>
      </c>
      <c r="D8" s="32" t="s">
        <v>2463</v>
      </c>
      <c r="E8" s="32"/>
      <c r="F8" s="32" t="s">
        <v>2472</v>
      </c>
      <c r="G8" s="32" t="s">
        <v>2480</v>
      </c>
      <c r="H8" s="35" t="s">
        <v>2490</v>
      </c>
      <c r="I8"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data-rarc="N432 — Frequency limitation exceeded"data-denial="Service exceeds payer frequency limitation.\n• Screening tests repeated too soon\n• Therapy sessions beyond limit\n• DME replacement early"data-denial=""data-root="• Frequency rules not checked\n• Medical necessity documentation missing"&gt;&lt;td&gt;&lt;span class="carc-badge co"&gt;PR 96&lt;/span&gt;&lt;/td&gt;&lt;td style="font-weight:500;"&gt;Non-Covered Charge&lt;/td&gt;&lt;td class="rarc-wrap"&gt;&lt;div class="rarc-id"&gt;N432&lt;/div&gt;&lt;div class="rarc-desc"&gt;Frequency limitation exceeded&lt;/div&gt;&lt;/td&gt;&lt;td class="td-sm"&gt;Service exceeds payer frequency limitation.&lt;br&gt;• Screening tests repeated too soon&lt;br&gt;• Therapy sessions beyond limit&lt;br&gt;• DME replacement early&lt;/td&gt;&lt;td&gt;&lt;div class="chip-row"&gt;&lt;span class="chip chip-red"&gt;Frequency rules not checked&lt;/span&gt;&lt;span class="chip chip-red"&gt;Medical necessity documentation missing&lt;/span&gt;&lt;/div&gt;&lt;/td&gt;&lt;td class="td-sm"&gt;• Appeal with justification&lt;br&gt;• Medical records submission&lt;br&gt;• Patient responsibility if valid&lt;/td&gt;&lt;td class="td-sm"&gt;• Frequency tracking tools&lt;br&gt;• Eligibility verification&lt;/td&gt;&lt;/tr&gt;</v>
      </c>
    </row>
    <row r="9" spans="1:9" ht="60" customHeight="1" x14ac:dyDescent="0.2">
      <c r="A9" s="19" t="s">
        <v>2442</v>
      </c>
      <c r="B9" s="20" t="s">
        <v>2441</v>
      </c>
      <c r="C9" s="21" t="s">
        <v>2422</v>
      </c>
      <c r="D9" s="32" t="s">
        <v>2464</v>
      </c>
      <c r="E9" s="32"/>
      <c r="F9" s="32" t="s">
        <v>2473</v>
      </c>
      <c r="G9" s="32" t="s">
        <v>2482</v>
      </c>
      <c r="H9" s="35" t="s">
        <v>2491</v>
      </c>
      <c r="I9"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data-rarc="M144 — Included in global period"data-denial="Service included in global surgical package, not separately covered.\n• Post-op visits billed separately\n• Dressing change after surgery\n• Routine follow-up"data-denial=""data-root="• Global period rules misunderstood\n• Coding error3\n• Modifier missing"&gt;&lt;td&gt;&lt;span class="carc-badge co"&gt;CO 96&lt;/span&gt;&lt;/td&gt;&lt;td style="font-weight:500;"&gt;Non-Covered Charge&lt;/td&gt;&lt;td class="rarc-wrap"&gt;&lt;div class="rarc-id"&gt;M144&lt;/div&gt;&lt;div class="rarc-desc"&gt;Included in global period&lt;/div&gt;&lt;/td&gt;&lt;td class="td-sm"&gt;Service included in global surgical package, not separately covered.&lt;br&gt;• Post-op visits billed separately&lt;br&gt;• Dressing change after surgery&lt;br&gt;• Routine follow-up&lt;/td&gt;&lt;td&gt;&lt;div class="chip-row"&gt;&lt;span class="chip chip-red"&gt;Global period rules misunderstood&lt;/span&gt;&lt;span class="chip chip-red"&gt;Coding error3&lt;/span&gt;&lt;span class="chip chip-red"&gt;Modifier missing&lt;/span&gt;&lt;/div&gt;&lt;/td&gt;&lt;td class="td-sm"&gt;• Add modifier if appropriate (24, 25, 57)&lt;br&gt;• Otherwise contractual adjustment&lt;/td&gt;&lt;td class="td-sm"&gt;• Global period coding education&lt;br&gt;• Automated edits&lt;/td&gt;&lt;/tr&gt;</v>
      </c>
    </row>
    <row r="10" spans="1:9" ht="60" customHeight="1" x14ac:dyDescent="0.2">
      <c r="A10" s="19" t="s">
        <v>2442</v>
      </c>
      <c r="B10" s="20" t="s">
        <v>2441</v>
      </c>
      <c r="C10" s="21" t="s">
        <v>2417</v>
      </c>
      <c r="D10" s="26" t="s">
        <v>2465</v>
      </c>
      <c r="E10" s="26"/>
      <c r="F10" s="26" t="s">
        <v>2474</v>
      </c>
      <c r="G10" s="26" t="s">
        <v>2483</v>
      </c>
      <c r="H10" s="26" t="s">
        <v>2492</v>
      </c>
      <c r="I10"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data-rarc="N130 — Consult plan documents (benefit exclusion)"data-denial="Service is excluded from patient’s benefit plan.\n• Cosmetic procedures\n• Fertility treatments\n• Experimental therapy\n• Routine dental under medical plan\n• Non-covered DME"data-denial=""data-root="• Benefit exclusion\n• Plan limitation\n• Wrong assumption coverage exists"&gt;&lt;td&gt;&lt;span class="carc-badge co"&gt;CO 96&lt;/span&gt;&lt;/td&gt;&lt;td style="font-weight:500;"&gt;Non-Covered Charge&lt;/td&gt;&lt;td class="rarc-wrap"&gt;&lt;div class="rarc-id"&gt;N130&lt;/div&gt;&lt;div class="rarc-desc"&gt;Consult plan documents (benefit exclusion)&lt;/div&gt;&lt;/td&gt;&lt;td class="td-sm"&gt;Service is excluded from patient’s benefit plan.&lt;br&gt;• Cosmetic procedures&lt;br&gt;• Fertility treatments&lt;br&gt;• Experimental therapy&lt;br&gt;• Routine dental under medical plan&lt;br&gt;• Non-covered DME&lt;/td&gt;&lt;td&gt;&lt;div class="chip-row"&gt;&lt;span class="chip chip-red"&gt;Benefit exclusion&lt;/span&gt;&lt;span class="chip chip-red"&gt;Plan limitation&lt;/span&gt;&lt;span class="chip chip-red"&gt;Wrong assumption coverage exists&lt;/span&gt;&lt;/div&gt;&lt;/td&gt;&lt;td class="td-sm"&gt;• Verify benefits&lt;br&gt;• Bill patient if consent obtained&lt;br&gt;• Write-off if contractual&lt;/td&gt;&lt;td class="td-sm"&gt;• Pre-service benefit verification&lt;br&gt;• Cost estimation tools&lt;br&gt;• Patient financial counseling&lt;/td&gt;&lt;/tr&gt;</v>
      </c>
    </row>
    <row r="11" spans="1:9" ht="60" customHeight="1" x14ac:dyDescent="0.2">
      <c r="A11" s="19" t="s">
        <v>2442</v>
      </c>
      <c r="B11" s="20" t="s">
        <v>2441</v>
      </c>
      <c r="C11" s="21" t="s">
        <v>2409</v>
      </c>
      <c r="D11" s="26" t="s">
        <v>2466</v>
      </c>
      <c r="E11" s="26"/>
      <c r="F11" s="26" t="s">
        <v>2475</v>
      </c>
      <c r="G11" s="26" t="s">
        <v>2484</v>
      </c>
      <c r="H11" s="26" t="s">
        <v>2493</v>
      </c>
      <c r="I11"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data-rarc="N115 — Service not covered unless criteria met"data-denial="Service may be covered only if medical necessity guidelines are met, but payer determined criteria were not satisfied.\n• MRI without conservative therapy documentation\n• Lab test without supporting diagnosis\n• Sleep study without symptoms\n• Therapy beyond allowed visits without justification"data-denial=""data-root="• Diagnosis not supporting CPT\n• Missing documentation\n• Provider notes insufficient\n• Medical policy not followed"&gt;&lt;td&gt;&lt;span class="carc-badge co"&gt;CO 96&lt;/span&gt;&lt;/td&gt;&lt;td style="font-weight:500;"&gt;Non-Covered Charge&lt;/td&gt;&lt;td class="rarc-wrap"&gt;&lt;div class="rarc-id"&gt;N115&lt;/div&gt;&lt;div class="rarc-desc"&gt;Service not covered unless criteria met&lt;/div&gt;&lt;/td&gt;&lt;td class="td-sm"&gt;Service may be covered only if medical necessity guidelines are met, but payer determined criteria were not satisfied.&lt;br&gt;• MRI without conservative therapy documentation&lt;br&gt;• Lab test without supporting diagnosis&lt;br&gt;• Sleep study without symptoms&lt;br&gt;• Therapy beyond allowed visits without justification&lt;/td&gt;&lt;td&gt;&lt;div class="chip-row"&gt;&lt;span class="chip chip-red"&gt;Diagnosis not supporting CPT&lt;/span&gt;&lt;span class="chip chip-red"&gt;Missing documentation&lt;/span&gt;&lt;span class="chip chip-red"&gt;Provider notes insufficient&lt;/span&gt;&lt;span class="chip chip-red"&gt;Medical policy not followed&lt;/span&gt;&lt;/div&gt;&lt;/td&gt;&lt;td class="td-sm"&gt;• Review medical records&lt;br&gt;• Compare payer policy (LCD/NCD)&lt;br&gt;• Correct diagnosis if appropriate&lt;br&gt;• Appeal with documentation&lt;/td&gt;&lt;td class="td-sm"&gt;• Medical necessity edits in EMR&lt;br&gt;• Provider education&lt;br&gt;• Coding audits&lt;/td&gt;&lt;/tr&gt;</v>
      </c>
    </row>
    <row r="12" spans="1:9" ht="60" customHeight="1" x14ac:dyDescent="0.2">
      <c r="A12" s="19" t="s">
        <v>2442</v>
      </c>
      <c r="B12" s="20" t="s">
        <v>2441</v>
      </c>
      <c r="C12" s="21" t="s">
        <v>2415</v>
      </c>
      <c r="D12" s="32" t="s">
        <v>2498</v>
      </c>
      <c r="E12" s="32"/>
      <c r="F12" s="32" t="s">
        <v>2494</v>
      </c>
      <c r="G12" s="35" t="s">
        <v>2495</v>
      </c>
      <c r="H12" s="35" t="s">
        <v>2499</v>
      </c>
      <c r="I12"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data-rarc="N122 — Authorization absent"data-denial="Authorization required for the service, but no prior authorization was obtained before the service was performed.\n• Surgery performed without obtaining prior authorization\n• Imaging services completed without pre-certification\n• Therapy initiated without payer approval\n• Hospital admission without authorization on file\n• Procedures performed after authorization expired"data-denial=""data-root="• Authorization not requested by scheduling or provider office\n• Front-end verification failure\n• Authorization obtained for wrong CPT or service\n• Units or dates not matching authorization\n• Communication gap between provider and authorization team"&gt;&lt;td&gt;&lt;span class="carc-badge co"&gt;CO 96&lt;/span&gt;&lt;/td&gt;&lt;td style="font-weight:500;"&gt;Non-Covered Charge&lt;/td&gt;&lt;td class="rarc-wrap"&gt;&lt;div class="rarc-id"&gt;N122&lt;/div&gt;&lt;div class="rarc-desc"&gt;Authorization absent&lt;/div&gt;&lt;/td&gt;&lt;td class="td-sm"&gt;Authorization required for the service, but no prior authorization was obtained before the service was performed.&lt;br&gt;• Surgery performed without obtaining prior authorization&lt;br&gt;• Imaging services completed without pre-certification&lt;br&gt;• Therapy initiated without payer approval&lt;br&gt;• Hospital admission without authorization on file&lt;br&gt;• Procedures performed after authorization expired&lt;/td&gt;&lt;td&gt;&lt;div class="chip-row"&gt;&lt;span class="chip chip-red"&gt;Authorization not requested by scheduling or provider office&lt;/span&gt;&lt;span class="chip chip-red"&gt;Front-end verification failure&lt;/span&gt;&lt;span class="chip chip-red"&gt;Authorization obtained for wrong CPT or service&lt;/span&gt;&lt;span class="chip chip-red"&gt;Units or dates not matching authorization&lt;/span&gt;&lt;span class="chip chip-red"&gt;Communication gap between provider and authorization team&lt;/span&gt;&lt;/div&gt;&lt;/td&gt;&lt;td class="td-sm"&gt;• Request retro authorization (if payer allows)&lt;br&gt;• Submit appeal with medical necessity documentation&lt;br&gt;• Provide clinical records and justification&lt;br&gt;• Correct claim with valid authorization number and rebill&lt;br&gt;• Write-off if authorization cannot be obtained and payer denies&lt;/td&gt;&lt;td class="td-sm"&gt;• Pre-service authorization workflow and checklist&lt;br&gt;• Real-time eligibility and authorization tools&lt;br&gt;• Authorization tracking system with alerts&lt;br&gt;• Staff training and accountability monitoring&lt;br&gt;• Scheduling holds until authorization confirmed&lt;/td&gt;&lt;/tr&gt;</v>
      </c>
    </row>
    <row r="13" spans="1:9" ht="60" customHeight="1" x14ac:dyDescent="0.2">
      <c r="A13" s="19" t="s">
        <v>2442</v>
      </c>
      <c r="B13" s="20" t="s">
        <v>2441</v>
      </c>
      <c r="C13" s="21" t="s">
        <v>2414</v>
      </c>
      <c r="D13" s="32" t="s">
        <v>2497</v>
      </c>
      <c r="E13" s="32"/>
      <c r="F13" s="32" t="s">
        <v>2496</v>
      </c>
      <c r="G13" s="32" t="s">
        <v>2500</v>
      </c>
      <c r="H13" s="35" t="s">
        <v>2501</v>
      </c>
      <c r="I13"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data-rarc="N432 — Units exceed authorization"data-denial="The number of units billed exceeds the quantity approved in the prior authorization. The payer will only reimburse up to the authorized units, and the additional units are considered non-covered.\n• Therapy visits billed beyond approved number of sessions\n• Imaging or procedures performed more times than authorized\n• DME quantity exceeding authorized limits\n• Inpatient days exceeding approved length of stay\n• Injection series administered beyond authorized doses"data-denial=""data-root="• Authorization units not verified before service\n• Provider performed additional services without requesting extension\n• Scheduling or clinical team unaware of authorization limits\n• Documentation supports more units but authorization not updated\n• Authorization expired or partially utilized without tracking"&gt;&lt;td&gt;&lt;span class="carc-badge co"&gt;CO 96&lt;/span&gt;&lt;/td&gt;&lt;td style="font-weight:500;"&gt;Non-Covered Charge&lt;/td&gt;&lt;td class="rarc-wrap"&gt;&lt;div class="rarc-id"&gt;N432&lt;/div&gt;&lt;div class="rarc-desc"&gt;Units exceed authorization&lt;/div&gt;&lt;/td&gt;&lt;td class="td-sm"&gt;The number of units billed exceeds the quantity approved in the prior authorization. The payer will only reimburse up to the authorized units, and the additional units are considered non-covered.&lt;br&gt;• Therapy visits billed beyond approved number of sessions&lt;br&gt;• Imaging or procedures performed more times than authorized&lt;br&gt;• DME quantity exceeding authorized limits&lt;br&gt;• Inpatient days exceeding approved length of stay&lt;br&gt;• Injection series administered beyond authorized doses&lt;/td&gt;&lt;td&gt;&lt;div class="chip-row"&gt;&lt;span class="chip chip-red"&gt;Authorization units not verified before service&lt;/span&gt;&lt;span class="chip chip-red"&gt;Provider performed additional services without requesting extension&lt;/span&gt;&lt;span class="chip chip-red"&gt;Scheduling or clinical team unaware of authorization limits&lt;/span&gt;&lt;span class="chip chip-red"&gt;Documentation supports more units but authorization not updated&lt;/span&gt;&lt;span class="chip chip-red"&gt;Authorization expired or partially utilized without tracking&lt;/span&gt;&lt;/div&gt;&lt;/td&gt;&lt;td class="td-sm"&gt;• Verify authorization details (units, dates, CPT)&lt;br&gt;• Request authorization extension or additional units (if allowed)&lt;br&gt;• Submit appeal with medical necessity documentation&lt;br&gt;• Rebill claim with corrected authorized units if error&lt;br&gt;• Adjust/write-off excess units if payer denies&lt;/td&gt;&lt;td class="td-sm"&gt;• Authorization tracking system with unit monitoring&lt;br&gt;• Pre-service verification of remaining authorized units&lt;br&gt;• Alerts when authorization limits are near exhaustion&lt;br&gt;• Clinical staff education on authorization constraints&lt;br&gt;• Regular reconciliation between services rendered and approved units&lt;/td&gt;&lt;/tr&gt;</v>
      </c>
    </row>
    <row r="14" spans="1:9" ht="60" customHeight="1" x14ac:dyDescent="0.2">
      <c r="A14" s="19" t="s">
        <v>2442</v>
      </c>
      <c r="B14" s="20" t="s">
        <v>2441</v>
      </c>
      <c r="C14" s="21" t="s">
        <v>2420</v>
      </c>
      <c r="D14" s="32"/>
      <c r="E14" s="32"/>
      <c r="F14" s="32"/>
      <c r="G14" s="32"/>
      <c r="H14" s="35"/>
      <c r="I14"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data-rarc="N22 — Coverage terminated"data-denial=""data-denial=""data-root=""&gt;&lt;td&gt;&lt;span class="carc-badge co"&gt;CO 96&lt;/span&gt;&lt;/td&gt;&lt;td style="font-weight:500;"&gt;Non-Covered Charge&lt;/td&gt;&lt;td class="rarc-wrap"&gt;&lt;div class="rarc-id"&gt;N22&lt;/div&gt;&lt;div class="rarc-desc"&gt;Coverage terminated&lt;/div&gt;&lt;/td&gt;&lt;td class="td-sm"&gt;&lt;/td&gt;&lt;td&gt;&lt;div class="chip-row"&gt;&lt;span class="chip chip-red"&gt;&lt;/span&gt;&lt;/div&gt;&lt;/td&gt;&lt;td class="td-sm"&gt;&lt;/td&gt;&lt;td class="td-sm"&gt;&lt;/td&gt;&lt;/tr&gt;</v>
      </c>
    </row>
    <row r="15" spans="1:9" ht="60" customHeight="1" x14ac:dyDescent="0.2">
      <c r="A15" s="19" t="s">
        <v>2442</v>
      </c>
      <c r="B15" s="20" t="s">
        <v>2441</v>
      </c>
      <c r="C15" s="21" t="s">
        <v>2421</v>
      </c>
      <c r="D15" s="32"/>
      <c r="E15" s="32"/>
      <c r="F15" s="32"/>
      <c r="G15" s="32"/>
      <c r="H15" s="35"/>
      <c r="I15"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data-rarc="N33 — No coverage for this service"data-denial=""data-denial=""data-root=""&gt;&lt;td&gt;&lt;span class="carc-badge co"&gt;CO 96&lt;/span&gt;&lt;/td&gt;&lt;td style="font-weight:500;"&gt;Non-Covered Charge&lt;/td&gt;&lt;td class="rarc-wrap"&gt;&lt;div class="rarc-id"&gt;N33&lt;/div&gt;&lt;div class="rarc-desc"&gt;No coverage for this service&lt;/div&gt;&lt;/td&gt;&lt;td class="td-sm"&gt;&lt;/td&gt;&lt;td&gt;&lt;div class="chip-row"&gt;&lt;span class="chip chip-red"&gt;&lt;/span&gt;&lt;/div&gt;&lt;/td&gt;&lt;td class="td-sm"&gt;&lt;/td&gt;&lt;td class="td-sm"&gt;&lt;/td&gt;&lt;/tr&gt;</v>
      </c>
    </row>
    <row r="16" spans="1:9" ht="60" customHeight="1" x14ac:dyDescent="0.2">
      <c r="A16" s="19" t="s">
        <v>2442</v>
      </c>
      <c r="B16" s="20" t="s">
        <v>2441</v>
      </c>
      <c r="C16" s="21" t="s">
        <v>2418</v>
      </c>
      <c r="D16" s="32"/>
      <c r="E16" s="32"/>
      <c r="F16" s="32"/>
      <c r="G16" s="32"/>
      <c r="H16" s="35"/>
      <c r="I16"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data-rarc="N362 — Provider not eligible"data-denial=""data-denial=""data-root=""&gt;&lt;td&gt;&lt;span class="carc-badge co"&gt;CO 96&lt;/span&gt;&lt;/td&gt;&lt;td style="font-weight:500;"&gt;Non-Covered Charge&lt;/td&gt;&lt;td class="rarc-wrap"&gt;&lt;div class="rarc-id"&gt;N362&lt;/div&gt;&lt;div class="rarc-desc"&gt;Provider not eligible&lt;/div&gt;&lt;/td&gt;&lt;td class="td-sm"&gt;&lt;/td&gt;&lt;td&gt;&lt;div class="chip-row"&gt;&lt;span class="chip chip-red"&gt;&lt;/span&gt;&lt;/div&gt;&lt;/td&gt;&lt;td class="td-sm"&gt;&lt;/td&gt;&lt;td class="td-sm"&gt;&lt;/td&gt;&lt;/tr&gt;</v>
      </c>
    </row>
    <row r="17" spans="1:9" ht="60" customHeight="1" x14ac:dyDescent="0.2">
      <c r="A17" s="19" t="s">
        <v>2442</v>
      </c>
      <c r="B17" s="20" t="s">
        <v>2441</v>
      </c>
      <c r="C17" s="21" t="s">
        <v>2419</v>
      </c>
      <c r="D17" s="32"/>
      <c r="E17" s="32"/>
      <c r="F17" s="32"/>
      <c r="G17" s="32"/>
      <c r="H17" s="35"/>
      <c r="I17"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data-rarc="N574 — Service not covered for this provider type"data-denial=""data-denial=""data-root=""&gt;&lt;td&gt;&lt;span class="carc-badge co"&gt;CO 96&lt;/span&gt;&lt;/td&gt;&lt;td style="font-weight:500;"&gt;Non-Covered Charge&lt;/td&gt;&lt;td class="rarc-wrap"&gt;&lt;div class="rarc-id"&gt;N574&lt;/div&gt;&lt;div class="rarc-desc"&gt;Service not covered for this provider type&lt;/div&gt;&lt;/td&gt;&lt;td class="td-sm"&gt;&lt;/td&gt;&lt;td&gt;&lt;div class="chip-row"&gt;&lt;span class="chip chip-red"&gt;&lt;/span&gt;&lt;/div&gt;&lt;/td&gt;&lt;td class="td-sm"&gt;&lt;/td&gt;&lt;td class="td-sm"&gt;&lt;/td&gt;&lt;/tr&gt;</v>
      </c>
    </row>
    <row r="18" spans="1:9" ht="60" customHeight="1" x14ac:dyDescent="0.2">
      <c r="A18" s="19" t="s">
        <v>2443</v>
      </c>
      <c r="B18" s="20" t="s">
        <v>2441</v>
      </c>
      <c r="C18" s="21" t="s">
        <v>2433</v>
      </c>
      <c r="D18" s="32"/>
      <c r="E18" s="32"/>
      <c r="F18" s="32"/>
      <c r="G18" s="32"/>
      <c r="H18" s="35"/>
      <c r="I18"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data-rarc="N115 — Criteria not met (when patient liable allowed)"data-denial=""data-denial=""data-root=""&gt;&lt;td&gt;&lt;span class="carc-badge co"&gt;PR 96&lt;/span&gt;&lt;/td&gt;&lt;td style="font-weight:500;"&gt;Non-Covered Charge&lt;/td&gt;&lt;td class="rarc-wrap"&gt;&lt;div class="rarc-id"&gt;N115&lt;/div&gt;&lt;div class="rarc-desc"&gt;Criteria not met (when patient liable allowed)&lt;/div&gt;&lt;/td&gt;&lt;td class="td-sm"&gt;&lt;/td&gt;&lt;td&gt;&lt;div class="chip-row"&gt;&lt;span class="chip chip-red"&gt;&lt;/span&gt;&lt;/div&gt;&lt;/td&gt;&lt;td class="td-sm"&gt;&lt;/td&gt;&lt;td class="td-sm"&gt;&lt;/td&gt;&lt;/tr&gt;</v>
      </c>
    </row>
    <row r="19" spans="1:9" ht="60" customHeight="1" x14ac:dyDescent="0.2">
      <c r="A19" s="19" t="s">
        <v>2443</v>
      </c>
      <c r="B19" s="20" t="s">
        <v>2441</v>
      </c>
      <c r="C19" s="21" t="s">
        <v>2429</v>
      </c>
      <c r="D19" s="32"/>
      <c r="E19" s="32"/>
      <c r="F19" s="32"/>
      <c r="G19" s="32"/>
      <c r="H19" s="35"/>
      <c r="I19"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data-rarc="N130 — Consult benefit documents"data-denial=""data-denial=""data-root=""&gt;&lt;td&gt;&lt;span class="carc-badge co"&gt;PR 96&lt;/span&gt;&lt;/td&gt;&lt;td style="font-weight:500;"&gt;Non-Covered Charge&lt;/td&gt;&lt;td class="rarc-wrap"&gt;&lt;div class="rarc-id"&gt;N130&lt;/div&gt;&lt;div class="rarc-desc"&gt;Consult benefit documents&lt;/div&gt;&lt;/td&gt;&lt;td class="td-sm"&gt;&lt;/td&gt;&lt;td&gt;&lt;div class="chip-row"&gt;&lt;span class="chip chip-red"&gt;&lt;/span&gt;&lt;/div&gt;&lt;/td&gt;&lt;td class="td-sm"&gt;&lt;/td&gt;&lt;td class="td-sm"&gt;&lt;/td&gt;&lt;/tr&gt;</v>
      </c>
    </row>
    <row r="20" spans="1:9" ht="60" customHeight="1" x14ac:dyDescent="0.2">
      <c r="A20" s="19" t="s">
        <v>2443</v>
      </c>
      <c r="B20" s="20" t="s">
        <v>2441</v>
      </c>
      <c r="C20" s="21" t="s">
        <v>2430</v>
      </c>
      <c r="D20" s="32"/>
      <c r="E20" s="32"/>
      <c r="F20" s="32"/>
      <c r="G20" s="32"/>
      <c r="H20" s="35"/>
      <c r="I20"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data-rarc="N20 — Service not covered"data-denial=""data-denial=""data-root=""&gt;&lt;td&gt;&lt;span class="carc-badge co"&gt;PR 96&lt;/span&gt;&lt;/td&gt;&lt;td style="font-weight:500;"&gt;Non-Covered Charge&lt;/td&gt;&lt;td class="rarc-wrap"&gt;&lt;div class="rarc-id"&gt;N20&lt;/div&gt;&lt;div class="rarc-desc"&gt;Service not covered&lt;/div&gt;&lt;/td&gt;&lt;td class="td-sm"&gt;&lt;/td&gt;&lt;td&gt;&lt;div class="chip-row"&gt;&lt;span class="chip chip-red"&gt;&lt;/span&gt;&lt;/div&gt;&lt;/td&gt;&lt;td class="td-sm"&gt;&lt;/td&gt;&lt;td class="td-sm"&gt;&lt;/td&gt;&lt;/tr&gt;</v>
      </c>
    </row>
    <row r="21" spans="1:9" ht="60" customHeight="1" x14ac:dyDescent="0.2">
      <c r="A21" s="19" t="s">
        <v>2443</v>
      </c>
      <c r="B21" s="20" t="s">
        <v>2441</v>
      </c>
      <c r="C21" s="21" t="s">
        <v>2410</v>
      </c>
      <c r="D21" s="32"/>
      <c r="E21" s="32"/>
      <c r="F21" s="32"/>
      <c r="G21" s="32"/>
      <c r="H21" s="35"/>
      <c r="I21"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data-rarc="N386 — Not covered in this setting"data-denial=""data-denial=""data-root=""&gt;&lt;td&gt;&lt;span class="carc-badge co"&gt;PR 96&lt;/span&gt;&lt;/td&gt;&lt;td style="font-weight:500;"&gt;Non-Covered Charge&lt;/td&gt;&lt;td class="rarc-wrap"&gt;&lt;div class="rarc-id"&gt;N386&lt;/div&gt;&lt;div class="rarc-desc"&gt;Not covered in this setting&lt;/div&gt;&lt;/td&gt;&lt;td class="td-sm"&gt;&lt;/td&gt;&lt;td&gt;&lt;div class="chip-row"&gt;&lt;span class="chip chip-red"&gt;&lt;/span&gt;&lt;/div&gt;&lt;/td&gt;&lt;td class="td-sm"&gt;&lt;/td&gt;&lt;td class="td-sm"&gt;&lt;/td&gt;&lt;/tr&gt;</v>
      </c>
    </row>
    <row r="22" spans="1:9" ht="60" customHeight="1" x14ac:dyDescent="0.2">
      <c r="A22" s="19" t="s">
        <v>2442</v>
      </c>
      <c r="B22" s="20" t="s">
        <v>2441</v>
      </c>
      <c r="C22" s="21" t="s">
        <v>2425</v>
      </c>
      <c r="D22" s="32"/>
      <c r="E22" s="32"/>
      <c r="F22" s="32"/>
      <c r="G22" s="32"/>
      <c r="H22" s="35"/>
      <c r="I22"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data-rarc="M15 — Separately billed services included"data-denial=""data-denial=""data-root=""&gt;&lt;td&gt;&lt;span class="carc-badge co"&gt;CO 96&lt;/span&gt;&lt;/td&gt;&lt;td style="font-weight:500;"&gt;Non-Covered Charge&lt;/td&gt;&lt;td class="rarc-wrap"&gt;&lt;div class="rarc-id"&gt;M15&lt;/div&gt;&lt;div class="rarc-desc"&gt;Separately billed services included&lt;/div&gt;&lt;/td&gt;&lt;td class="td-sm"&gt;&lt;/td&gt;&lt;td&gt;&lt;div class="chip-row"&gt;&lt;span class="chip chip-red"&gt;&lt;/span&gt;&lt;/div&gt;&lt;/td&gt;&lt;td class="td-sm"&gt;&lt;/td&gt;&lt;td class="td-sm"&gt;&lt;/td&gt;&lt;/tr&gt;</v>
      </c>
    </row>
    <row r="23" spans="1:9" ht="60" customHeight="1" x14ac:dyDescent="0.2">
      <c r="A23" s="19" t="s">
        <v>2442</v>
      </c>
      <c r="B23" s="20" t="s">
        <v>2441</v>
      </c>
      <c r="C23" s="21" t="s">
        <v>2423</v>
      </c>
      <c r="D23" s="32"/>
      <c r="E23" s="32"/>
      <c r="F23" s="32"/>
      <c r="G23" s="32"/>
      <c r="H23" s="35"/>
      <c r="I23"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data-rarc="N390 — Included in allowance"data-denial=""data-denial=""data-root=""&gt;&lt;td&gt;&lt;span class="carc-badge co"&gt;CO 96&lt;/span&gt;&lt;/td&gt;&lt;td style="font-weight:500;"&gt;Non-Covered Charge&lt;/td&gt;&lt;td class="rarc-wrap"&gt;&lt;div class="rarc-id"&gt;N390&lt;/div&gt;&lt;div class="rarc-desc"&gt;Included in allowance&lt;/div&gt;&lt;/td&gt;&lt;td class="td-sm"&gt;&lt;/td&gt;&lt;td&gt;&lt;div class="chip-row"&gt;&lt;span class="chip chip-red"&gt;&lt;/span&gt;&lt;/div&gt;&lt;/td&gt;&lt;td class="td-sm"&gt;&lt;/td&gt;&lt;td class="td-sm"&gt;&lt;/td&gt;&lt;/tr&gt;</v>
      </c>
    </row>
    <row r="24" spans="1:9" ht="60" customHeight="1" x14ac:dyDescent="0.2">
      <c r="A24" s="19" t="s">
        <v>2442</v>
      </c>
      <c r="B24" s="20" t="s">
        <v>2441</v>
      </c>
      <c r="C24" s="21" t="s">
        <v>2424</v>
      </c>
      <c r="D24" s="32"/>
      <c r="E24" s="32"/>
      <c r="F24" s="32"/>
      <c r="G24" s="32"/>
      <c r="H24" s="35"/>
      <c r="I24"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data-rarc="N59 — Bundled service"data-denial=""data-denial=""data-root=""&gt;&lt;td&gt;&lt;span class="carc-badge co"&gt;CO 96&lt;/span&gt;&lt;/td&gt;&lt;td style="font-weight:500;"&gt;Non-Covered Charge&lt;/td&gt;&lt;td class="rarc-wrap"&gt;&lt;div class="rarc-id"&gt;N59&lt;/div&gt;&lt;div class="rarc-desc"&gt;Bundled service&lt;/div&gt;&lt;/td&gt;&lt;td class="td-sm"&gt;&lt;/td&gt;&lt;td&gt;&lt;div class="chip-row"&gt;&lt;span class="chip chip-red"&gt;&lt;/span&gt;&lt;/div&gt;&lt;/td&gt;&lt;td class="td-sm"&gt;&lt;/td&gt;&lt;td class="td-sm"&gt;&lt;/td&gt;&lt;/tr&gt;</v>
      </c>
    </row>
    <row r="25" spans="1:9" ht="60" customHeight="1" x14ac:dyDescent="0.2">
      <c r="A25" s="19" t="s">
        <v>2443</v>
      </c>
      <c r="B25" s="20" t="s">
        <v>2441</v>
      </c>
      <c r="C25" s="21" t="s">
        <v>2421</v>
      </c>
      <c r="D25" s="32"/>
      <c r="E25" s="32"/>
      <c r="F25" s="32"/>
      <c r="G25" s="32"/>
      <c r="H25" s="35"/>
      <c r="I25"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data-rarc="N33 — No coverage for this service"data-denial=""data-denial=""data-root=""&gt;&lt;td&gt;&lt;span class="carc-badge co"&gt;PR 96&lt;/span&gt;&lt;/td&gt;&lt;td style="font-weight:500;"&gt;Non-Covered Charge&lt;/td&gt;&lt;td class="rarc-wrap"&gt;&lt;div class="rarc-id"&gt;N33&lt;/div&gt;&lt;div class="rarc-desc"&gt;No coverage for this service&lt;/div&gt;&lt;/td&gt;&lt;td class="td-sm"&gt;&lt;/td&gt;&lt;td&gt;&lt;div class="chip-row"&gt;&lt;span class="chip chip-red"&gt;&lt;/span&gt;&lt;/div&gt;&lt;/td&gt;&lt;td class="td-sm"&gt;&lt;/td&gt;&lt;td class="td-sm"&gt;&lt;/td&gt;&lt;/tr&gt;</v>
      </c>
    </row>
    <row r="26" spans="1:9" ht="60" customHeight="1" x14ac:dyDescent="0.2">
      <c r="A26" s="19" t="s">
        <v>2443</v>
      </c>
      <c r="B26" s="20" t="s">
        <v>2441</v>
      </c>
      <c r="C26" s="21" t="s">
        <v>2438</v>
      </c>
      <c r="D26" s="32"/>
      <c r="E26" s="32"/>
      <c r="F26" s="32"/>
      <c r="G26" s="32"/>
      <c r="H26" s="35"/>
      <c r="I26"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data-rarc="N522 — Level of care not covered"data-denial=""data-denial=""data-root=""&gt;&lt;td&gt;&lt;span class="carc-badge co"&gt;PR 96&lt;/span&gt;&lt;/td&gt;&lt;td style="font-weight:500;"&gt;Non-Covered Charge&lt;/td&gt;&lt;td class="rarc-wrap"&gt;&lt;div class="rarc-id"&gt;N522&lt;/div&gt;&lt;div class="rarc-desc"&gt;Level of care not covered&lt;/div&gt;&lt;/td&gt;&lt;td class="td-sm"&gt;&lt;/td&gt;&lt;td&gt;&lt;div class="chip-row"&gt;&lt;span class="chip chip-red"&gt;&lt;/span&gt;&lt;/div&gt;&lt;/td&gt;&lt;td class="td-sm"&gt;&lt;/td&gt;&lt;td class="td-sm"&gt;&lt;/td&gt;&lt;/tr&gt;</v>
      </c>
    </row>
    <row r="27" spans="1:9" ht="60" customHeight="1" x14ac:dyDescent="0.2">
      <c r="A27" s="19" t="s">
        <v>2443</v>
      </c>
      <c r="B27" s="20" t="s">
        <v>2441</v>
      </c>
      <c r="C27" s="21" t="s">
        <v>2439</v>
      </c>
      <c r="D27" s="32"/>
      <c r="E27" s="32"/>
      <c r="F27" s="32"/>
      <c r="G27" s="32"/>
      <c r="H27" s="35"/>
      <c r="I27"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data-rarc="N54 — Coverage inactive"data-denial=""data-denial=""data-root=""&gt;&lt;td&gt;&lt;span class="carc-badge co"&gt;PR 96&lt;/span&gt;&lt;/td&gt;&lt;td style="font-weight:500;"&gt;Non-Covered Charge&lt;/td&gt;&lt;td class="rarc-wrap"&gt;&lt;div class="rarc-id"&gt;N54&lt;/div&gt;&lt;div class="rarc-desc"&gt;Coverage inactive&lt;/div&gt;&lt;/td&gt;&lt;td class="td-sm"&gt;&lt;/td&gt;&lt;td&gt;&lt;div class="chip-row"&gt;&lt;span class="chip chip-red"&gt;&lt;/span&gt;&lt;/div&gt;&lt;/td&gt;&lt;td class="td-sm"&gt;&lt;/td&gt;&lt;td class="td-sm"&gt;&lt;/td&gt;&lt;/tr&gt;</v>
      </c>
    </row>
    <row r="28" spans="1:9" ht="60" customHeight="1" x14ac:dyDescent="0.2">
      <c r="A28" s="19" t="s">
        <v>2442</v>
      </c>
      <c r="B28" s="20" t="s">
        <v>2441</v>
      </c>
      <c r="C28" s="21" t="s">
        <v>2426</v>
      </c>
      <c r="D28" s="32"/>
      <c r="E28" s="32"/>
      <c r="F28" s="32"/>
      <c r="G28" s="32"/>
      <c r="H28" s="35"/>
      <c r="I28"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data-rarc="N440 — Inpatient not medically necessary"data-denial=""data-denial=""data-root=""&gt;&lt;td&gt;&lt;span class="carc-badge co"&gt;CO 96&lt;/span&gt;&lt;/td&gt;&lt;td style="font-weight:500;"&gt;Non-Covered Charge&lt;/td&gt;&lt;td class="rarc-wrap"&gt;&lt;div class="rarc-id"&gt;N440&lt;/div&gt;&lt;div class="rarc-desc"&gt;Inpatient not medically necessary&lt;/div&gt;&lt;/td&gt;&lt;td class="td-sm"&gt;&lt;/td&gt;&lt;td&gt;&lt;div class="chip-row"&gt;&lt;span class="chip chip-red"&gt;&lt;/span&gt;&lt;/div&gt;&lt;/td&gt;&lt;td class="td-sm"&gt;&lt;/td&gt;&lt;td class="td-sm"&gt;&lt;/td&gt;&lt;/tr&gt;</v>
      </c>
    </row>
    <row r="29" spans="1:9" ht="60" customHeight="1" x14ac:dyDescent="0.2">
      <c r="A29" s="19" t="s">
        <v>2442</v>
      </c>
      <c r="B29" s="20" t="s">
        <v>2441</v>
      </c>
      <c r="C29" s="21" t="s">
        <v>2427</v>
      </c>
      <c r="D29" s="32"/>
      <c r="E29" s="32"/>
      <c r="F29" s="32"/>
      <c r="G29" s="32"/>
      <c r="H29" s="35"/>
      <c r="I29"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data-rarc="N522 — Level of care denied"data-denial=""data-denial=""data-root=""&gt;&lt;td&gt;&lt;span class="carc-badge co"&gt;CO 96&lt;/span&gt;&lt;/td&gt;&lt;td style="font-weight:500;"&gt;Non-Covered Charge&lt;/td&gt;&lt;td class="rarc-wrap"&gt;&lt;div class="rarc-id"&gt;N522&lt;/div&gt;&lt;div class="rarc-desc"&gt;Level of care denied&lt;/div&gt;&lt;/td&gt;&lt;td class="td-sm"&gt;&lt;/td&gt;&lt;td&gt;&lt;div class="chip-row"&gt;&lt;span class="chip chip-red"&gt;&lt;/span&gt;&lt;/div&gt;&lt;/td&gt;&lt;td class="td-sm"&gt;&lt;/td&gt;&lt;td class="td-sm"&gt;&lt;/td&gt;&lt;/tr&gt;</v>
      </c>
    </row>
    <row r="30" spans="1:9" ht="60" customHeight="1" x14ac:dyDescent="0.2">
      <c r="A30" s="19" t="s">
        <v>2442</v>
      </c>
      <c r="B30" s="20" t="s">
        <v>2441</v>
      </c>
      <c r="C30" s="21" t="s">
        <v>2428</v>
      </c>
      <c r="D30" s="32"/>
      <c r="E30" s="32"/>
      <c r="F30" s="32"/>
      <c r="G30" s="32"/>
      <c r="H30" s="35"/>
      <c r="I30"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data-rarc="N538 — Service not payable in this level"data-denial=""data-denial=""data-root=""&gt;&lt;td&gt;&lt;span class="carc-badge co"&gt;CO 96&lt;/span&gt;&lt;/td&gt;&lt;td style="font-weight:500;"&gt;Non-Covered Charge&lt;/td&gt;&lt;td class="rarc-wrap"&gt;&lt;div class="rarc-id"&gt;N538&lt;/div&gt;&lt;div class="rarc-desc"&gt;Service not payable in this level&lt;/div&gt;&lt;/td&gt;&lt;td class="td-sm"&gt;&lt;/td&gt;&lt;td&gt;&lt;div class="chip-row"&gt;&lt;span class="chip chip-red"&gt;&lt;/span&gt;&lt;/div&gt;&lt;/td&gt;&lt;td class="td-sm"&gt;&lt;/td&gt;&lt;td class="td-sm"&gt;&lt;/td&gt;&lt;/tr&gt;</v>
      </c>
    </row>
    <row r="31" spans="1:9" ht="60" customHeight="1" x14ac:dyDescent="0.2">
      <c r="A31" s="19" t="s">
        <v>2442</v>
      </c>
      <c r="B31" s="20" t="s">
        <v>2441</v>
      </c>
      <c r="C31" s="21" t="s">
        <v>2412</v>
      </c>
      <c r="D31" s="32"/>
      <c r="E31" s="32"/>
      <c r="F31" s="32"/>
      <c r="G31" s="32"/>
      <c r="H31" s="35"/>
      <c r="I31"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data-rarc="N425 — Authorization denied (medical necessity)"data-denial=""data-denial=""data-root=""&gt;&lt;td&gt;&lt;span class="carc-badge co"&gt;CO 96&lt;/span&gt;&lt;/td&gt;&lt;td style="font-weight:500;"&gt;Non-Covered Charge&lt;/td&gt;&lt;td class="rarc-wrap"&gt;&lt;div class="rarc-id"&gt;N425&lt;/div&gt;&lt;div class="rarc-desc"&gt;Authorization denied (medical necessity)&lt;/div&gt;&lt;/td&gt;&lt;td class="td-sm"&gt;&lt;/td&gt;&lt;td&gt;&lt;div class="chip-row"&gt;&lt;span class="chip chip-red"&gt;&lt;/span&gt;&lt;/div&gt;&lt;/td&gt;&lt;td class="td-sm"&gt;&lt;/td&gt;&lt;td class="td-sm"&gt;&lt;/td&gt;&lt;/tr&gt;</v>
      </c>
    </row>
    <row r="32" spans="1:9" ht="60" customHeight="1" x14ac:dyDescent="0.2">
      <c r="A32" s="19" t="s">
        <v>2442</v>
      </c>
      <c r="B32" s="20" t="s">
        <v>2441</v>
      </c>
      <c r="C32" s="21" t="s">
        <v>2411</v>
      </c>
      <c r="D32" s="32"/>
      <c r="E32" s="32"/>
      <c r="F32" s="32"/>
      <c r="G32" s="32"/>
      <c r="H32" s="35"/>
      <c r="I32"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96" data-rarc="N71 — Admission not medically necessary"data-denial=""data-denial=""data-root=""&gt;&lt;td&gt;&lt;span class="carc-badge co"&gt;CO 96&lt;/span&gt;&lt;/td&gt;&lt;td style="font-weight:500;"&gt;Non-Covered Charge&lt;/td&gt;&lt;td class="rarc-wrap"&gt;&lt;div class="rarc-id"&gt;N71&lt;/div&gt;&lt;div class="rarc-desc"&gt;Admission not medically necessary&lt;/div&gt;&lt;/td&gt;&lt;td class="td-sm"&gt;&lt;/td&gt;&lt;td&gt;&lt;div class="chip-row"&gt;&lt;span class="chip chip-red"&gt;&lt;/span&gt;&lt;/div&gt;&lt;/td&gt;&lt;td class="td-sm"&gt;&lt;/td&gt;&lt;td class="td-sm"&gt;&lt;/td&gt;&lt;/tr&gt;</v>
      </c>
    </row>
    <row r="33" spans="1:9" x14ac:dyDescent="0.2">
      <c r="A33" s="19" t="s">
        <v>2443</v>
      </c>
      <c r="B33" s="20" t="s">
        <v>2441</v>
      </c>
      <c r="C33" s="21" t="s">
        <v>2436</v>
      </c>
      <c r="D33" s="32"/>
      <c r="E33" s="32"/>
      <c r="F33" s="32"/>
      <c r="G33" s="32"/>
      <c r="H33" s="35"/>
      <c r="I33"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data-rarc="N706 — Patient liability waiver on file"data-denial=""data-denial=""data-root=""&gt;&lt;td&gt;&lt;span class="carc-badge co"&gt;PR 96&lt;/span&gt;&lt;/td&gt;&lt;td style="font-weight:500;"&gt;Non-Covered Charge&lt;/td&gt;&lt;td class="rarc-wrap"&gt;&lt;div class="rarc-id"&gt;N706&lt;/div&gt;&lt;div class="rarc-desc"&gt;Patient liability waiver on file&lt;/div&gt;&lt;/td&gt;&lt;td class="td-sm"&gt;&lt;/td&gt;&lt;td&gt;&lt;div class="chip-row"&gt;&lt;span class="chip chip-red"&gt;&lt;/span&gt;&lt;/div&gt;&lt;/td&gt;&lt;td class="td-sm"&gt;&lt;/td&gt;&lt;td class="td-sm"&gt;&lt;/td&gt;&lt;/tr&gt;</v>
      </c>
    </row>
    <row r="34" spans="1:9" x14ac:dyDescent="0.2">
      <c r="A34" s="19" t="s">
        <v>2443</v>
      </c>
      <c r="B34" s="20" t="s">
        <v>2441</v>
      </c>
      <c r="C34" s="21" t="s">
        <v>2437</v>
      </c>
      <c r="D34" s="32" t="s">
        <v>2513</v>
      </c>
      <c r="E34" s="32"/>
      <c r="F34" s="32" t="s">
        <v>2514</v>
      </c>
      <c r="G34" s="32" t="s">
        <v>2515</v>
      </c>
      <c r="H34" s="35" t="s">
        <v>2516</v>
      </c>
      <c r="I34" s="32"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data-rarc="N783 — ABN on file (Medicare context)"data-denial="An Advance Beneficiary Notice (ABN) was obtained and is on file prior to the service being rendered. Medicare determined the service is not covered, but because the patient was properly notified in advance, financial liability may be transferred to the patient.\n• Screening service not covered by Medicare frequency rules\n• Procedure denied due to medical necessity, but ABN obtained\n• Laboratory tests not meeting Medicare coverage criteria\n• DME items considered non-covered with signed ABN\n• Preventive services outside Medicare benefit limitations\n• Services performed after Medicare utilization limits reached"data-denial=""data-root="• Service does not meet Medicare medical necessity requirements\n• Benefit frequency exceeded under Medicare policy\n• Service excluded from Medicare coverage\n• Diagnosis does not support medical necessity\n• Medicare policy limitations triggered\n• Important: The denial itself is not caused by the ABN — the ABN only determines who pays."&gt;&lt;td&gt;&lt;span class="carc-badge co"&gt;PR 96&lt;/span&gt;&lt;/td&gt;&lt;td style="font-weight:500;"&gt;Non-Covered Charge&lt;/td&gt;&lt;td class="rarc-wrap"&gt;&lt;div class="rarc-id"&gt;N783&lt;/div&gt;&lt;div class="rarc-desc"&gt;ABN on file (Medicare context)&lt;/div&gt;&lt;/td&gt;&lt;td class="td-sm"&gt;An Advance Beneficiary Notice (ABN) was obtained and is on file prior to the service being rendered. Medicare determined the service is not covered, but because the patient was properly notified in advance, financial liability may be transferred to the patient.&lt;br&gt;• Screening service not covered by Medicare frequency rules&lt;br&gt;• Procedure denied due to medical necessity, but ABN obtained&lt;br&gt;• Laboratory tests not meeting Medicare coverage criteria&lt;br&gt;• DME items considered non-covered with signed ABN&lt;br&gt;• Preventive services outside Medicare benefit limitations&lt;br&gt;• Services performed after Medicare utilization limits reached&lt;/td&gt;&lt;td&gt;&lt;div class="chip-row"&gt;&lt;span class="chip chip-red"&gt;Service does not meet Medicare medical necessity requirements&lt;/span&gt;&lt;span class="chip chip-red"&gt;Benefit frequency exceeded under Medicare policy&lt;/span&gt;&lt;span class="chip chip-red"&gt;Service excluded from Medicare coverage&lt;/span&gt;&lt;span class="chip chip-red"&gt;Diagnosis does not support medical necessity&lt;/span&gt;&lt;span class="chip chip-red"&gt;Medicare policy limitations triggered&lt;/span&gt;&lt;span class="chip chip-red"&gt;Important: The denial itself is not caused by the ABN — the ABN only determines who pays.&lt;/span&gt;&lt;/div&gt;&lt;/td&gt;&lt;td class="td-sm"&gt;• Verify ABN validity (signed, dated, correct service listed)&lt;br&gt;• Transfer balance to patient responsibility (PR)&lt;br&gt;• Bill patient according to Medicare guidelines&lt;br&gt;• Bill secondary insurance if applicable&lt;br&gt;• Appeal only if denial believed incorrect&lt;br&gt;• If ABN invalid → Provider may become financially liable.&lt;/td&gt;&lt;td class="td-sm"&gt;• Obtain ABN prior to service when coverage uncertain&lt;br&gt;• Staff training on Medicare medical necessity rules&lt;br&gt;• ABN workflow integrated into registration process&lt;br&gt;• Coverage verification tools for Medicare policies&lt;br&gt;• Documentation confirming patient informed consent&lt;/td&gt;&lt;/tr&gt;</v>
      </c>
    </row>
    <row r="35" spans="1:9" x14ac:dyDescent="0.2">
      <c r="A35" s="28" t="s">
        <v>2443</v>
      </c>
      <c r="B35" s="29" t="s">
        <v>2441</v>
      </c>
      <c r="C35" s="30" t="s">
        <v>2435</v>
      </c>
      <c r="D35" s="33" t="s">
        <v>2512</v>
      </c>
      <c r="E35" s="33"/>
      <c r="F35" s="33" t="s">
        <v>2511</v>
      </c>
      <c r="G35" s="33" t="s">
        <v>2510</v>
      </c>
      <c r="H35" s="38" t="s">
        <v>2509</v>
      </c>
      <c r="I35" s="33"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data-carc="PR 96" data-rarc="N830 — Patient elected non-covered service"data-denial="The claim was processed according to Federal or State balance billing and No Surprises Act regulations. The provider cannot bill the patient for amounts assigned under OA, CO, or PI group codes. Only the PR (patient responsibility) portion, if any, may be billed.\n• Emergency services provided at an out-of-network facility\n• Out-of-network provider treating patient at in-network hospital\n• Surprise billing scenario (anesthesiology, radiology, pathology)\n• Air ambulance services subject to federal protections\n• State-regulated balance billing protections applied"data-denial=""data-root="• Out-of-network provider involvement in protected service setting\n• Contract status mismatch (provider vs facility network)"&gt;&lt;td&gt;&lt;span class="carc-badge co"&gt;PR 96&lt;/span&gt;&lt;/td&gt;&lt;td style="font-weight:500;"&gt;Non-Covered Charge&lt;/td&gt;&lt;td class="rarc-wrap"&gt;&lt;div class="rarc-id"&gt;N830&lt;/div&gt;&lt;div class="rarc-desc"&gt;Patient elected non-covered service&lt;/div&gt;&lt;/td&gt;&lt;td class="td-sm"&gt;The claim was processed according to Federal or State balance billing and No Surprises Act regulations. The provider cannot bill the patient for amounts assigned under OA, CO, or PI group codes. Only the PR (patient responsibility) portion, if any, may be billed.&lt;br&gt;• Emergency services provided at an out-of-network facility&lt;br&gt;• Out-of-network provider treating patient at in-network hospital&lt;br&gt;• Surprise billing scenario (anesthesiology, radiology, pathology)&lt;br&gt;• Air ambulance services subject to federal protections&lt;br&gt;• State-regulated balance billing protections applied&lt;/td&gt;&lt;td&gt;&lt;div class="chip-row"&gt;&lt;span class="chip chip-red"&gt;Out-of-network provider involvement in protected service setting&lt;/span&gt;&lt;span class="chip chip-red"&gt;Contract status mismatch (provider vs facility network)&lt;/span&gt;&lt;/div&gt;&lt;/td&gt;&lt;td class="td-sm"&gt;• Review EOB to identify allowable patient responsibility (PR amount only)&lt;br&gt;• Bill secondary payer if applicable&lt;br&gt;• Appeal through federal/state grievance process if payment incorrect&lt;/td&gt;&lt;td class="td-sm"&gt;• Verify network status of all providers involved in care&lt;br&gt;• Educate billing teams on No Surprises Act requirements&lt;br&gt;• Implement compliance checks for protected services&lt;/td&gt;&lt;/tr&gt;</v>
      </c>
    </row>
    <row r="36" spans="1:9" ht="60" customHeight="1" x14ac:dyDescent="0.2">
      <c r="A36" s="28" t="s">
        <v>2502</v>
      </c>
      <c r="B36" s="29" t="s">
        <v>2503</v>
      </c>
      <c r="C36" s="30" t="s">
        <v>2504</v>
      </c>
      <c r="D36" s="33" t="s">
        <v>2505</v>
      </c>
      <c r="E36" s="33"/>
      <c r="F36" s="33" t="s">
        <v>2506</v>
      </c>
      <c r="G36" s="33" t="s">
        <v>2507</v>
      </c>
      <c r="H36" s="38" t="s">
        <v>2508</v>
      </c>
      <c r="I36" s="33"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16" data-rarc="M119 — Missing/incomplete/invalid/ deactivated/withdrawn National Drug Code (NDC)."data-denial="The claim includes a drug or medication charge that requires a valid National Drug Code (NDC), but the submitted NDC is missing, incorrect, inactive, deactivated, or not recognized by the payer system. Because of this, the drug line item is denied or considered non-covered.\n• Injectable medication billed without NDC number\n• NDC entered with incorrect format (missing digits or wrong units)\n• NDC submitted that has been discontinued or withdrawn\n• Billing outdated NDC after manufacturer change\n• Units of measure not matching NDC quantity\n• J-code billed without required NDC information"data-denial=""data-root="• NDC not captured during charge entry\n• Incorrect NDC format (11-digit conversion errors)\n• Outdated or discontinued NDC used\n• Billing staff unaware of NDC requirement\n• Units mismatch between CPT/J-code and NDC\n• Drug database not updated in system"&gt;&lt;td&gt;&lt;span class="carc-badge co"&gt;CO 16&lt;/span&gt;&lt;/td&gt;&lt;td style="font-weight:500;"&gt;Lack of Information&lt;/td&gt;&lt;td class="rarc-wrap"&gt;&lt;div class="rarc-id"&gt;M119&lt;/div&gt;&lt;div class="rarc-desc"&gt;Missing/incomplete/invalid/ deactivated/withdrawn National Drug Code (NDC).&lt;/div&gt;&lt;/td&gt;&lt;td class="td-sm"&gt;The claim includes a drug or medication charge that requires a valid National Drug Code (NDC), but the submitted NDC is missing, incorrect, inactive, deactivated, or not recognized by the payer system. Because of this, the drug line item is denied or considered non-covered.&lt;br&gt;• Injectable medication billed without NDC number&lt;br&gt;• NDC entered with incorrect format (missing digits or wrong units)&lt;br&gt;• NDC submitted that has been discontinued or withdrawn&lt;br&gt;• Billing outdated NDC after manufacturer change&lt;br&gt;• Units of measure not matching NDC quantity&lt;br&gt;• J-code billed without required NDC information&lt;/td&gt;&lt;td&gt;&lt;div class="chip-row"&gt;&lt;span class="chip chip-red"&gt;NDC not captured during charge entry&lt;/span&gt;&lt;span class="chip chip-red"&gt;Incorrect NDC format (11-digit conversion errors)&lt;/span&gt;&lt;span class="chip chip-red"&gt;Outdated or discontinued NDC used&lt;/span&gt;&lt;span class="chip chip-red"&gt;Billing staff unaware of NDC requirement&lt;/span&gt;&lt;span class="chip chip-red"&gt;Units mismatch between CPT/J-code and NDC&lt;/span&gt;&lt;span class="chip chip-red"&gt;Drug database not updated in system&lt;/span&gt;&lt;/div&gt;&lt;/td&gt;&lt;td class="td-sm"&gt;• Verify correct NDC from medication label or pharmacy record&lt;br&gt;• Correct NDC format (11-digit 5-4-2 format with leading zeros)&lt;br&gt;• Confirm units and quantity billed match NDC requirements&lt;br&gt;• Rebill corrected claim with valid NDC information&lt;br&gt;• Appeal if payer error suspected&lt;br&gt;• Write-off only if drug not covered under policy&lt;/td&gt;&lt;td class="td-sm"&gt;• Maintain updated NDC drug database&lt;br&gt;• Barcode or medication label capture workflow&lt;br&gt;• Billing system validation edits for NDC format&lt;br&gt;• Staff training on NDC billing requirements&lt;br&gt;• Pre-bill audit for drug claims&lt;br&gt;• Pharmacy and billing coordination&lt;/td&gt;&lt;/tr&gt;</v>
      </c>
    </row>
    <row r="37" spans="1:9" ht="409.5" x14ac:dyDescent="0.2">
      <c r="A37" s="39" t="s">
        <v>2517</v>
      </c>
      <c r="B37" s="41" t="s">
        <v>2518</v>
      </c>
      <c r="C37" s="41" t="s">
        <v>3635</v>
      </c>
      <c r="D37" s="13" t="s">
        <v>3637</v>
      </c>
      <c r="E37" s="13" t="s">
        <v>3638</v>
      </c>
      <c r="F37" s="13" t="s">
        <v>3632</v>
      </c>
      <c r="G37" s="13" t="s">
        <v>3634</v>
      </c>
      <c r="H37" s="14" t="s">
        <v>3633</v>
      </c>
      <c r="I37" s="13" t="str">
        <f>"&lt;tr data-carc="""&amp;Table4[[#This Row],[CARC CODE]]&amp;""" data-rarc="""&amp;Table4[[#This Row],[RARC / REMARKS]]&amp;""""&amp;
"data-denial="""&amp;SUBSTITUTE(TRIM(Table4[[#This Row],[MEANING &amp; EXAMPLES]]),CHAR(10),"\n")&amp;""""&amp;
"data-denial="""&amp;SUBSTITUTE(TRIM(Table4[[#This Row],[REAL SCENARIOS]]),CHAR(10),"\n")&amp;""""&amp;
"data-root="""&amp;SUBSTITUTE(TRIM(Table4[[#This Row],[ROOT CAUSE]]),CHAR(10),"\n")&amp;"""&gt;"&amp;
"&lt;td&gt;&lt;span class=""carc-badge co""&gt;"&amp;Table4[[#This Row],[CARC CODE]]&amp;"&lt;/span&gt;&lt;/td&gt;"&amp;
"&lt;td style=""font-weight:500;""&gt;"&amp;Table4[[#This Row],[DENIAL REASON]]&amp;"&lt;/td&gt;"&amp;
"&lt;td class=""rarc-wrap""&gt;&lt;div class=""rarc-id""&gt;"&amp;
LEFT(Table4[[#This Row],[RARC / REMARKS]],FIND(" ",Table4[[#This Row],[RARC / REMARKS]])-1)&amp;
"&lt;/div&gt;&lt;div class=""rarc-desc""&gt;"&amp;
TRIM(MID(Table4[[#This Row],[RARC / REMARKS]],FIND("—",Table4[[#This Row],[RARC / REMARKS]])+1,999))&amp;
"&lt;/div&gt;&lt;/td&gt;"&amp;
"&lt;td class=""td-sm""&gt;"&amp;
SUBSTITUTE(TRIM(Table4[[#This Row],[MEANING &amp; EXAMPLES]]),CHAR(10),"&lt;br&gt;")&amp;
"&lt;/td&gt;"&amp;
"&lt;td&gt;&lt;div class=""chip-row""&gt;&lt;span class=""chip chip-red""&gt;"&amp;
SUBSTITUTE(SUBSTITUTE(SUBSTITUTE(TRIM(Table4[[#This Row],[ROOT CAUSE]]),"• ",""),CHAR(10),"|"),"|","&lt;/span&gt;&lt;span class=""chip chip-red""&gt;")&amp;
"&lt;/span&gt;&lt;/div&gt;&lt;/td&gt;"&amp;
"&lt;td class=""td-sm""&gt;"&amp;
SUBSTITUTE(TRIM(Table4[[#This Row],[RESOLUTION STEPS]]),CHAR(10),"&lt;br&gt;")&amp;
"&lt;/td&gt;"&amp;
"&lt;td class=""td-sm""&gt;"&amp;
SUBSTITUTE(TRIM(Table4[[#This Row],[PREVENTION]]),CHAR(10),"&lt;br&gt;")&amp;
"&lt;/td&gt;"&amp;
"&lt;/tr&gt;"</f>
        <v>&lt;tr data-carc="CO 18" data-rarc="N522 — Duplicate of a claim processed, as a crossover claim."data-denial="The claim is an exact duplicate of one already processed or in process (same patient, date of service, provider, codes, etc.). No payment issued; often seen in general duplicates or Medicare crossover cases where claim was auto-forwarded."data-denial="• Resubmitted identical claim by mistake or due to system glitch.\n• Billed same procedure twice without modifier (e.g., two identical office visits same day).\n• Submitted to secondary payer while primary (e.g., Medicare) processes/crossover pending.\n• Billing system auto-follow-up triggered duplicate.\n• Corrected claim sent without proper replacement indicator."data-root="• Provider billed secondary payer prematurely before crossover completed\n• Duplicate claim submission from billing system\n• Patient insurance sequence not verified properly"&gt;&lt;td&gt;&lt;span class="carc-badge co"&gt;CO 18&lt;/span&gt;&lt;/td&gt;&lt;td style="font-weight:500;"&gt;Duplicate&lt;/td&gt;&lt;td class="rarc-wrap"&gt;&lt;div class="rarc-id"&gt;N522&lt;/div&gt;&lt;div class="rarc-desc"&gt;Duplicate of a claim processed, as a crossover claim.&lt;/div&gt;&lt;/td&gt;&lt;td class="td-sm"&gt;The claim is an exact duplicate of one already processed or in process (same patient, date of service, provider, codes, etc.). No payment issued; often seen in general duplicates or Medicare crossover cases where claim was auto-forwarded.&lt;/td&gt;&lt;td&gt;&lt;div class="chip-row"&gt;&lt;span class="chip chip-red"&gt;Provider billed secondary payer prematurely before crossover completed&lt;/span&gt;&lt;span class="chip chip-red"&gt;Duplicate claim submission from billing system&lt;/span&gt;&lt;span class="chip chip-red"&gt;Patient insurance sequence not verified properly&lt;/span&gt;&lt;/div&gt;&lt;/td&gt;&lt;td class="td-sm"&gt;• Check Medicare crossover confirmation (ERA/EOB remark)&lt;br&gt;• Confirm if secondary payer received claim via crossover&lt;br&gt;• Do not rebill if crossover pending or completed&lt;br&gt;• Rebill only if crossover failed and payer confirms resubmission required&lt;br&gt;• Adjust duplicate claim if already processed&lt;/td&gt;&lt;td class="td-sm"&gt;• Verify crossover indicator in ERA before rebilling&lt;br&gt;• Monitor payer acknowledgment reports before resubmission&lt;/td&gt;&lt;/tr&gt;</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754A-D8C2-476C-BF9D-4EC40674A785}">
  <dimension ref="A1:E1114"/>
  <sheetViews>
    <sheetView zoomScale="115" zoomScaleNormal="115" workbookViewId="0">
      <selection activeCell="C1" sqref="C1"/>
    </sheetView>
  </sheetViews>
  <sheetFormatPr defaultRowHeight="15" x14ac:dyDescent="0.25"/>
  <cols>
    <col min="1" max="1" width="11.42578125" customWidth="1"/>
    <col min="2" max="2" width="50.7109375" customWidth="1"/>
    <col min="4" max="4" width="10.85546875" bestFit="1" customWidth="1"/>
    <col min="5" max="5" width="9.7109375" bestFit="1" customWidth="1"/>
  </cols>
  <sheetData>
    <row r="1" spans="1:5" x14ac:dyDescent="0.25">
      <c r="A1" s="9" t="s">
        <v>2220</v>
      </c>
      <c r="B1" s="10" t="s">
        <v>2221</v>
      </c>
      <c r="C1" s="15" t="s">
        <v>2519</v>
      </c>
      <c r="D1" s="15" t="s">
        <v>3693</v>
      </c>
      <c r="E1" s="15" t="s">
        <v>2456</v>
      </c>
    </row>
    <row r="2" spans="1:5" x14ac:dyDescent="0.25">
      <c r="A2" s="5" t="s">
        <v>181</v>
      </c>
      <c r="B2" s="7" t="s">
        <v>182</v>
      </c>
      <c r="C2" s="7" t="s">
        <v>2521</v>
      </c>
      <c r="D2" s="7"/>
      <c r="E2" t="str">
        <f>_xlfn.XLOOKUP(Table2[[#This Row],[RARC CODE]],'New Rarc Code'!A2:A919,'New Rarc Code'!C2:C919,"Not Active")</f>
        <v>Active</v>
      </c>
    </row>
    <row r="3" spans="1:5" x14ac:dyDescent="0.25">
      <c r="A3" s="5" t="s">
        <v>196</v>
      </c>
      <c r="B3" s="7" t="s">
        <v>197</v>
      </c>
      <c r="C3" s="7" t="s">
        <v>2522</v>
      </c>
      <c r="D3" s="7"/>
      <c r="E3" t="str">
        <f>_xlfn.XLOOKUP(Table2[[#This Row],[RARC CODE]],'New Rarc Code'!A3:A920,'New Rarc Code'!C3:C920,"Not Active")</f>
        <v>Active</v>
      </c>
    </row>
    <row r="4" spans="1:5" x14ac:dyDescent="0.25">
      <c r="A4" s="5" t="s">
        <v>341</v>
      </c>
      <c r="B4" s="7" t="s">
        <v>342</v>
      </c>
      <c r="C4" s="7" t="s">
        <v>2523</v>
      </c>
      <c r="D4" s="7"/>
      <c r="E4" t="str">
        <f>_xlfn.XLOOKUP(Table2[[#This Row],[RARC CODE]],'New Rarc Code'!A4:A921,'New Rarc Code'!C4:C921,"Not Active")</f>
        <v>Not Active</v>
      </c>
    </row>
    <row r="5" spans="1:5" x14ac:dyDescent="0.25">
      <c r="A5" s="5" t="s">
        <v>343</v>
      </c>
      <c r="B5" s="7" t="s">
        <v>344</v>
      </c>
      <c r="C5" s="7" t="s">
        <v>2524</v>
      </c>
      <c r="D5" s="7"/>
      <c r="E5" t="str">
        <f>_xlfn.XLOOKUP(Table2[[#This Row],[RARC CODE]],'New Rarc Code'!A5:A922,'New Rarc Code'!C5:C922,"Not Active")</f>
        <v>Active</v>
      </c>
    </row>
    <row r="6" spans="1:5" x14ac:dyDescent="0.25">
      <c r="A6" s="5" t="s">
        <v>345</v>
      </c>
      <c r="B6" s="7" t="s">
        <v>346</v>
      </c>
      <c r="C6" s="7" t="s">
        <v>2525</v>
      </c>
      <c r="D6" s="7"/>
      <c r="E6" t="str">
        <f>_xlfn.XLOOKUP(Table2[[#This Row],[RARC CODE]],'New Rarc Code'!A6:A923,'New Rarc Code'!C6:C923,"Not Active")</f>
        <v>Active</v>
      </c>
    </row>
    <row r="7" spans="1:5" x14ac:dyDescent="0.25">
      <c r="A7" s="5" t="s">
        <v>347</v>
      </c>
      <c r="B7" s="7" t="s">
        <v>348</v>
      </c>
      <c r="C7" s="7" t="s">
        <v>2526</v>
      </c>
      <c r="D7" s="7"/>
      <c r="E7" t="str">
        <f>_xlfn.XLOOKUP(Table2[[#This Row],[RARC CODE]],'New Rarc Code'!A7:A924,'New Rarc Code'!C7:C924,"Not Active")</f>
        <v>Not Active</v>
      </c>
    </row>
    <row r="8" spans="1:5" x14ac:dyDescent="0.25">
      <c r="A8" s="5" t="s">
        <v>349</v>
      </c>
      <c r="B8" s="7" t="s">
        <v>350</v>
      </c>
      <c r="C8" s="7" t="s">
        <v>2527</v>
      </c>
      <c r="D8" s="7"/>
      <c r="E8" t="str">
        <f>_xlfn.XLOOKUP(Table2[[#This Row],[RARC CODE]],'New Rarc Code'!A8:A925,'New Rarc Code'!C8:C925,"Not Active")</f>
        <v>Not Active</v>
      </c>
    </row>
    <row r="9" spans="1:5" x14ac:dyDescent="0.25">
      <c r="A9" s="5" t="s">
        <v>351</v>
      </c>
      <c r="B9" s="7" t="s">
        <v>352</v>
      </c>
      <c r="C9" s="7" t="s">
        <v>2528</v>
      </c>
      <c r="D9" s="7"/>
      <c r="E9" t="str">
        <f>_xlfn.XLOOKUP(Table2[[#This Row],[RARC CODE]],'New Rarc Code'!A9:A926,'New Rarc Code'!C9:C926,"Not Active")</f>
        <v>Active</v>
      </c>
    </row>
    <row r="10" spans="1:5" x14ac:dyDescent="0.25">
      <c r="A10" s="5" t="s">
        <v>353</v>
      </c>
      <c r="B10" s="7" t="s">
        <v>354</v>
      </c>
      <c r="C10" s="7" t="s">
        <v>2529</v>
      </c>
      <c r="D10" s="7"/>
      <c r="E10" t="str">
        <f>_xlfn.XLOOKUP(Table2[[#This Row],[RARC CODE]],'New Rarc Code'!A10:A927,'New Rarc Code'!C10:C927,"Not Active")</f>
        <v>Active</v>
      </c>
    </row>
    <row r="11" spans="1:5" x14ac:dyDescent="0.25">
      <c r="A11" s="5" t="s">
        <v>198</v>
      </c>
      <c r="B11" s="7" t="s">
        <v>199</v>
      </c>
      <c r="C11" s="7" t="s">
        <v>2530</v>
      </c>
      <c r="D11" s="7"/>
      <c r="E11" t="str">
        <f>_xlfn.XLOOKUP(Table2[[#This Row],[RARC CODE]],'New Rarc Code'!A11:A928,'New Rarc Code'!C11:C928,"Not Active")</f>
        <v>Active</v>
      </c>
    </row>
    <row r="12" spans="1:5" x14ac:dyDescent="0.25">
      <c r="A12" s="5" t="s">
        <v>355</v>
      </c>
      <c r="B12" s="7" t="s">
        <v>356</v>
      </c>
      <c r="C12" s="7" t="s">
        <v>2531</v>
      </c>
      <c r="D12" s="7"/>
      <c r="E12" t="str">
        <f>_xlfn.XLOOKUP(Table2[[#This Row],[RARC CODE]],'New Rarc Code'!A12:A929,'New Rarc Code'!C12:C929,"Not Active")</f>
        <v>Active</v>
      </c>
    </row>
    <row r="13" spans="1:5" x14ac:dyDescent="0.25">
      <c r="A13" s="5" t="s">
        <v>357</v>
      </c>
      <c r="B13" s="7" t="s">
        <v>358</v>
      </c>
      <c r="C13" s="7" t="s">
        <v>2532</v>
      </c>
      <c r="D13" s="7"/>
      <c r="E13" t="str">
        <f>_xlfn.XLOOKUP(Table2[[#This Row],[RARC CODE]],'New Rarc Code'!A13:A930,'New Rarc Code'!C13:C930,"Not Active")</f>
        <v>Active</v>
      </c>
    </row>
    <row r="14" spans="1:5" x14ac:dyDescent="0.25">
      <c r="A14" s="5" t="s">
        <v>359</v>
      </c>
      <c r="B14" s="7" t="s">
        <v>360</v>
      </c>
      <c r="C14" s="7" t="s">
        <v>2533</v>
      </c>
      <c r="D14" s="7"/>
      <c r="E14" t="str">
        <f>_xlfn.XLOOKUP(Table2[[#This Row],[RARC CODE]],'New Rarc Code'!A14:A931,'New Rarc Code'!C14:C931,"Not Active")</f>
        <v>Active</v>
      </c>
    </row>
    <row r="15" spans="1:5" x14ac:dyDescent="0.25">
      <c r="A15" s="5" t="s">
        <v>361</v>
      </c>
      <c r="B15" s="7" t="s">
        <v>362</v>
      </c>
      <c r="C15" s="7" t="s">
        <v>2534</v>
      </c>
      <c r="D15" s="7"/>
      <c r="E15" t="str">
        <f>_xlfn.XLOOKUP(Table2[[#This Row],[RARC CODE]],'New Rarc Code'!A15:A932,'New Rarc Code'!C15:C932,"Not Active")</f>
        <v>Active</v>
      </c>
    </row>
    <row r="16" spans="1:5" x14ac:dyDescent="0.25">
      <c r="A16" s="5" t="s">
        <v>363</v>
      </c>
      <c r="B16" s="7" t="s">
        <v>364</v>
      </c>
      <c r="C16" s="7" t="s">
        <v>2535</v>
      </c>
      <c r="D16" s="7"/>
      <c r="E16" t="str">
        <f>_xlfn.XLOOKUP(Table2[[#This Row],[RARC CODE]],'New Rarc Code'!A16:A933,'New Rarc Code'!C16:C933,"Not Active")</f>
        <v>Active</v>
      </c>
    </row>
    <row r="17" spans="1:5" x14ac:dyDescent="0.25">
      <c r="A17" s="5" t="s">
        <v>365</v>
      </c>
      <c r="B17" s="7" t="s">
        <v>366</v>
      </c>
      <c r="C17" s="7" t="s">
        <v>2536</v>
      </c>
      <c r="D17" s="7"/>
      <c r="E17" t="str">
        <f>_xlfn.XLOOKUP(Table2[[#This Row],[RARC CODE]],'New Rarc Code'!A17:A934,'New Rarc Code'!C17:C934,"Not Active")</f>
        <v>Active</v>
      </c>
    </row>
    <row r="18" spans="1:5" x14ac:dyDescent="0.25">
      <c r="A18" s="5" t="s">
        <v>367</v>
      </c>
      <c r="B18" s="7" t="s">
        <v>368</v>
      </c>
      <c r="C18" s="7" t="s">
        <v>2537</v>
      </c>
      <c r="D18" s="7"/>
      <c r="E18" t="str">
        <f>_xlfn.XLOOKUP(Table2[[#This Row],[RARC CODE]],'New Rarc Code'!A18:A935,'New Rarc Code'!C18:C935,"Not Active")</f>
        <v>Not Active</v>
      </c>
    </row>
    <row r="19" spans="1:5" x14ac:dyDescent="0.25">
      <c r="A19" s="5" t="s">
        <v>369</v>
      </c>
      <c r="B19" s="7" t="s">
        <v>370</v>
      </c>
      <c r="C19" s="7" t="s">
        <v>2504</v>
      </c>
      <c r="D19" s="7"/>
      <c r="E19" t="str">
        <f>_xlfn.XLOOKUP(Table2[[#This Row],[RARC CODE]],'New Rarc Code'!A19:A936,'New Rarc Code'!C19:C936,"Not Active")</f>
        <v>Active</v>
      </c>
    </row>
    <row r="20" spans="1:5" x14ac:dyDescent="0.25">
      <c r="A20" s="5" t="s">
        <v>200</v>
      </c>
      <c r="B20" s="7" t="s">
        <v>201</v>
      </c>
      <c r="C20" s="7" t="s">
        <v>2538</v>
      </c>
      <c r="D20" s="7"/>
      <c r="E20" t="str">
        <f>_xlfn.XLOOKUP(Table2[[#This Row],[RARC CODE]],'New Rarc Code'!A20:A937,'New Rarc Code'!C20:C937,"Not Active")</f>
        <v>Active</v>
      </c>
    </row>
    <row r="21" spans="1:5" x14ac:dyDescent="0.25">
      <c r="A21" s="5" t="s">
        <v>371</v>
      </c>
      <c r="B21" s="7" t="s">
        <v>372</v>
      </c>
      <c r="C21" s="7" t="s">
        <v>2539</v>
      </c>
      <c r="D21" s="7"/>
      <c r="E21" t="str">
        <f>_xlfn.XLOOKUP(Table2[[#This Row],[RARC CODE]],'New Rarc Code'!A21:A938,'New Rarc Code'!C21:C938,"Not Active")</f>
        <v>Active</v>
      </c>
    </row>
    <row r="22" spans="1:5" x14ac:dyDescent="0.25">
      <c r="A22" s="5" t="s">
        <v>373</v>
      </c>
      <c r="B22" s="7" t="s">
        <v>374</v>
      </c>
      <c r="C22" s="7" t="s">
        <v>2540</v>
      </c>
      <c r="D22" s="7"/>
      <c r="E22" t="str">
        <f>_xlfn.XLOOKUP(Table2[[#This Row],[RARC CODE]],'New Rarc Code'!A22:A939,'New Rarc Code'!C22:C939,"Not Active")</f>
        <v>Active</v>
      </c>
    </row>
    <row r="23" spans="1:5" x14ac:dyDescent="0.25">
      <c r="A23" s="5" t="s">
        <v>375</v>
      </c>
      <c r="B23" s="7" t="s">
        <v>376</v>
      </c>
      <c r="C23" s="7" t="s">
        <v>2541</v>
      </c>
      <c r="D23" s="7"/>
      <c r="E23" t="str">
        <f>_xlfn.XLOOKUP(Table2[[#This Row],[RARC CODE]],'New Rarc Code'!A23:A940,'New Rarc Code'!C23:C940,"Not Active")</f>
        <v>Active</v>
      </c>
    </row>
    <row r="24" spans="1:5" x14ac:dyDescent="0.25">
      <c r="A24" s="5" t="s">
        <v>377</v>
      </c>
      <c r="B24" s="7" t="s">
        <v>378</v>
      </c>
      <c r="C24" s="7" t="s">
        <v>2542</v>
      </c>
      <c r="D24" s="7"/>
      <c r="E24" t="str">
        <f>_xlfn.XLOOKUP(Table2[[#This Row],[RARC CODE]],'New Rarc Code'!A24:A941,'New Rarc Code'!C24:C941,"Not Active")</f>
        <v>Active</v>
      </c>
    </row>
    <row r="25" spans="1:5" x14ac:dyDescent="0.25">
      <c r="A25" s="5" t="s">
        <v>379</v>
      </c>
      <c r="B25" s="7" t="s">
        <v>380</v>
      </c>
      <c r="C25" s="7" t="s">
        <v>2543</v>
      </c>
      <c r="D25" s="7"/>
      <c r="E25" t="str">
        <f>_xlfn.XLOOKUP(Table2[[#This Row],[RARC CODE]],'New Rarc Code'!A25:A942,'New Rarc Code'!C25:C942,"Not Active")</f>
        <v>Active</v>
      </c>
    </row>
    <row r="26" spans="1:5" x14ac:dyDescent="0.25">
      <c r="A26" s="5" t="s">
        <v>381</v>
      </c>
      <c r="B26" s="7" t="s">
        <v>382</v>
      </c>
      <c r="C26" s="7" t="s">
        <v>2544</v>
      </c>
      <c r="D26" s="7"/>
      <c r="E26" t="str">
        <f>_xlfn.XLOOKUP(Table2[[#This Row],[RARC CODE]],'New Rarc Code'!A26:A943,'New Rarc Code'!C26:C943,"Not Active")</f>
        <v>Active</v>
      </c>
    </row>
    <row r="27" spans="1:5" x14ac:dyDescent="0.25">
      <c r="A27" s="5" t="s">
        <v>383</v>
      </c>
      <c r="B27" s="7" t="s">
        <v>384</v>
      </c>
      <c r="C27" s="7" t="s">
        <v>2545</v>
      </c>
      <c r="D27" s="7" t="s">
        <v>3694</v>
      </c>
      <c r="E27" t="str">
        <f>_xlfn.XLOOKUP(Table2[[#This Row],[RARC CODE]],'New Rarc Code'!A27:A944,'New Rarc Code'!C27:C944,"Not Active")</f>
        <v>Active</v>
      </c>
    </row>
    <row r="28" spans="1:5" x14ac:dyDescent="0.25">
      <c r="A28" s="5" t="s">
        <v>385</v>
      </c>
      <c r="B28" s="7" t="s">
        <v>386</v>
      </c>
      <c r="C28" s="7" t="s">
        <v>2546</v>
      </c>
      <c r="D28" s="7"/>
      <c r="E28" t="str">
        <f>_xlfn.XLOOKUP(Table2[[#This Row],[RARC CODE]],'New Rarc Code'!A28:A945,'New Rarc Code'!C28:C945,"Not Active")</f>
        <v>Active</v>
      </c>
    </row>
    <row r="29" spans="1:5" x14ac:dyDescent="0.25">
      <c r="A29" s="5" t="s">
        <v>202</v>
      </c>
      <c r="B29" s="7" t="s">
        <v>203</v>
      </c>
      <c r="C29" s="7" t="s">
        <v>2547</v>
      </c>
      <c r="D29" s="7"/>
      <c r="E29" t="str">
        <f>_xlfn.XLOOKUP(Table2[[#This Row],[RARC CODE]],'New Rarc Code'!A29:A946,'New Rarc Code'!C29:C946,"Not Active")</f>
        <v>Active</v>
      </c>
    </row>
    <row r="30" spans="1:5" x14ac:dyDescent="0.25">
      <c r="A30" s="5" t="s">
        <v>387</v>
      </c>
      <c r="B30" s="7" t="s">
        <v>388</v>
      </c>
      <c r="C30" s="7" t="s">
        <v>2548</v>
      </c>
      <c r="D30" s="7"/>
      <c r="E30" t="str">
        <f>_xlfn.XLOOKUP(Table2[[#This Row],[RARC CODE]],'New Rarc Code'!A30:A947,'New Rarc Code'!C30:C947,"Not Active")</f>
        <v>Active</v>
      </c>
    </row>
    <row r="31" spans="1:5" x14ac:dyDescent="0.25">
      <c r="A31" s="5" t="s">
        <v>389</v>
      </c>
      <c r="B31" s="7" t="s">
        <v>390</v>
      </c>
      <c r="C31" s="7" t="s">
        <v>2549</v>
      </c>
      <c r="D31" s="7"/>
      <c r="E31" t="str">
        <f>_xlfn.XLOOKUP(Table2[[#This Row],[RARC CODE]],'New Rarc Code'!A31:A948,'New Rarc Code'!C31:C948,"Not Active")</f>
        <v>Active</v>
      </c>
    </row>
    <row r="32" spans="1:5" x14ac:dyDescent="0.25">
      <c r="A32" s="5" t="s">
        <v>391</v>
      </c>
      <c r="B32" s="7" t="s">
        <v>392</v>
      </c>
      <c r="C32" s="7" t="s">
        <v>2550</v>
      </c>
      <c r="D32" s="7"/>
      <c r="E32" t="str">
        <f>_xlfn.XLOOKUP(Table2[[#This Row],[RARC CODE]],'New Rarc Code'!A32:A949,'New Rarc Code'!C32:C949,"Not Active")</f>
        <v>Not Active</v>
      </c>
    </row>
    <row r="33" spans="1:5" x14ac:dyDescent="0.25">
      <c r="A33" s="5" t="s">
        <v>393</v>
      </c>
      <c r="B33" s="7" t="s">
        <v>394</v>
      </c>
      <c r="C33" s="7" t="s">
        <v>2551</v>
      </c>
      <c r="D33" s="7"/>
      <c r="E33" t="str">
        <f>_xlfn.XLOOKUP(Table2[[#This Row],[RARC CODE]],'New Rarc Code'!A33:A950,'New Rarc Code'!C33:C950,"Not Active")</f>
        <v>Active</v>
      </c>
    </row>
    <row r="34" spans="1:5" x14ac:dyDescent="0.25">
      <c r="A34" s="5" t="s">
        <v>395</v>
      </c>
      <c r="B34" s="7" t="s">
        <v>396</v>
      </c>
      <c r="C34" s="7" t="s">
        <v>2552</v>
      </c>
      <c r="D34" s="7"/>
      <c r="E34" t="str">
        <f>_xlfn.XLOOKUP(Table2[[#This Row],[RARC CODE]],'New Rarc Code'!A34:A951,'New Rarc Code'!C34:C951,"Not Active")</f>
        <v>Active</v>
      </c>
    </row>
    <row r="35" spans="1:5" x14ac:dyDescent="0.25">
      <c r="A35" s="5" t="s">
        <v>397</v>
      </c>
      <c r="B35" s="7" t="s">
        <v>398</v>
      </c>
      <c r="C35" s="7" t="s">
        <v>2553</v>
      </c>
      <c r="D35" s="7"/>
      <c r="E35" t="str">
        <f>_xlfn.XLOOKUP(Table2[[#This Row],[RARC CODE]],'New Rarc Code'!A35:A952,'New Rarc Code'!C35:C952,"Not Active")</f>
        <v>Active</v>
      </c>
    </row>
    <row r="36" spans="1:5" x14ac:dyDescent="0.25">
      <c r="A36" s="5" t="s">
        <v>399</v>
      </c>
      <c r="B36" s="7" t="s">
        <v>400</v>
      </c>
      <c r="C36" s="7" t="s">
        <v>2554</v>
      </c>
      <c r="D36" s="7"/>
      <c r="E36" t="str">
        <f>_xlfn.XLOOKUP(Table2[[#This Row],[RARC CODE]],'New Rarc Code'!A36:A953,'New Rarc Code'!C36:C953,"Not Active")</f>
        <v>Active</v>
      </c>
    </row>
    <row r="37" spans="1:5" x14ac:dyDescent="0.25">
      <c r="A37" s="5" t="s">
        <v>401</v>
      </c>
      <c r="B37" s="7" t="s">
        <v>402</v>
      </c>
      <c r="C37" s="7" t="s">
        <v>2555</v>
      </c>
      <c r="D37" s="7"/>
      <c r="E37" t="str">
        <f>_xlfn.XLOOKUP(Table2[[#This Row],[RARC CODE]],'New Rarc Code'!A37:A954,'New Rarc Code'!C37:C954,"Not Active")</f>
        <v>Active</v>
      </c>
    </row>
    <row r="38" spans="1:5" x14ac:dyDescent="0.25">
      <c r="A38" s="5" t="s">
        <v>403</v>
      </c>
      <c r="B38" s="7" t="s">
        <v>404</v>
      </c>
      <c r="C38" s="7" t="s">
        <v>2556</v>
      </c>
      <c r="D38" s="7"/>
      <c r="E38" t="str">
        <f>_xlfn.XLOOKUP(Table2[[#This Row],[RARC CODE]],'New Rarc Code'!A38:A955,'New Rarc Code'!C38:C955,"Not Active")</f>
        <v>Active</v>
      </c>
    </row>
    <row r="39" spans="1:5" x14ac:dyDescent="0.25">
      <c r="A39" s="5" t="s">
        <v>405</v>
      </c>
      <c r="B39" s="7" t="s">
        <v>406</v>
      </c>
      <c r="C39" s="7" t="s">
        <v>2557</v>
      </c>
      <c r="D39" s="7"/>
      <c r="E39" t="str">
        <f>_xlfn.XLOOKUP(Table2[[#This Row],[RARC CODE]],'New Rarc Code'!A39:A956,'New Rarc Code'!C39:C956,"Not Active")</f>
        <v>Active</v>
      </c>
    </row>
    <row r="40" spans="1:5" x14ac:dyDescent="0.25">
      <c r="A40" s="5" t="s">
        <v>204</v>
      </c>
      <c r="B40" s="7" t="s">
        <v>205</v>
      </c>
      <c r="C40" s="7" t="s">
        <v>2558</v>
      </c>
      <c r="D40" s="7"/>
      <c r="E40" t="str">
        <f>_xlfn.XLOOKUP(Table2[[#This Row],[RARC CODE]],'New Rarc Code'!A40:A957,'New Rarc Code'!C40:C957,"Not Active")</f>
        <v>Active</v>
      </c>
    </row>
    <row r="41" spans="1:5" x14ac:dyDescent="0.25">
      <c r="A41" s="5" t="s">
        <v>407</v>
      </c>
      <c r="B41" s="7" t="s">
        <v>408</v>
      </c>
      <c r="C41" s="7" t="s">
        <v>2559</v>
      </c>
      <c r="D41" s="7"/>
      <c r="E41" t="str">
        <f>_xlfn.XLOOKUP(Table2[[#This Row],[RARC CODE]],'New Rarc Code'!A41:A958,'New Rarc Code'!C41:C958,"Not Active")</f>
        <v>Active</v>
      </c>
    </row>
    <row r="42" spans="1:5" x14ac:dyDescent="0.25">
      <c r="A42" s="5" t="s">
        <v>409</v>
      </c>
      <c r="B42" s="7" t="s">
        <v>410</v>
      </c>
      <c r="C42" s="7" t="s">
        <v>2560</v>
      </c>
      <c r="D42" s="7"/>
      <c r="E42" t="str">
        <f>_xlfn.XLOOKUP(Table2[[#This Row],[RARC CODE]],'New Rarc Code'!A42:A959,'New Rarc Code'!C42:C959,"Not Active")</f>
        <v>Not Active</v>
      </c>
    </row>
    <row r="43" spans="1:5" x14ac:dyDescent="0.25">
      <c r="A43" s="5" t="s">
        <v>411</v>
      </c>
      <c r="B43" s="7" t="s">
        <v>412</v>
      </c>
      <c r="C43" s="7" t="s">
        <v>2561</v>
      </c>
      <c r="D43" s="7"/>
      <c r="E43" t="str">
        <f>_xlfn.XLOOKUP(Table2[[#This Row],[RARC CODE]],'New Rarc Code'!A43:A960,'New Rarc Code'!C43:C960,"Not Active")</f>
        <v>Active</v>
      </c>
    </row>
    <row r="44" spans="1:5" x14ac:dyDescent="0.25">
      <c r="A44" s="5" t="s">
        <v>413</v>
      </c>
      <c r="B44" s="7" t="s">
        <v>414</v>
      </c>
      <c r="C44" s="7" t="s">
        <v>2562</v>
      </c>
      <c r="D44" s="7"/>
      <c r="E44" t="str">
        <f>_xlfn.XLOOKUP(Table2[[#This Row],[RARC CODE]],'New Rarc Code'!A44:A961,'New Rarc Code'!C44:C961,"Not Active")</f>
        <v>Active</v>
      </c>
    </row>
    <row r="45" spans="1:5" x14ac:dyDescent="0.25">
      <c r="A45" s="5" t="s">
        <v>206</v>
      </c>
      <c r="B45" s="7" t="s">
        <v>207</v>
      </c>
      <c r="C45" s="7" t="s">
        <v>2563</v>
      </c>
      <c r="D45" s="7" t="s">
        <v>3694</v>
      </c>
      <c r="E45" t="str">
        <f>_xlfn.XLOOKUP(Table2[[#This Row],[RARC CODE]],'New Rarc Code'!A45:A962,'New Rarc Code'!C45:C962,"Not Active")</f>
        <v>Active</v>
      </c>
    </row>
    <row r="46" spans="1:5" x14ac:dyDescent="0.25">
      <c r="A46" s="5" t="s">
        <v>208</v>
      </c>
      <c r="B46" s="8" t="s">
        <v>2225</v>
      </c>
      <c r="C46" s="8" t="s">
        <v>2564</v>
      </c>
      <c r="D46" s="8" t="s">
        <v>3709</v>
      </c>
      <c r="E46" t="str">
        <f>_xlfn.XLOOKUP(Table2[[#This Row],[RARC CODE]],'New Rarc Code'!A46:A963,'New Rarc Code'!C46:C963,"Not Active")</f>
        <v>Active</v>
      </c>
    </row>
    <row r="47" spans="1:5" x14ac:dyDescent="0.25">
      <c r="A47" s="5" t="s">
        <v>209</v>
      </c>
      <c r="B47" s="8" t="s">
        <v>2226</v>
      </c>
      <c r="C47" s="8" t="s">
        <v>2565</v>
      </c>
      <c r="D47" s="8"/>
      <c r="E47" t="str">
        <f>_xlfn.XLOOKUP(Table2[[#This Row],[RARC CODE]],'New Rarc Code'!A47:A964,'New Rarc Code'!C47:C964,"Not Active")</f>
        <v>Active</v>
      </c>
    </row>
    <row r="48" spans="1:5" x14ac:dyDescent="0.25">
      <c r="A48" s="5" t="s">
        <v>210</v>
      </c>
      <c r="B48" s="7" t="s">
        <v>211</v>
      </c>
      <c r="C48" s="7" t="s">
        <v>2566</v>
      </c>
      <c r="D48" s="7"/>
      <c r="E48" t="str">
        <f>_xlfn.XLOOKUP(Table2[[#This Row],[RARC CODE]],'New Rarc Code'!A48:A965,'New Rarc Code'!C48:C965,"Not Active")</f>
        <v>Active</v>
      </c>
    </row>
    <row r="49" spans="1:5" x14ac:dyDescent="0.25">
      <c r="A49" s="5" t="s">
        <v>212</v>
      </c>
      <c r="B49" s="7" t="s">
        <v>213</v>
      </c>
      <c r="C49" s="7" t="s">
        <v>2567</v>
      </c>
      <c r="D49" s="7"/>
      <c r="E49" t="str">
        <f>_xlfn.XLOOKUP(Table2[[#This Row],[RARC CODE]],'New Rarc Code'!A49:A966,'New Rarc Code'!C49:C966,"Not Active")</f>
        <v>Active</v>
      </c>
    </row>
    <row r="50" spans="1:5" x14ac:dyDescent="0.25">
      <c r="A50" s="5" t="s">
        <v>183</v>
      </c>
      <c r="B50" s="7" t="s">
        <v>184</v>
      </c>
      <c r="C50" s="7" t="s">
        <v>2568</v>
      </c>
      <c r="D50" s="7"/>
      <c r="E50" t="str">
        <f>_xlfn.XLOOKUP(Table2[[#This Row],[RARC CODE]],'New Rarc Code'!A50:A967,'New Rarc Code'!C50:C967,"Not Active")</f>
        <v>Active</v>
      </c>
    </row>
    <row r="51" spans="1:5" x14ac:dyDescent="0.25">
      <c r="A51" s="5" t="s">
        <v>214</v>
      </c>
      <c r="B51" s="7" t="s">
        <v>215</v>
      </c>
      <c r="C51" s="7" t="s">
        <v>2569</v>
      </c>
      <c r="D51" s="7"/>
      <c r="E51" t="str">
        <f>_xlfn.XLOOKUP(Table2[[#This Row],[RARC CODE]],'New Rarc Code'!A51:A968,'New Rarc Code'!C51:C968,"Not Active")</f>
        <v>Not Active</v>
      </c>
    </row>
    <row r="52" spans="1:5" x14ac:dyDescent="0.25">
      <c r="A52" s="5" t="s">
        <v>216</v>
      </c>
      <c r="B52" s="7" t="s">
        <v>217</v>
      </c>
      <c r="C52" s="7" t="s">
        <v>2570</v>
      </c>
      <c r="D52" s="7"/>
      <c r="E52" t="str">
        <f>_xlfn.XLOOKUP(Table2[[#This Row],[RARC CODE]],'New Rarc Code'!A52:A969,'New Rarc Code'!C52:C969,"Not Active")</f>
        <v>Active</v>
      </c>
    </row>
    <row r="53" spans="1:5" x14ac:dyDescent="0.25">
      <c r="A53" s="5" t="s">
        <v>218</v>
      </c>
      <c r="B53" s="7" t="s">
        <v>219</v>
      </c>
      <c r="C53" s="7" t="s">
        <v>2571</v>
      </c>
      <c r="D53" s="7"/>
      <c r="E53" t="str">
        <f>_xlfn.XLOOKUP(Table2[[#This Row],[RARC CODE]],'New Rarc Code'!A53:A970,'New Rarc Code'!C53:C970,"Not Active")</f>
        <v>Active</v>
      </c>
    </row>
    <row r="54" spans="1:5" x14ac:dyDescent="0.25">
      <c r="A54" s="5" t="s">
        <v>220</v>
      </c>
      <c r="B54" s="7" t="s">
        <v>221</v>
      </c>
      <c r="C54" s="7" t="s">
        <v>2572</v>
      </c>
      <c r="D54" s="7"/>
      <c r="E54" t="str">
        <f>_xlfn.XLOOKUP(Table2[[#This Row],[RARC CODE]],'New Rarc Code'!A54:A971,'New Rarc Code'!C54:C971,"Not Active")</f>
        <v>Active</v>
      </c>
    </row>
    <row r="55" spans="1:5" x14ac:dyDescent="0.25">
      <c r="A55" s="5" t="s">
        <v>222</v>
      </c>
      <c r="B55" s="7" t="s">
        <v>223</v>
      </c>
      <c r="C55" s="7" t="s">
        <v>2573</v>
      </c>
      <c r="D55" s="7"/>
      <c r="E55" t="str">
        <f>_xlfn.XLOOKUP(Table2[[#This Row],[RARC CODE]],'New Rarc Code'!A55:A972,'New Rarc Code'!C55:C972,"Not Active")</f>
        <v>Active</v>
      </c>
    </row>
    <row r="56" spans="1:5" x14ac:dyDescent="0.25">
      <c r="A56" s="5" t="s">
        <v>224</v>
      </c>
      <c r="B56" s="7" t="s">
        <v>225</v>
      </c>
      <c r="C56" s="7" t="s">
        <v>2574</v>
      </c>
      <c r="D56" s="7"/>
      <c r="E56" t="str">
        <f>_xlfn.XLOOKUP(Table2[[#This Row],[RARC CODE]],'New Rarc Code'!A56:A973,'New Rarc Code'!C56:C973,"Not Active")</f>
        <v>Active</v>
      </c>
    </row>
    <row r="57" spans="1:5" x14ac:dyDescent="0.25">
      <c r="A57" s="5" t="s">
        <v>226</v>
      </c>
      <c r="B57" s="7" t="s">
        <v>227</v>
      </c>
      <c r="C57" s="7" t="s">
        <v>2575</v>
      </c>
      <c r="D57" s="7"/>
      <c r="E57" t="str">
        <f>_xlfn.XLOOKUP(Table2[[#This Row],[RARC CODE]],'New Rarc Code'!A57:A974,'New Rarc Code'!C57:C974,"Not Active")</f>
        <v>Active</v>
      </c>
    </row>
    <row r="58" spans="1:5" x14ac:dyDescent="0.25">
      <c r="A58" s="5" t="s">
        <v>228</v>
      </c>
      <c r="B58" s="8" t="s">
        <v>2227</v>
      </c>
      <c r="C58" s="8" t="s">
        <v>2576</v>
      </c>
      <c r="D58" s="8"/>
      <c r="E58" t="str">
        <f>_xlfn.XLOOKUP(Table2[[#This Row],[RARC CODE]],'New Rarc Code'!A58:A975,'New Rarc Code'!C58:C975,"Not Active")</f>
        <v>Active</v>
      </c>
    </row>
    <row r="59" spans="1:5" x14ac:dyDescent="0.25">
      <c r="A59" s="5" t="s">
        <v>229</v>
      </c>
      <c r="B59" s="7" t="s">
        <v>230</v>
      </c>
      <c r="C59" s="7" t="s">
        <v>2577</v>
      </c>
      <c r="D59" s="7"/>
      <c r="E59" t="str">
        <f>_xlfn.XLOOKUP(Table2[[#This Row],[RARC CODE]],'New Rarc Code'!A59:A976,'New Rarc Code'!C59:C976,"Not Active")</f>
        <v>Active</v>
      </c>
    </row>
    <row r="60" spans="1:5" x14ac:dyDescent="0.25">
      <c r="A60" s="5" t="s">
        <v>231</v>
      </c>
      <c r="B60" s="7" t="s">
        <v>232</v>
      </c>
      <c r="C60" s="7" t="s">
        <v>2578</v>
      </c>
      <c r="D60" s="7"/>
      <c r="E60" t="str">
        <f>_xlfn.XLOOKUP(Table2[[#This Row],[RARC CODE]],'New Rarc Code'!A60:A977,'New Rarc Code'!C60:C977,"Not Active")</f>
        <v>Active</v>
      </c>
    </row>
    <row r="61" spans="1:5" x14ac:dyDescent="0.25">
      <c r="A61" s="5" t="s">
        <v>185</v>
      </c>
      <c r="B61" s="7" t="s">
        <v>186</v>
      </c>
      <c r="C61" s="7" t="s">
        <v>2579</v>
      </c>
      <c r="D61" s="7"/>
      <c r="E61" t="str">
        <f>_xlfn.XLOOKUP(Table2[[#This Row],[RARC CODE]],'New Rarc Code'!A61:A978,'New Rarc Code'!C61:C978,"Not Active")</f>
        <v>Active</v>
      </c>
    </row>
    <row r="62" spans="1:5" x14ac:dyDescent="0.25">
      <c r="A62" s="5" t="s">
        <v>233</v>
      </c>
      <c r="B62" s="7" t="s">
        <v>234</v>
      </c>
      <c r="C62" s="7" t="s">
        <v>2580</v>
      </c>
      <c r="D62" s="7"/>
      <c r="E62" t="str">
        <f>_xlfn.XLOOKUP(Table2[[#This Row],[RARC CODE]],'New Rarc Code'!A62:A979,'New Rarc Code'!C62:C979,"Not Active")</f>
        <v>Active</v>
      </c>
    </row>
    <row r="63" spans="1:5" x14ac:dyDescent="0.25">
      <c r="A63" s="5" t="s">
        <v>235</v>
      </c>
      <c r="B63" s="7" t="s">
        <v>236</v>
      </c>
      <c r="C63" s="7" t="s">
        <v>2581</v>
      </c>
      <c r="D63" s="7"/>
      <c r="E63" t="str">
        <f>_xlfn.XLOOKUP(Table2[[#This Row],[RARC CODE]],'New Rarc Code'!A63:A980,'New Rarc Code'!C63:C980,"Not Active")</f>
        <v>Active</v>
      </c>
    </row>
    <row r="64" spans="1:5" x14ac:dyDescent="0.25">
      <c r="A64" s="5" t="s">
        <v>237</v>
      </c>
      <c r="B64" s="8" t="s">
        <v>2228</v>
      </c>
      <c r="C64" s="8" t="s">
        <v>2582</v>
      </c>
      <c r="D64" s="8"/>
      <c r="E64" t="str">
        <f>_xlfn.XLOOKUP(Table2[[#This Row],[RARC CODE]],'New Rarc Code'!A64:A981,'New Rarc Code'!C64:C981,"Not Active")</f>
        <v>Not Active</v>
      </c>
    </row>
    <row r="65" spans="1:5" x14ac:dyDescent="0.25">
      <c r="A65" s="5" t="s">
        <v>238</v>
      </c>
      <c r="B65" s="7" t="s">
        <v>239</v>
      </c>
      <c r="C65" s="7" t="s">
        <v>2583</v>
      </c>
      <c r="D65" s="7"/>
      <c r="E65" t="str">
        <f>_xlfn.XLOOKUP(Table2[[#This Row],[RARC CODE]],'New Rarc Code'!A65:A982,'New Rarc Code'!C65:C982,"Not Active")</f>
        <v>Active</v>
      </c>
    </row>
    <row r="66" spans="1:5" x14ac:dyDescent="0.25">
      <c r="A66" s="5" t="s">
        <v>240</v>
      </c>
      <c r="B66" s="7" t="s">
        <v>241</v>
      </c>
      <c r="C66" s="7" t="s">
        <v>2584</v>
      </c>
      <c r="D66" s="7"/>
      <c r="E66" t="str">
        <f>_xlfn.XLOOKUP(Table2[[#This Row],[RARC CODE]],'New Rarc Code'!A66:A983,'New Rarc Code'!C66:C983,"Not Active")</f>
        <v>Active</v>
      </c>
    </row>
    <row r="67" spans="1:5" x14ac:dyDescent="0.25">
      <c r="A67" s="5" t="s">
        <v>242</v>
      </c>
      <c r="B67" s="8" t="s">
        <v>2229</v>
      </c>
      <c r="C67" s="8" t="s">
        <v>2585</v>
      </c>
      <c r="D67" s="8"/>
      <c r="E67" t="str">
        <f>_xlfn.XLOOKUP(Table2[[#This Row],[RARC CODE]],'New Rarc Code'!A67:A984,'New Rarc Code'!C67:C984,"Not Active")</f>
        <v>Active</v>
      </c>
    </row>
    <row r="68" spans="1:5" x14ac:dyDescent="0.25">
      <c r="A68" s="5" t="s">
        <v>243</v>
      </c>
      <c r="B68" s="8" t="s">
        <v>2230</v>
      </c>
      <c r="C68" s="8" t="s">
        <v>2586</v>
      </c>
      <c r="D68" s="8"/>
      <c r="E68" t="str">
        <f>_xlfn.XLOOKUP(Table2[[#This Row],[RARC CODE]],'New Rarc Code'!A68:A985,'New Rarc Code'!C68:C985,"Not Active")</f>
        <v>Active</v>
      </c>
    </row>
    <row r="69" spans="1:5" x14ac:dyDescent="0.25">
      <c r="A69" s="5" t="s">
        <v>187</v>
      </c>
      <c r="B69" s="8" t="s">
        <v>2222</v>
      </c>
      <c r="C69" s="8" t="s">
        <v>2587</v>
      </c>
      <c r="D69" s="8"/>
      <c r="E69" t="str">
        <f>_xlfn.XLOOKUP(Table2[[#This Row],[RARC CODE]],'New Rarc Code'!A69:A986,'New Rarc Code'!C69:C986,"Not Active")</f>
        <v>Active</v>
      </c>
    </row>
    <row r="70" spans="1:5" x14ac:dyDescent="0.25">
      <c r="A70" s="5" t="s">
        <v>244</v>
      </c>
      <c r="B70" s="7" t="s">
        <v>245</v>
      </c>
      <c r="C70" s="7" t="s">
        <v>2588</v>
      </c>
      <c r="D70" s="7"/>
      <c r="E70" t="str">
        <f>_xlfn.XLOOKUP(Table2[[#This Row],[RARC CODE]],'New Rarc Code'!A70:A987,'New Rarc Code'!C70:C987,"Not Active")</f>
        <v>Active</v>
      </c>
    </row>
    <row r="71" spans="1:5" x14ac:dyDescent="0.25">
      <c r="A71" s="5" t="s">
        <v>246</v>
      </c>
      <c r="B71" s="7" t="s">
        <v>247</v>
      </c>
      <c r="C71" s="7" t="s">
        <v>2589</v>
      </c>
      <c r="D71" s="7"/>
      <c r="E71" t="str">
        <f>_xlfn.XLOOKUP(Table2[[#This Row],[RARC CODE]],'New Rarc Code'!A71:A988,'New Rarc Code'!C71:C988,"Not Active")</f>
        <v>Active</v>
      </c>
    </row>
    <row r="72" spans="1:5" x14ac:dyDescent="0.25">
      <c r="A72" s="5" t="s">
        <v>248</v>
      </c>
      <c r="B72" s="7" t="s">
        <v>249</v>
      </c>
      <c r="C72" s="7" t="s">
        <v>2590</v>
      </c>
      <c r="D72" s="7"/>
      <c r="E72" t="str">
        <f>_xlfn.XLOOKUP(Table2[[#This Row],[RARC CODE]],'New Rarc Code'!A72:A989,'New Rarc Code'!C72:C989,"Not Active")</f>
        <v>Not Active</v>
      </c>
    </row>
    <row r="73" spans="1:5" x14ac:dyDescent="0.25">
      <c r="A73" s="5" t="s">
        <v>250</v>
      </c>
      <c r="B73" s="7" t="s">
        <v>251</v>
      </c>
      <c r="C73" s="7" t="s">
        <v>2591</v>
      </c>
      <c r="D73" s="7"/>
      <c r="E73" t="str">
        <f>_xlfn.XLOOKUP(Table2[[#This Row],[RARC CODE]],'New Rarc Code'!A73:A990,'New Rarc Code'!C73:C990,"Not Active")</f>
        <v>Active</v>
      </c>
    </row>
    <row r="74" spans="1:5" x14ac:dyDescent="0.25">
      <c r="A74" s="5" t="s">
        <v>252</v>
      </c>
      <c r="B74" s="7" t="s">
        <v>253</v>
      </c>
      <c r="C74" s="7" t="s">
        <v>2592</v>
      </c>
      <c r="D74" s="7"/>
      <c r="E74" t="str">
        <f>_xlfn.XLOOKUP(Table2[[#This Row],[RARC CODE]],'New Rarc Code'!A74:A991,'New Rarc Code'!C74:C991,"Not Active")</f>
        <v>Active</v>
      </c>
    </row>
    <row r="75" spans="1:5" x14ac:dyDescent="0.25">
      <c r="A75" s="5" t="s">
        <v>254</v>
      </c>
      <c r="B75" s="7" t="s">
        <v>255</v>
      </c>
      <c r="C75" s="7" t="s">
        <v>2593</v>
      </c>
      <c r="D75" s="7"/>
      <c r="E75" t="str">
        <f>_xlfn.XLOOKUP(Table2[[#This Row],[RARC CODE]],'New Rarc Code'!A75:A992,'New Rarc Code'!C75:C992,"Not Active")</f>
        <v>Active</v>
      </c>
    </row>
    <row r="76" spans="1:5" x14ac:dyDescent="0.25">
      <c r="A76" s="5" t="s">
        <v>256</v>
      </c>
      <c r="B76" s="7" t="s">
        <v>257</v>
      </c>
      <c r="C76" s="7" t="s">
        <v>2594</v>
      </c>
      <c r="D76" s="7"/>
      <c r="E76" t="str">
        <f>_xlfn.XLOOKUP(Table2[[#This Row],[RARC CODE]],'New Rarc Code'!A76:A993,'New Rarc Code'!C76:C993,"Not Active")</f>
        <v>Active</v>
      </c>
    </row>
    <row r="77" spans="1:5" x14ac:dyDescent="0.25">
      <c r="A77" s="5" t="s">
        <v>258</v>
      </c>
      <c r="B77" s="7" t="s">
        <v>259</v>
      </c>
      <c r="C77" s="7" t="s">
        <v>2595</v>
      </c>
      <c r="D77" s="7"/>
      <c r="E77" t="str">
        <f>_xlfn.XLOOKUP(Table2[[#This Row],[RARC CODE]],'New Rarc Code'!A77:A994,'New Rarc Code'!C77:C994,"Not Active")</f>
        <v>Active</v>
      </c>
    </row>
    <row r="78" spans="1:5" x14ac:dyDescent="0.25">
      <c r="A78" s="5" t="s">
        <v>188</v>
      </c>
      <c r="B78" s="7" t="s">
        <v>189</v>
      </c>
      <c r="C78" s="7" t="s">
        <v>2596</v>
      </c>
      <c r="D78" s="7"/>
      <c r="E78" t="str">
        <f>_xlfn.XLOOKUP(Table2[[#This Row],[RARC CODE]],'New Rarc Code'!A78:A995,'New Rarc Code'!C78:C995,"Not Active")</f>
        <v>Not Active</v>
      </c>
    </row>
    <row r="79" spans="1:5" x14ac:dyDescent="0.25">
      <c r="A79" s="5" t="s">
        <v>260</v>
      </c>
      <c r="B79" s="7" t="s">
        <v>261</v>
      </c>
      <c r="C79" s="7" t="s">
        <v>2597</v>
      </c>
      <c r="D79" s="7"/>
      <c r="E79" t="str">
        <f>_xlfn.XLOOKUP(Table2[[#This Row],[RARC CODE]],'New Rarc Code'!A79:A996,'New Rarc Code'!C79:C996,"Not Active")</f>
        <v>Active</v>
      </c>
    </row>
    <row r="80" spans="1:5" x14ac:dyDescent="0.25">
      <c r="A80" s="5" t="s">
        <v>262</v>
      </c>
      <c r="B80" s="7" t="s">
        <v>263</v>
      </c>
      <c r="C80" s="7" t="s">
        <v>2598</v>
      </c>
      <c r="D80" s="7"/>
      <c r="E80" t="str">
        <f>_xlfn.XLOOKUP(Table2[[#This Row],[RARC CODE]],'New Rarc Code'!A80:A997,'New Rarc Code'!C80:C997,"Not Active")</f>
        <v>Active</v>
      </c>
    </row>
    <row r="81" spans="1:5" x14ac:dyDescent="0.25">
      <c r="A81" s="5" t="s">
        <v>264</v>
      </c>
      <c r="B81" s="7" t="s">
        <v>265</v>
      </c>
      <c r="C81" s="7" t="s">
        <v>2599</v>
      </c>
      <c r="D81" s="7"/>
      <c r="E81" t="str">
        <f>_xlfn.XLOOKUP(Table2[[#This Row],[RARC CODE]],'New Rarc Code'!A81:A998,'New Rarc Code'!C81:C998,"Not Active")</f>
        <v>Active</v>
      </c>
    </row>
    <row r="82" spans="1:5" x14ac:dyDescent="0.25">
      <c r="A82" s="5" t="s">
        <v>266</v>
      </c>
      <c r="B82" s="7" t="s">
        <v>267</v>
      </c>
      <c r="C82" s="7" t="s">
        <v>2600</v>
      </c>
      <c r="D82" s="7"/>
      <c r="E82" t="str">
        <f>_xlfn.XLOOKUP(Table2[[#This Row],[RARC CODE]],'New Rarc Code'!A82:A999,'New Rarc Code'!C82:C999,"Not Active")</f>
        <v>Active</v>
      </c>
    </row>
    <row r="83" spans="1:5" x14ac:dyDescent="0.25">
      <c r="A83" s="5" t="s">
        <v>268</v>
      </c>
      <c r="B83" s="7" t="s">
        <v>269</v>
      </c>
      <c r="C83" s="7" t="s">
        <v>2601</v>
      </c>
      <c r="D83" s="7"/>
      <c r="E83" t="str">
        <f>_xlfn.XLOOKUP(Table2[[#This Row],[RARC CODE]],'New Rarc Code'!A83:A1000,'New Rarc Code'!C83:C1000,"Not Active")</f>
        <v>Active</v>
      </c>
    </row>
    <row r="84" spans="1:5" x14ac:dyDescent="0.25">
      <c r="A84" s="5" t="s">
        <v>270</v>
      </c>
      <c r="B84" s="7" t="s">
        <v>271</v>
      </c>
      <c r="C84" s="7" t="s">
        <v>2602</v>
      </c>
      <c r="D84" s="7"/>
      <c r="E84" t="str">
        <f>_xlfn.XLOOKUP(Table2[[#This Row],[RARC CODE]],'New Rarc Code'!A84:A1001,'New Rarc Code'!C84:C1001,"Not Active")</f>
        <v>Not Active</v>
      </c>
    </row>
    <row r="85" spans="1:5" x14ac:dyDescent="0.25">
      <c r="A85" s="5" t="s">
        <v>272</v>
      </c>
      <c r="B85" s="7" t="s">
        <v>273</v>
      </c>
      <c r="C85" s="7" t="s">
        <v>2603</v>
      </c>
      <c r="D85" s="7"/>
      <c r="E85" t="str">
        <f>_xlfn.XLOOKUP(Table2[[#This Row],[RARC CODE]],'New Rarc Code'!A85:A1002,'New Rarc Code'!C85:C1002,"Not Active")</f>
        <v>Not Active</v>
      </c>
    </row>
    <row r="86" spans="1:5" x14ac:dyDescent="0.25">
      <c r="A86" s="5" t="s">
        <v>274</v>
      </c>
      <c r="B86" s="7" t="s">
        <v>275</v>
      </c>
      <c r="C86" s="7" t="s">
        <v>2604</v>
      </c>
      <c r="D86" s="7"/>
      <c r="E86" t="str">
        <f>_xlfn.XLOOKUP(Table2[[#This Row],[RARC CODE]],'New Rarc Code'!A86:A1003,'New Rarc Code'!C86:C1003,"Not Active")</f>
        <v>Active</v>
      </c>
    </row>
    <row r="87" spans="1:5" x14ac:dyDescent="0.25">
      <c r="A87" s="5" t="s">
        <v>190</v>
      </c>
      <c r="B87" s="8" t="s">
        <v>2223</v>
      </c>
      <c r="C87" s="8" t="s">
        <v>2605</v>
      </c>
      <c r="D87" s="8"/>
      <c r="E87" t="str">
        <f>_xlfn.XLOOKUP(Table2[[#This Row],[RARC CODE]],'New Rarc Code'!A87:A1004,'New Rarc Code'!C87:C1004,"Not Active")</f>
        <v>Active</v>
      </c>
    </row>
    <row r="88" spans="1:5" x14ac:dyDescent="0.25">
      <c r="A88" s="5" t="s">
        <v>276</v>
      </c>
      <c r="B88" s="7" t="s">
        <v>277</v>
      </c>
      <c r="C88" s="7" t="s">
        <v>2606</v>
      </c>
      <c r="D88" s="7"/>
      <c r="E88" t="str">
        <f>_xlfn.XLOOKUP(Table2[[#This Row],[RARC CODE]],'New Rarc Code'!A88:A1005,'New Rarc Code'!C88:C1005,"Not Active")</f>
        <v>Active</v>
      </c>
    </row>
    <row r="89" spans="1:5" x14ac:dyDescent="0.25">
      <c r="A89" s="5" t="s">
        <v>278</v>
      </c>
      <c r="B89" s="7" t="s">
        <v>279</v>
      </c>
      <c r="C89" s="7" t="s">
        <v>2607</v>
      </c>
      <c r="D89" s="7"/>
      <c r="E89" t="str">
        <f>_xlfn.XLOOKUP(Table2[[#This Row],[RARC CODE]],'New Rarc Code'!A89:A1006,'New Rarc Code'!C89:C1006,"Not Active")</f>
        <v>Active</v>
      </c>
    </row>
    <row r="90" spans="1:5" x14ac:dyDescent="0.25">
      <c r="A90" s="5" t="s">
        <v>280</v>
      </c>
      <c r="B90" s="7" t="s">
        <v>281</v>
      </c>
      <c r="C90" s="7" t="s">
        <v>2608</v>
      </c>
      <c r="D90" s="7" t="s">
        <v>3694</v>
      </c>
      <c r="E90" t="str">
        <f>_xlfn.XLOOKUP(Table2[[#This Row],[RARC CODE]],'New Rarc Code'!A90:A1007,'New Rarc Code'!C90:C1007,"Not Active")</f>
        <v>Active</v>
      </c>
    </row>
    <row r="91" spans="1:5" x14ac:dyDescent="0.25">
      <c r="A91" s="5" t="s">
        <v>282</v>
      </c>
      <c r="B91" s="7" t="s">
        <v>283</v>
      </c>
      <c r="C91" s="7" t="s">
        <v>2609</v>
      </c>
      <c r="D91" s="7" t="s">
        <v>3694</v>
      </c>
      <c r="E91" t="str">
        <f>_xlfn.XLOOKUP(Table2[[#This Row],[RARC CODE]],'New Rarc Code'!A91:A1008,'New Rarc Code'!C91:C1008,"Not Active")</f>
        <v>Active</v>
      </c>
    </row>
    <row r="92" spans="1:5" x14ac:dyDescent="0.25">
      <c r="A92" s="5" t="s">
        <v>284</v>
      </c>
      <c r="B92" s="7" t="s">
        <v>285</v>
      </c>
      <c r="C92" s="7" t="s">
        <v>2610</v>
      </c>
      <c r="D92" s="7"/>
      <c r="E92" t="str">
        <f>_xlfn.XLOOKUP(Table2[[#This Row],[RARC CODE]],'New Rarc Code'!A92:A1009,'New Rarc Code'!C92:C1009,"Not Active")</f>
        <v>Active</v>
      </c>
    </row>
    <row r="93" spans="1:5" x14ac:dyDescent="0.25">
      <c r="A93" s="5" t="s">
        <v>286</v>
      </c>
      <c r="B93" s="7" t="s">
        <v>287</v>
      </c>
      <c r="C93" s="7" t="s">
        <v>2611</v>
      </c>
      <c r="D93" s="7"/>
      <c r="E93" t="str">
        <f>_xlfn.XLOOKUP(Table2[[#This Row],[RARC CODE]],'New Rarc Code'!A93:A1010,'New Rarc Code'!C93:C1010,"Not Active")</f>
        <v>Active</v>
      </c>
    </row>
    <row r="94" spans="1:5" x14ac:dyDescent="0.25">
      <c r="A94" s="5" t="s">
        <v>288</v>
      </c>
      <c r="B94" s="7" t="s">
        <v>289</v>
      </c>
      <c r="C94" s="7" t="s">
        <v>2612</v>
      </c>
      <c r="D94" s="7"/>
      <c r="E94" t="str">
        <f>_xlfn.XLOOKUP(Table2[[#This Row],[RARC CODE]],'New Rarc Code'!A94:A1011,'New Rarc Code'!C94:C1011,"Not Active")</f>
        <v>Active</v>
      </c>
    </row>
    <row r="95" spans="1:5" x14ac:dyDescent="0.25">
      <c r="A95" s="5" t="s">
        <v>290</v>
      </c>
      <c r="B95" s="7" t="s">
        <v>291</v>
      </c>
      <c r="C95" s="7" t="s">
        <v>2613</v>
      </c>
      <c r="D95" s="7"/>
      <c r="E95" t="str">
        <f>_xlfn.XLOOKUP(Table2[[#This Row],[RARC CODE]],'New Rarc Code'!A95:A1012,'New Rarc Code'!C95:C1012,"Not Active")</f>
        <v>Active</v>
      </c>
    </row>
    <row r="96" spans="1:5" x14ac:dyDescent="0.25">
      <c r="A96" s="5" t="s">
        <v>191</v>
      </c>
      <c r="B96" s="7" t="s">
        <v>192</v>
      </c>
      <c r="C96" s="7" t="s">
        <v>2614</v>
      </c>
      <c r="D96" s="7"/>
      <c r="E96" t="str">
        <f>_xlfn.XLOOKUP(Table2[[#This Row],[RARC CODE]],'New Rarc Code'!A96:A1013,'New Rarc Code'!C96:C1013,"Not Active")</f>
        <v>Active</v>
      </c>
    </row>
    <row r="97" spans="1:5" x14ac:dyDescent="0.25">
      <c r="A97" s="5" t="s">
        <v>292</v>
      </c>
      <c r="B97" s="8" t="s">
        <v>2231</v>
      </c>
      <c r="C97" s="8" t="s">
        <v>2615</v>
      </c>
      <c r="D97" s="8"/>
      <c r="E97" t="str">
        <f>_xlfn.XLOOKUP(Table2[[#This Row],[RARC CODE]],'New Rarc Code'!A97:A1014,'New Rarc Code'!C97:C1014,"Not Active")</f>
        <v>Active</v>
      </c>
    </row>
    <row r="98" spans="1:5" x14ac:dyDescent="0.25">
      <c r="A98" s="5" t="s">
        <v>293</v>
      </c>
      <c r="B98" s="7" t="s">
        <v>294</v>
      </c>
      <c r="C98" s="7" t="s">
        <v>2616</v>
      </c>
      <c r="D98" s="7"/>
      <c r="E98" t="str">
        <f>_xlfn.XLOOKUP(Table2[[#This Row],[RARC CODE]],'New Rarc Code'!A98:A1015,'New Rarc Code'!C98:C1015,"Not Active")</f>
        <v>Active</v>
      </c>
    </row>
    <row r="99" spans="1:5" x14ac:dyDescent="0.25">
      <c r="A99" s="5" t="s">
        <v>295</v>
      </c>
      <c r="B99" s="7" t="s">
        <v>296</v>
      </c>
      <c r="C99" s="7" t="s">
        <v>2617</v>
      </c>
      <c r="D99" s="7"/>
      <c r="E99" t="str">
        <f>_xlfn.XLOOKUP(Table2[[#This Row],[RARC CODE]],'New Rarc Code'!A99:A1016,'New Rarc Code'!C99:C1016,"Not Active")</f>
        <v>Not Active</v>
      </c>
    </row>
    <row r="100" spans="1:5" x14ac:dyDescent="0.25">
      <c r="A100" s="5" t="s">
        <v>297</v>
      </c>
      <c r="B100" s="7" t="s">
        <v>298</v>
      </c>
      <c r="C100" s="7" t="s">
        <v>2618</v>
      </c>
      <c r="D100" s="7"/>
      <c r="E100" t="str">
        <f>_xlfn.XLOOKUP(Table2[[#This Row],[RARC CODE]],'New Rarc Code'!A100:A1017,'New Rarc Code'!C100:C1017,"Not Active")</f>
        <v>Active</v>
      </c>
    </row>
    <row r="101" spans="1:5" x14ac:dyDescent="0.25">
      <c r="A101" s="5" t="s">
        <v>299</v>
      </c>
      <c r="B101" s="7" t="s">
        <v>300</v>
      </c>
      <c r="C101" s="7" t="s">
        <v>2619</v>
      </c>
      <c r="D101" s="7"/>
      <c r="E101" t="str">
        <f>_xlfn.XLOOKUP(Table2[[#This Row],[RARC CODE]],'New Rarc Code'!A101:A1018,'New Rarc Code'!C101:C1018,"Not Active")</f>
        <v>Active</v>
      </c>
    </row>
    <row r="102" spans="1:5" x14ac:dyDescent="0.25">
      <c r="A102" s="5" t="s">
        <v>301</v>
      </c>
      <c r="B102" s="7" t="s">
        <v>302</v>
      </c>
      <c r="C102" s="7" t="s">
        <v>2620</v>
      </c>
      <c r="D102" s="7" t="s">
        <v>3694</v>
      </c>
      <c r="E102" t="str">
        <f>_xlfn.XLOOKUP(Table2[[#This Row],[RARC CODE]],'New Rarc Code'!A102:A1019,'New Rarc Code'!C102:C1019,"Not Active")</f>
        <v>Active</v>
      </c>
    </row>
    <row r="103" spans="1:5" x14ac:dyDescent="0.25">
      <c r="A103" s="5" t="s">
        <v>303</v>
      </c>
      <c r="B103" s="7" t="s">
        <v>304</v>
      </c>
      <c r="C103" s="7" t="s">
        <v>2621</v>
      </c>
      <c r="D103" s="7"/>
      <c r="E103" t="str">
        <f>_xlfn.XLOOKUP(Table2[[#This Row],[RARC CODE]],'New Rarc Code'!A103:A1020,'New Rarc Code'!C103:C1020,"Not Active")</f>
        <v>Not Active</v>
      </c>
    </row>
    <row r="104" spans="1:5" x14ac:dyDescent="0.25">
      <c r="A104" s="5" t="s">
        <v>305</v>
      </c>
      <c r="B104" s="7" t="s">
        <v>306</v>
      </c>
      <c r="C104" s="7" t="s">
        <v>2622</v>
      </c>
      <c r="D104" s="7"/>
      <c r="E104" t="str">
        <f>_xlfn.XLOOKUP(Table2[[#This Row],[RARC CODE]],'New Rarc Code'!A104:A1021,'New Rarc Code'!C104:C1021,"Not Active")</f>
        <v>Active</v>
      </c>
    </row>
    <row r="105" spans="1:5" x14ac:dyDescent="0.25">
      <c r="A105" s="5" t="s">
        <v>193</v>
      </c>
      <c r="B105" s="7" t="s">
        <v>194</v>
      </c>
      <c r="C105" s="7" t="s">
        <v>2623</v>
      </c>
      <c r="D105" s="7"/>
      <c r="E105" t="str">
        <f>_xlfn.XLOOKUP(Table2[[#This Row],[RARC CODE]],'New Rarc Code'!A105:A1022,'New Rarc Code'!C105:C1022,"Not Active")</f>
        <v>Not Active</v>
      </c>
    </row>
    <row r="106" spans="1:5" x14ac:dyDescent="0.25">
      <c r="A106" s="5" t="s">
        <v>307</v>
      </c>
      <c r="B106" s="7" t="s">
        <v>308</v>
      </c>
      <c r="C106" s="7" t="s">
        <v>2624</v>
      </c>
      <c r="D106" s="7"/>
      <c r="E106" t="str">
        <f>_xlfn.XLOOKUP(Table2[[#This Row],[RARC CODE]],'New Rarc Code'!A106:A1023,'New Rarc Code'!C106:C1023,"Not Active")</f>
        <v>Active</v>
      </c>
    </row>
    <row r="107" spans="1:5" x14ac:dyDescent="0.25">
      <c r="A107" s="5" t="s">
        <v>309</v>
      </c>
      <c r="B107" s="7" t="s">
        <v>310</v>
      </c>
      <c r="C107" s="7" t="s">
        <v>2625</v>
      </c>
      <c r="D107" s="7"/>
      <c r="E107" t="str">
        <f>_xlfn.XLOOKUP(Table2[[#This Row],[RARC CODE]],'New Rarc Code'!A107:A1024,'New Rarc Code'!C107:C1024,"Not Active")</f>
        <v>Active</v>
      </c>
    </row>
    <row r="108" spans="1:5" x14ac:dyDescent="0.25">
      <c r="A108" s="5" t="s">
        <v>311</v>
      </c>
      <c r="B108" s="7" t="s">
        <v>312</v>
      </c>
      <c r="C108" s="7" t="s">
        <v>2626</v>
      </c>
      <c r="D108" s="7"/>
      <c r="E108" t="str">
        <f>_xlfn.XLOOKUP(Table2[[#This Row],[RARC CODE]],'New Rarc Code'!A108:A1025,'New Rarc Code'!C108:C1025,"Not Active")</f>
        <v>Active</v>
      </c>
    </row>
    <row r="109" spans="1:5" x14ac:dyDescent="0.25">
      <c r="A109" s="5" t="s">
        <v>313</v>
      </c>
      <c r="B109" s="7" t="s">
        <v>314</v>
      </c>
      <c r="C109" s="7" t="s">
        <v>2627</v>
      </c>
      <c r="D109" s="7"/>
      <c r="E109" t="str">
        <f>_xlfn.XLOOKUP(Table2[[#This Row],[RARC CODE]],'New Rarc Code'!A109:A1026,'New Rarc Code'!C109:C1026,"Not Active")</f>
        <v>Active</v>
      </c>
    </row>
    <row r="110" spans="1:5" x14ac:dyDescent="0.25">
      <c r="A110" s="5" t="s">
        <v>315</v>
      </c>
      <c r="B110" s="7" t="s">
        <v>316</v>
      </c>
      <c r="C110" s="7" t="s">
        <v>2628</v>
      </c>
      <c r="D110" s="7"/>
      <c r="E110" t="str">
        <f>_xlfn.XLOOKUP(Table2[[#This Row],[RARC CODE]],'New Rarc Code'!A110:A1027,'New Rarc Code'!C110:C1027,"Not Active")</f>
        <v>Active</v>
      </c>
    </row>
    <row r="111" spans="1:5" x14ac:dyDescent="0.25">
      <c r="A111" s="5" t="s">
        <v>317</v>
      </c>
      <c r="B111" s="7" t="s">
        <v>318</v>
      </c>
      <c r="C111" s="7" t="s">
        <v>2629</v>
      </c>
      <c r="D111" s="7"/>
      <c r="E111" t="str">
        <f>_xlfn.XLOOKUP(Table2[[#This Row],[RARC CODE]],'New Rarc Code'!A111:A1028,'New Rarc Code'!C111:C1028,"Not Active")</f>
        <v>Active</v>
      </c>
    </row>
    <row r="112" spans="1:5" x14ac:dyDescent="0.25">
      <c r="A112" s="5" t="s">
        <v>319</v>
      </c>
      <c r="B112" s="7" t="s">
        <v>320</v>
      </c>
      <c r="C112" s="7" t="s">
        <v>2630</v>
      </c>
      <c r="D112" s="7"/>
      <c r="E112" t="str">
        <f>_xlfn.XLOOKUP(Table2[[#This Row],[RARC CODE]],'New Rarc Code'!A112:A1029,'New Rarc Code'!C112:C1029,"Not Active")</f>
        <v>Active</v>
      </c>
    </row>
    <row r="113" spans="1:5" x14ac:dyDescent="0.25">
      <c r="A113" s="5" t="s">
        <v>321</v>
      </c>
      <c r="B113" s="7" t="s">
        <v>322</v>
      </c>
      <c r="C113" s="7" t="s">
        <v>2631</v>
      </c>
      <c r="D113" s="7"/>
      <c r="E113" t="str">
        <f>_xlfn.XLOOKUP(Table2[[#This Row],[RARC CODE]],'New Rarc Code'!A113:A1030,'New Rarc Code'!C113:C1030,"Not Active")</f>
        <v>Active</v>
      </c>
    </row>
    <row r="114" spans="1:5" x14ac:dyDescent="0.25">
      <c r="A114" s="5" t="s">
        <v>323</v>
      </c>
      <c r="B114" s="7" t="s">
        <v>324</v>
      </c>
      <c r="C114" s="7" t="s">
        <v>2632</v>
      </c>
      <c r="D114" s="7"/>
      <c r="E114" t="str">
        <f>_xlfn.XLOOKUP(Table2[[#This Row],[RARC CODE]],'New Rarc Code'!A114:A1031,'New Rarc Code'!C114:C1031,"Not Active")</f>
        <v>Active</v>
      </c>
    </row>
    <row r="115" spans="1:5" x14ac:dyDescent="0.25">
      <c r="A115" s="5" t="s">
        <v>195</v>
      </c>
      <c r="B115" s="8" t="s">
        <v>2224</v>
      </c>
      <c r="C115" s="8" t="s">
        <v>2633</v>
      </c>
      <c r="D115" s="8"/>
      <c r="E115" t="str">
        <f>_xlfn.XLOOKUP(Table2[[#This Row],[RARC CODE]],'New Rarc Code'!A115:A1032,'New Rarc Code'!C115:C1032,"Not Active")</f>
        <v>Active</v>
      </c>
    </row>
    <row r="116" spans="1:5" x14ac:dyDescent="0.25">
      <c r="A116" s="5" t="s">
        <v>325</v>
      </c>
      <c r="B116" s="7" t="s">
        <v>326</v>
      </c>
      <c r="C116" s="7" t="s">
        <v>2634</v>
      </c>
      <c r="D116" s="7"/>
      <c r="E116" t="str">
        <f>_xlfn.XLOOKUP(Table2[[#This Row],[RARC CODE]],'New Rarc Code'!A116:A1033,'New Rarc Code'!C116:C1033,"Not Active")</f>
        <v>Active</v>
      </c>
    </row>
    <row r="117" spans="1:5" x14ac:dyDescent="0.25">
      <c r="A117" s="5" t="s">
        <v>327</v>
      </c>
      <c r="B117" s="7" t="s">
        <v>328</v>
      </c>
      <c r="C117" s="7" t="s">
        <v>2635</v>
      </c>
      <c r="D117" s="7"/>
      <c r="E117" t="str">
        <f>_xlfn.XLOOKUP(Table2[[#This Row],[RARC CODE]],'New Rarc Code'!A117:A1034,'New Rarc Code'!C117:C1034,"Not Active")</f>
        <v>Active</v>
      </c>
    </row>
    <row r="118" spans="1:5" x14ac:dyDescent="0.25">
      <c r="A118" s="5" t="s">
        <v>329</v>
      </c>
      <c r="B118" s="7" t="s">
        <v>330</v>
      </c>
      <c r="C118" s="7" t="s">
        <v>2636</v>
      </c>
      <c r="D118" s="7"/>
      <c r="E118" t="str">
        <f>_xlfn.XLOOKUP(Table2[[#This Row],[RARC CODE]],'New Rarc Code'!A118:A1035,'New Rarc Code'!C118:C1035,"Not Active")</f>
        <v>Active</v>
      </c>
    </row>
    <row r="119" spans="1:5" x14ac:dyDescent="0.25">
      <c r="A119" s="5" t="s">
        <v>331</v>
      </c>
      <c r="B119" s="7" t="s">
        <v>332</v>
      </c>
      <c r="C119" s="7" t="s">
        <v>2637</v>
      </c>
      <c r="D119" s="7"/>
      <c r="E119" t="str">
        <f>_xlfn.XLOOKUP(Table2[[#This Row],[RARC CODE]],'New Rarc Code'!A119:A1036,'New Rarc Code'!C119:C1036,"Not Active")</f>
        <v>Active</v>
      </c>
    </row>
    <row r="120" spans="1:5" x14ac:dyDescent="0.25">
      <c r="A120" s="5" t="s">
        <v>333</v>
      </c>
      <c r="B120" s="7" t="s">
        <v>334</v>
      </c>
      <c r="C120" s="7" t="s">
        <v>2638</v>
      </c>
      <c r="D120" s="7"/>
      <c r="E120" t="str">
        <f>_xlfn.XLOOKUP(Table2[[#This Row],[RARC CODE]],'New Rarc Code'!A120:A1037,'New Rarc Code'!C120:C1037,"Not Active")</f>
        <v>Active</v>
      </c>
    </row>
    <row r="121" spans="1:5" x14ac:dyDescent="0.25">
      <c r="A121" s="5" t="s">
        <v>335</v>
      </c>
      <c r="B121" s="7" t="s">
        <v>336</v>
      </c>
      <c r="C121" s="7" t="s">
        <v>2639</v>
      </c>
      <c r="D121" s="7"/>
      <c r="E121" t="str">
        <f>_xlfn.XLOOKUP(Table2[[#This Row],[RARC CODE]],'New Rarc Code'!A121:A1038,'New Rarc Code'!C121:C1038,"Not Active")</f>
        <v>Active</v>
      </c>
    </row>
    <row r="122" spans="1:5" x14ac:dyDescent="0.25">
      <c r="A122" s="5" t="s">
        <v>337</v>
      </c>
      <c r="B122" s="7" t="s">
        <v>338</v>
      </c>
      <c r="C122" s="7" t="s">
        <v>2640</v>
      </c>
      <c r="D122" s="7" t="s">
        <v>3694</v>
      </c>
      <c r="E122" t="str">
        <f>_xlfn.XLOOKUP(Table2[[#This Row],[RARC CODE]],'New Rarc Code'!A122:A1039,'New Rarc Code'!C122:C1039,"Not Active")</f>
        <v>Active</v>
      </c>
    </row>
    <row r="123" spans="1:5" x14ac:dyDescent="0.25">
      <c r="A123" s="5" t="s">
        <v>339</v>
      </c>
      <c r="B123" s="7" t="s">
        <v>340</v>
      </c>
      <c r="C123" s="7" t="s">
        <v>2641</v>
      </c>
      <c r="D123" s="7"/>
      <c r="E123" t="str">
        <f>_xlfn.XLOOKUP(Table2[[#This Row],[RARC CODE]],'New Rarc Code'!A123:A1040,'New Rarc Code'!C123:C1040,"Not Active")</f>
        <v>Active</v>
      </c>
    </row>
    <row r="124" spans="1:5" x14ac:dyDescent="0.25">
      <c r="A124" s="5" t="s">
        <v>415</v>
      </c>
      <c r="B124" s="8" t="s">
        <v>2232</v>
      </c>
      <c r="C124" s="8" t="s">
        <v>2642</v>
      </c>
      <c r="D124" s="8"/>
      <c r="E124" t="str">
        <f>_xlfn.XLOOKUP(Table2[[#This Row],[RARC CODE]],'New Rarc Code'!A124:A1041,'New Rarc Code'!C124:C1041,"Not Active")</f>
        <v>Active</v>
      </c>
    </row>
    <row r="125" spans="1:5" x14ac:dyDescent="0.25">
      <c r="A125" s="5" t="s">
        <v>416</v>
      </c>
      <c r="B125" s="8" t="s">
        <v>2233</v>
      </c>
      <c r="C125" s="8" t="s">
        <v>2643</v>
      </c>
      <c r="D125" s="8"/>
      <c r="E125" t="str">
        <f>_xlfn.XLOOKUP(Table2[[#This Row],[RARC CODE]],'New Rarc Code'!A125:A1042,'New Rarc Code'!C125:C1042,"Not Active")</f>
        <v>Active</v>
      </c>
    </row>
    <row r="126" spans="1:5" x14ac:dyDescent="0.25">
      <c r="A126" s="5" t="s">
        <v>417</v>
      </c>
      <c r="B126" s="7" t="s">
        <v>418</v>
      </c>
      <c r="C126" s="7" t="s">
        <v>2644</v>
      </c>
      <c r="D126" s="7"/>
      <c r="E126" t="str">
        <f>_xlfn.XLOOKUP(Table2[[#This Row],[RARC CODE]],'New Rarc Code'!A126:A1043,'New Rarc Code'!C126:C1043,"Not Active")</f>
        <v>Active</v>
      </c>
    </row>
    <row r="127" spans="1:5" x14ac:dyDescent="0.25">
      <c r="A127" s="5" t="s">
        <v>419</v>
      </c>
      <c r="B127" s="8" t="s">
        <v>2234</v>
      </c>
      <c r="C127" s="8" t="s">
        <v>2645</v>
      </c>
      <c r="D127" s="8"/>
      <c r="E127" t="str">
        <f>_xlfn.XLOOKUP(Table2[[#This Row],[RARC CODE]],'New Rarc Code'!A127:A1044,'New Rarc Code'!C127:C1044,"Not Active")</f>
        <v>Active</v>
      </c>
    </row>
    <row r="128" spans="1:5" x14ac:dyDescent="0.25">
      <c r="A128" s="5" t="s">
        <v>420</v>
      </c>
      <c r="B128" s="8" t="s">
        <v>2235</v>
      </c>
      <c r="C128" s="8" t="s">
        <v>2646</v>
      </c>
      <c r="D128" s="8"/>
      <c r="E128" t="str">
        <f>_xlfn.XLOOKUP(Table2[[#This Row],[RARC CODE]],'New Rarc Code'!A128:A1045,'New Rarc Code'!C128:C1045,"Not Active")</f>
        <v>Active</v>
      </c>
    </row>
    <row r="129" spans="1:5" x14ac:dyDescent="0.25">
      <c r="A129" s="5" t="s">
        <v>421</v>
      </c>
      <c r="B129" s="8" t="s">
        <v>2236</v>
      </c>
      <c r="C129" s="8" t="s">
        <v>2647</v>
      </c>
      <c r="D129" s="8"/>
      <c r="E129" t="str">
        <f>_xlfn.XLOOKUP(Table2[[#This Row],[RARC CODE]],'New Rarc Code'!A129:A1046,'New Rarc Code'!C129:C1046,"Not Active")</f>
        <v>Active</v>
      </c>
    </row>
    <row r="130" spans="1:5" x14ac:dyDescent="0.25">
      <c r="A130" s="5" t="s">
        <v>422</v>
      </c>
      <c r="B130" s="8" t="s">
        <v>2237</v>
      </c>
      <c r="C130" s="8" t="s">
        <v>2648</v>
      </c>
      <c r="D130" s="8"/>
      <c r="E130" t="str">
        <f>_xlfn.XLOOKUP(Table2[[#This Row],[RARC CODE]],'New Rarc Code'!A130:A1047,'New Rarc Code'!C130:C1047,"Not Active")</f>
        <v>Active</v>
      </c>
    </row>
    <row r="131" spans="1:5" x14ac:dyDescent="0.25">
      <c r="A131" s="5" t="s">
        <v>557</v>
      </c>
      <c r="B131" s="7" t="s">
        <v>558</v>
      </c>
      <c r="C131" s="7" t="s">
        <v>2649</v>
      </c>
      <c r="D131" s="7"/>
      <c r="E131" t="str">
        <f>_xlfn.XLOOKUP(Table2[[#This Row],[RARC CODE]],'New Rarc Code'!A131:A1048,'New Rarc Code'!C131:C1048,"Not Active")</f>
        <v>Active</v>
      </c>
    </row>
    <row r="132" spans="1:5" x14ac:dyDescent="0.25">
      <c r="A132" s="5" t="s">
        <v>559</v>
      </c>
      <c r="B132" s="7" t="s">
        <v>560</v>
      </c>
      <c r="C132" s="7" t="s">
        <v>2650</v>
      </c>
      <c r="D132" s="7"/>
      <c r="E132" t="str">
        <f>_xlfn.XLOOKUP(Table2[[#This Row],[RARC CODE]],'New Rarc Code'!A132:A1049,'New Rarc Code'!C132:C1049,"Not Active")</f>
        <v>Active</v>
      </c>
    </row>
    <row r="133" spans="1:5" x14ac:dyDescent="0.25">
      <c r="A133" s="5" t="s">
        <v>561</v>
      </c>
      <c r="B133" s="7" t="s">
        <v>562</v>
      </c>
      <c r="C133" s="7" t="s">
        <v>2651</v>
      </c>
      <c r="D133" s="7"/>
      <c r="E133" t="str">
        <f>_xlfn.XLOOKUP(Table2[[#This Row],[RARC CODE]],'New Rarc Code'!A133:A1050,'New Rarc Code'!C133:C1050,"Not Active")</f>
        <v>Active</v>
      </c>
    </row>
    <row r="134" spans="1:5" x14ac:dyDescent="0.25">
      <c r="A134" s="5" t="s">
        <v>563</v>
      </c>
      <c r="B134" s="7" t="s">
        <v>564</v>
      </c>
      <c r="C134" s="7" t="s">
        <v>2652</v>
      </c>
      <c r="D134" s="7"/>
      <c r="E134" t="str">
        <f>_xlfn.XLOOKUP(Table2[[#This Row],[RARC CODE]],'New Rarc Code'!A134:A1051,'New Rarc Code'!C134:C1051,"Not Active")</f>
        <v>Active</v>
      </c>
    </row>
    <row r="135" spans="1:5" x14ac:dyDescent="0.25">
      <c r="A135" s="5" t="s">
        <v>565</v>
      </c>
      <c r="B135" s="7" t="s">
        <v>566</v>
      </c>
      <c r="C135" s="7" t="s">
        <v>2653</v>
      </c>
      <c r="D135" s="7"/>
      <c r="E135" t="str">
        <f>_xlfn.XLOOKUP(Table2[[#This Row],[RARC CODE]],'New Rarc Code'!A135:A1052,'New Rarc Code'!C135:C1052,"Not Active")</f>
        <v>Active</v>
      </c>
    </row>
    <row r="136" spans="1:5" x14ac:dyDescent="0.25">
      <c r="A136" s="5" t="s">
        <v>567</v>
      </c>
      <c r="B136" s="7" t="s">
        <v>568</v>
      </c>
      <c r="C136" s="7" t="s">
        <v>2654</v>
      </c>
      <c r="D136" s="7"/>
      <c r="E136" t="str">
        <f>_xlfn.XLOOKUP(Table2[[#This Row],[RARC CODE]],'New Rarc Code'!A136:A1053,'New Rarc Code'!C136:C1053,"Not Active")</f>
        <v>Not Active</v>
      </c>
    </row>
    <row r="137" spans="1:5" x14ac:dyDescent="0.25">
      <c r="A137" s="5" t="s">
        <v>569</v>
      </c>
      <c r="B137" s="7" t="s">
        <v>570</v>
      </c>
      <c r="C137" s="7" t="s">
        <v>2655</v>
      </c>
      <c r="D137" s="7"/>
      <c r="E137" t="str">
        <f>_xlfn.XLOOKUP(Table2[[#This Row],[RARC CODE]],'New Rarc Code'!A137:A1054,'New Rarc Code'!C137:C1054,"Not Active")</f>
        <v>Not Active</v>
      </c>
    </row>
    <row r="138" spans="1:5" x14ac:dyDescent="0.25">
      <c r="A138" s="5" t="s">
        <v>571</v>
      </c>
      <c r="B138" s="7" t="s">
        <v>572</v>
      </c>
      <c r="C138" s="7" t="s">
        <v>2656</v>
      </c>
      <c r="D138" s="7"/>
      <c r="E138" t="str">
        <f>_xlfn.XLOOKUP(Table2[[#This Row],[RARC CODE]],'New Rarc Code'!A138:A1055,'New Rarc Code'!C138:C1055,"Not Active")</f>
        <v>Active</v>
      </c>
    </row>
    <row r="139" spans="1:5" x14ac:dyDescent="0.25">
      <c r="A139" s="5" t="s">
        <v>573</v>
      </c>
      <c r="B139" s="7" t="s">
        <v>574</v>
      </c>
      <c r="C139" s="7" t="s">
        <v>2657</v>
      </c>
      <c r="D139" s="7"/>
      <c r="E139" t="str">
        <f>_xlfn.XLOOKUP(Table2[[#This Row],[RARC CODE]],'New Rarc Code'!A139:A1056,'New Rarc Code'!C139:C1056,"Not Active")</f>
        <v>Active</v>
      </c>
    </row>
    <row r="140" spans="1:5" x14ac:dyDescent="0.25">
      <c r="A140" s="5" t="s">
        <v>575</v>
      </c>
      <c r="B140" s="7" t="s">
        <v>576</v>
      </c>
      <c r="C140" s="7" t="s">
        <v>2658</v>
      </c>
      <c r="D140" s="7"/>
      <c r="E140" t="str">
        <f>_xlfn.XLOOKUP(Table2[[#This Row],[RARC CODE]],'New Rarc Code'!A140:A1057,'New Rarc Code'!C140:C1057,"Not Active")</f>
        <v>Active</v>
      </c>
    </row>
    <row r="141" spans="1:5" x14ac:dyDescent="0.25">
      <c r="A141" s="5" t="s">
        <v>577</v>
      </c>
      <c r="B141" s="7" t="s">
        <v>578</v>
      </c>
      <c r="C141" s="7" t="s">
        <v>2659</v>
      </c>
      <c r="D141" s="7"/>
      <c r="E141" t="str">
        <f>_xlfn.XLOOKUP(Table2[[#This Row],[RARC CODE]],'New Rarc Code'!A141:A1058,'New Rarc Code'!C141:C1058,"Not Active")</f>
        <v>Active</v>
      </c>
    </row>
    <row r="142" spans="1:5" x14ac:dyDescent="0.25">
      <c r="A142" s="5" t="s">
        <v>579</v>
      </c>
      <c r="B142" s="7" t="s">
        <v>580</v>
      </c>
      <c r="C142" s="7" t="s">
        <v>2660</v>
      </c>
      <c r="D142" s="7"/>
      <c r="E142" t="str">
        <f>_xlfn.XLOOKUP(Table2[[#This Row],[RARC CODE]],'New Rarc Code'!A142:A1059,'New Rarc Code'!C142:C1059,"Not Active")</f>
        <v>Active</v>
      </c>
    </row>
    <row r="143" spans="1:5" x14ac:dyDescent="0.25">
      <c r="A143" s="5" t="s">
        <v>581</v>
      </c>
      <c r="B143" s="7" t="s">
        <v>582</v>
      </c>
      <c r="C143" s="7" t="s">
        <v>2661</v>
      </c>
      <c r="D143" s="7"/>
      <c r="E143" t="str">
        <f>_xlfn.XLOOKUP(Table2[[#This Row],[RARC CODE]],'New Rarc Code'!A143:A1060,'New Rarc Code'!C143:C1060,"Not Active")</f>
        <v>Active</v>
      </c>
    </row>
    <row r="144" spans="1:5" x14ac:dyDescent="0.25">
      <c r="A144" s="5" t="s">
        <v>583</v>
      </c>
      <c r="B144" s="7" t="s">
        <v>584</v>
      </c>
      <c r="C144" s="7" t="s">
        <v>2662</v>
      </c>
      <c r="D144" s="7"/>
      <c r="E144" t="str">
        <f>_xlfn.XLOOKUP(Table2[[#This Row],[RARC CODE]],'New Rarc Code'!A144:A1061,'New Rarc Code'!C144:C1061,"Not Active")</f>
        <v>Active</v>
      </c>
    </row>
    <row r="145" spans="1:5" x14ac:dyDescent="0.25">
      <c r="A145" s="5" t="s">
        <v>585</v>
      </c>
      <c r="B145" s="8" t="s">
        <v>2256</v>
      </c>
      <c r="C145" s="8" t="s">
        <v>2663</v>
      </c>
      <c r="D145" s="8"/>
      <c r="E145" t="str">
        <f>_xlfn.XLOOKUP(Table2[[#This Row],[RARC CODE]],'New Rarc Code'!A145:A1062,'New Rarc Code'!C145:C1062,"Not Active")</f>
        <v>Active</v>
      </c>
    </row>
    <row r="146" spans="1:5" x14ac:dyDescent="0.25">
      <c r="A146" s="5" t="s">
        <v>423</v>
      </c>
      <c r="B146" s="7" t="s">
        <v>424</v>
      </c>
      <c r="C146" s="7" t="s">
        <v>2664</v>
      </c>
      <c r="D146" s="7"/>
      <c r="E146" t="str">
        <f>_xlfn.XLOOKUP(Table2[[#This Row],[RARC CODE]],'New Rarc Code'!A146:A1063,'New Rarc Code'!C146:C1063,"Not Active")</f>
        <v>Active</v>
      </c>
    </row>
    <row r="147" spans="1:5" x14ac:dyDescent="0.25">
      <c r="A147" s="5" t="s">
        <v>586</v>
      </c>
      <c r="B147" s="7" t="s">
        <v>587</v>
      </c>
      <c r="C147" s="7" t="s">
        <v>2665</v>
      </c>
      <c r="D147" s="7"/>
      <c r="E147" t="str">
        <f>_xlfn.XLOOKUP(Table2[[#This Row],[RARC CODE]],'New Rarc Code'!A147:A1064,'New Rarc Code'!C147:C1064,"Not Active")</f>
        <v>Not Active</v>
      </c>
    </row>
    <row r="148" spans="1:5" x14ac:dyDescent="0.25">
      <c r="A148" s="5" t="s">
        <v>588</v>
      </c>
      <c r="B148" s="7" t="s">
        <v>589</v>
      </c>
      <c r="C148" s="7" t="s">
        <v>2666</v>
      </c>
      <c r="D148" s="7"/>
      <c r="E148" t="str">
        <f>_xlfn.XLOOKUP(Table2[[#This Row],[RARC CODE]],'New Rarc Code'!A148:A1065,'New Rarc Code'!C148:C1065,"Not Active")</f>
        <v>Active</v>
      </c>
    </row>
    <row r="149" spans="1:5" x14ac:dyDescent="0.25">
      <c r="A149" s="5" t="s">
        <v>590</v>
      </c>
      <c r="B149" s="7" t="s">
        <v>591</v>
      </c>
      <c r="C149" s="7" t="s">
        <v>2667</v>
      </c>
      <c r="D149" s="7"/>
      <c r="E149" t="str">
        <f>_xlfn.XLOOKUP(Table2[[#This Row],[RARC CODE]],'New Rarc Code'!A149:A1066,'New Rarc Code'!C149:C1066,"Not Active")</f>
        <v>Active</v>
      </c>
    </row>
    <row r="150" spans="1:5" x14ac:dyDescent="0.25">
      <c r="A150" s="5" t="s">
        <v>592</v>
      </c>
      <c r="B150" s="7" t="s">
        <v>593</v>
      </c>
      <c r="C150" s="7" t="s">
        <v>2668</v>
      </c>
      <c r="D150" s="7"/>
      <c r="E150" t="str">
        <f>_xlfn.XLOOKUP(Table2[[#This Row],[RARC CODE]],'New Rarc Code'!A150:A1067,'New Rarc Code'!C150:C1067,"Not Active")</f>
        <v>Not Active</v>
      </c>
    </row>
    <row r="151" spans="1:5" x14ac:dyDescent="0.25">
      <c r="A151" s="5" t="s">
        <v>594</v>
      </c>
      <c r="B151" s="7" t="s">
        <v>595</v>
      </c>
      <c r="C151" s="7" t="s">
        <v>2669</v>
      </c>
      <c r="D151" s="7"/>
      <c r="E151" t="str">
        <f>_xlfn.XLOOKUP(Table2[[#This Row],[RARC CODE]],'New Rarc Code'!A151:A1068,'New Rarc Code'!C151:C1068,"Not Active")</f>
        <v>Active</v>
      </c>
    </row>
    <row r="152" spans="1:5" x14ac:dyDescent="0.25">
      <c r="A152" s="5" t="s">
        <v>596</v>
      </c>
      <c r="B152" s="7" t="s">
        <v>597</v>
      </c>
      <c r="C152" s="7" t="s">
        <v>2670</v>
      </c>
      <c r="D152" s="7"/>
      <c r="E152" t="str">
        <f>_xlfn.XLOOKUP(Table2[[#This Row],[RARC CODE]],'New Rarc Code'!A152:A1069,'New Rarc Code'!C152:C1069,"Not Active")</f>
        <v>Not Active</v>
      </c>
    </row>
    <row r="153" spans="1:5" x14ac:dyDescent="0.25">
      <c r="A153" s="5" t="s">
        <v>598</v>
      </c>
      <c r="B153" s="7" t="s">
        <v>599</v>
      </c>
      <c r="C153" s="7" t="s">
        <v>2671</v>
      </c>
      <c r="D153" s="7"/>
      <c r="E153" t="str">
        <f>_xlfn.XLOOKUP(Table2[[#This Row],[RARC CODE]],'New Rarc Code'!A153:A1070,'New Rarc Code'!C153:C1070,"Not Active")</f>
        <v>Not Active</v>
      </c>
    </row>
    <row r="154" spans="1:5" x14ac:dyDescent="0.25">
      <c r="A154" s="5" t="s">
        <v>425</v>
      </c>
      <c r="B154" s="8" t="s">
        <v>2238</v>
      </c>
      <c r="C154" s="8" t="s">
        <v>2672</v>
      </c>
      <c r="D154" s="8"/>
      <c r="E154" t="str">
        <f>_xlfn.XLOOKUP(Table2[[#This Row],[RARC CODE]],'New Rarc Code'!A154:A1071,'New Rarc Code'!C154:C1071,"Not Active")</f>
        <v>Not Active</v>
      </c>
    </row>
    <row r="155" spans="1:5" x14ac:dyDescent="0.25">
      <c r="A155" s="5" t="s">
        <v>600</v>
      </c>
      <c r="B155" s="7" t="s">
        <v>601</v>
      </c>
      <c r="C155" s="7" t="s">
        <v>2673</v>
      </c>
      <c r="D155" s="7"/>
      <c r="E155" t="str">
        <f>_xlfn.XLOOKUP(Table2[[#This Row],[RARC CODE]],'New Rarc Code'!A155:A1072,'New Rarc Code'!C155:C1072,"Not Active")</f>
        <v>Active</v>
      </c>
    </row>
    <row r="156" spans="1:5" x14ac:dyDescent="0.25">
      <c r="A156" s="5" t="s">
        <v>602</v>
      </c>
      <c r="B156" s="7" t="s">
        <v>603</v>
      </c>
      <c r="C156" s="7" t="s">
        <v>2674</v>
      </c>
      <c r="D156" s="7"/>
      <c r="E156" t="str">
        <f>_xlfn.XLOOKUP(Table2[[#This Row],[RARC CODE]],'New Rarc Code'!A156:A1073,'New Rarc Code'!C156:C1073,"Not Active")</f>
        <v>Not Active</v>
      </c>
    </row>
    <row r="157" spans="1:5" x14ac:dyDescent="0.25">
      <c r="A157" s="5" t="s">
        <v>604</v>
      </c>
      <c r="B157" s="7" t="s">
        <v>605</v>
      </c>
      <c r="C157" s="7" t="s">
        <v>2675</v>
      </c>
      <c r="D157" s="7"/>
      <c r="E157" t="str">
        <f>_xlfn.XLOOKUP(Table2[[#This Row],[RARC CODE]],'New Rarc Code'!A157:A1074,'New Rarc Code'!C157:C1074,"Not Active")</f>
        <v>Not Active</v>
      </c>
    </row>
    <row r="158" spans="1:5" x14ac:dyDescent="0.25">
      <c r="A158" s="5" t="s">
        <v>606</v>
      </c>
      <c r="B158" s="7" t="s">
        <v>607</v>
      </c>
      <c r="C158" s="7" t="s">
        <v>2676</v>
      </c>
      <c r="D158" s="7"/>
      <c r="E158" t="str">
        <f>_xlfn.XLOOKUP(Table2[[#This Row],[RARC CODE]],'New Rarc Code'!A158:A1075,'New Rarc Code'!C158:C1075,"Not Active")</f>
        <v>Not Active</v>
      </c>
    </row>
    <row r="159" spans="1:5" x14ac:dyDescent="0.25">
      <c r="A159" s="5" t="s">
        <v>608</v>
      </c>
      <c r="B159" s="7" t="s">
        <v>609</v>
      </c>
      <c r="C159" s="7" t="s">
        <v>2677</v>
      </c>
      <c r="D159" s="7"/>
      <c r="E159" t="str">
        <f>_xlfn.XLOOKUP(Table2[[#This Row],[RARC CODE]],'New Rarc Code'!A159:A1076,'New Rarc Code'!C159:C1076,"Not Active")</f>
        <v>Not Active</v>
      </c>
    </row>
    <row r="160" spans="1:5" x14ac:dyDescent="0.25">
      <c r="A160" s="5" t="s">
        <v>426</v>
      </c>
      <c r="B160" s="8" t="s">
        <v>2239</v>
      </c>
      <c r="C160" s="8" t="s">
        <v>2678</v>
      </c>
      <c r="D160" s="8"/>
      <c r="E160" t="str">
        <f>_xlfn.XLOOKUP(Table2[[#This Row],[RARC CODE]],'New Rarc Code'!A160:A1077,'New Rarc Code'!C160:C1077,"Not Active")</f>
        <v>Not Active</v>
      </c>
    </row>
    <row r="161" spans="1:5" x14ac:dyDescent="0.25">
      <c r="A161" s="5" t="s">
        <v>427</v>
      </c>
      <c r="B161" s="8" t="s">
        <v>2240</v>
      </c>
      <c r="C161" s="8" t="s">
        <v>2679</v>
      </c>
      <c r="D161" s="8"/>
      <c r="E161" t="str">
        <f>_xlfn.XLOOKUP(Table2[[#This Row],[RARC CODE]],'New Rarc Code'!A161:A1078,'New Rarc Code'!C161:C1078,"Not Active")</f>
        <v>Not Active</v>
      </c>
    </row>
    <row r="162" spans="1:5" x14ac:dyDescent="0.25">
      <c r="A162" s="5" t="s">
        <v>428</v>
      </c>
      <c r="B162" s="7" t="s">
        <v>429</v>
      </c>
      <c r="C162" s="7" t="s">
        <v>2680</v>
      </c>
      <c r="D162" s="7"/>
      <c r="E162" t="str">
        <f>_xlfn.XLOOKUP(Table2[[#This Row],[RARC CODE]],'New Rarc Code'!A162:A1079,'New Rarc Code'!C162:C1079,"Not Active")</f>
        <v>Not Active</v>
      </c>
    </row>
    <row r="163" spans="1:5" x14ac:dyDescent="0.25">
      <c r="A163" s="5" t="s">
        <v>430</v>
      </c>
      <c r="B163" s="7" t="s">
        <v>431</v>
      </c>
      <c r="C163" s="7" t="s">
        <v>2681</v>
      </c>
      <c r="D163" s="7"/>
      <c r="E163" t="str">
        <f>_xlfn.XLOOKUP(Table2[[#This Row],[RARC CODE]],'New Rarc Code'!A163:A1080,'New Rarc Code'!C163:C1080,"Not Active")</f>
        <v>Not Active</v>
      </c>
    </row>
    <row r="164" spans="1:5" x14ac:dyDescent="0.25">
      <c r="A164" s="5" t="s">
        <v>432</v>
      </c>
      <c r="B164" s="8" t="s">
        <v>2241</v>
      </c>
      <c r="C164" s="8" t="s">
        <v>2682</v>
      </c>
      <c r="D164" s="8"/>
      <c r="E164" t="str">
        <f>_xlfn.XLOOKUP(Table2[[#This Row],[RARC CODE]],'New Rarc Code'!A164:A1081,'New Rarc Code'!C164:C1081,"Not Active")</f>
        <v>Not Active</v>
      </c>
    </row>
    <row r="165" spans="1:5" x14ac:dyDescent="0.25">
      <c r="A165" s="5" t="s">
        <v>433</v>
      </c>
      <c r="B165" s="8" t="s">
        <v>2242</v>
      </c>
      <c r="C165" s="8" t="s">
        <v>2683</v>
      </c>
      <c r="D165" s="8"/>
      <c r="E165" t="str">
        <f>_xlfn.XLOOKUP(Table2[[#This Row],[RARC CODE]],'New Rarc Code'!A165:A1082,'New Rarc Code'!C165:C1082,"Not Active")</f>
        <v>Not Active</v>
      </c>
    </row>
    <row r="166" spans="1:5" x14ac:dyDescent="0.25">
      <c r="A166" s="5" t="s">
        <v>434</v>
      </c>
      <c r="B166" s="7" t="s">
        <v>435</v>
      </c>
      <c r="C166" s="7" t="s">
        <v>2684</v>
      </c>
      <c r="D166" s="7"/>
      <c r="E166" t="str">
        <f>_xlfn.XLOOKUP(Table2[[#This Row],[RARC CODE]],'New Rarc Code'!A166:A1083,'New Rarc Code'!C166:C1083,"Not Active")</f>
        <v>Not Active</v>
      </c>
    </row>
    <row r="167" spans="1:5" x14ac:dyDescent="0.25">
      <c r="A167" s="5" t="s">
        <v>436</v>
      </c>
      <c r="B167" s="7" t="s">
        <v>437</v>
      </c>
      <c r="C167" s="7" t="s">
        <v>2685</v>
      </c>
      <c r="D167" s="7"/>
      <c r="E167" t="str">
        <f>_xlfn.XLOOKUP(Table2[[#This Row],[RARC CODE]],'New Rarc Code'!A167:A1084,'New Rarc Code'!C167:C1084,"Not Active")</f>
        <v>Not Active</v>
      </c>
    </row>
    <row r="168" spans="1:5" x14ac:dyDescent="0.25">
      <c r="A168" s="5" t="s">
        <v>438</v>
      </c>
      <c r="B168" s="7" t="s">
        <v>439</v>
      </c>
      <c r="C168" s="7" t="s">
        <v>2686</v>
      </c>
      <c r="D168" s="7"/>
      <c r="E168" t="str">
        <f>_xlfn.XLOOKUP(Table2[[#This Row],[RARC CODE]],'New Rarc Code'!A168:A1085,'New Rarc Code'!C168:C1085,"Not Active")</f>
        <v>Not Active</v>
      </c>
    </row>
    <row r="169" spans="1:5" x14ac:dyDescent="0.25">
      <c r="A169" s="5" t="s">
        <v>440</v>
      </c>
      <c r="B169" s="7" t="s">
        <v>441</v>
      </c>
      <c r="C169" s="7" t="s">
        <v>2687</v>
      </c>
      <c r="D169" s="7"/>
      <c r="E169" t="str">
        <f>_xlfn.XLOOKUP(Table2[[#This Row],[RARC CODE]],'New Rarc Code'!A169:A1086,'New Rarc Code'!C169:C1086,"Not Active")</f>
        <v>Not Active</v>
      </c>
    </row>
    <row r="170" spans="1:5" x14ac:dyDescent="0.25">
      <c r="A170" s="5" t="s">
        <v>442</v>
      </c>
      <c r="B170" s="7" t="s">
        <v>443</v>
      </c>
      <c r="C170" s="7" t="s">
        <v>2688</v>
      </c>
      <c r="D170" s="7"/>
      <c r="E170" t="str">
        <f>_xlfn.XLOOKUP(Table2[[#This Row],[RARC CODE]],'New Rarc Code'!A170:A1087,'New Rarc Code'!C170:C1087,"Not Active")</f>
        <v>Not Active</v>
      </c>
    </row>
    <row r="171" spans="1:5" x14ac:dyDescent="0.25">
      <c r="A171" s="5" t="s">
        <v>444</v>
      </c>
      <c r="B171" s="7" t="s">
        <v>445</v>
      </c>
      <c r="C171" s="7" t="s">
        <v>2689</v>
      </c>
      <c r="D171" s="7"/>
      <c r="E171" t="str">
        <f>_xlfn.XLOOKUP(Table2[[#This Row],[RARC CODE]],'New Rarc Code'!A171:A1088,'New Rarc Code'!C171:C1088,"Not Active")</f>
        <v>Not Active</v>
      </c>
    </row>
    <row r="172" spans="1:5" x14ac:dyDescent="0.25">
      <c r="A172" s="5" t="s">
        <v>446</v>
      </c>
      <c r="B172" s="8" t="s">
        <v>2243</v>
      </c>
      <c r="C172" s="8" t="s">
        <v>2690</v>
      </c>
      <c r="D172" s="8"/>
      <c r="E172" t="str">
        <f>_xlfn.XLOOKUP(Table2[[#This Row],[RARC CODE]],'New Rarc Code'!A172:A1089,'New Rarc Code'!C172:C1089,"Not Active")</f>
        <v>Not Active</v>
      </c>
    </row>
    <row r="173" spans="1:5" x14ac:dyDescent="0.25">
      <c r="A173" s="5" t="s">
        <v>447</v>
      </c>
      <c r="B173" s="7" t="s">
        <v>448</v>
      </c>
      <c r="C173" s="7" t="s">
        <v>2691</v>
      </c>
      <c r="D173" s="7"/>
      <c r="E173" t="str">
        <f>_xlfn.XLOOKUP(Table2[[#This Row],[RARC CODE]],'New Rarc Code'!A173:A1090,'New Rarc Code'!C173:C1090,"Not Active")</f>
        <v>Not Active</v>
      </c>
    </row>
    <row r="174" spans="1:5" x14ac:dyDescent="0.25">
      <c r="A174" s="5" t="s">
        <v>449</v>
      </c>
      <c r="B174" s="8" t="s">
        <v>2244</v>
      </c>
      <c r="C174" s="8" t="s">
        <v>2692</v>
      </c>
      <c r="D174" s="8"/>
      <c r="E174" t="str">
        <f>_xlfn.XLOOKUP(Table2[[#This Row],[RARC CODE]],'New Rarc Code'!A174:A1091,'New Rarc Code'!C174:C1091,"Not Active")</f>
        <v>Not Active</v>
      </c>
    </row>
    <row r="175" spans="1:5" x14ac:dyDescent="0.25">
      <c r="A175" s="5" t="s">
        <v>450</v>
      </c>
      <c r="B175" s="7" t="s">
        <v>451</v>
      </c>
      <c r="C175" s="7" t="s">
        <v>2693</v>
      </c>
      <c r="D175" s="7" t="s">
        <v>3694</v>
      </c>
      <c r="E175" t="str">
        <f>_xlfn.XLOOKUP(Table2[[#This Row],[RARC CODE]],'New Rarc Code'!A175:A1092,'New Rarc Code'!C175:C1092,"Not Active")</f>
        <v>Not Active</v>
      </c>
    </row>
    <row r="176" spans="1:5" x14ac:dyDescent="0.25">
      <c r="A176" s="5" t="s">
        <v>452</v>
      </c>
      <c r="B176" s="7" t="s">
        <v>453</v>
      </c>
      <c r="C176" s="7" t="s">
        <v>2694</v>
      </c>
      <c r="D176" s="7"/>
      <c r="E176" t="str">
        <f>_xlfn.XLOOKUP(Table2[[#This Row],[RARC CODE]],'New Rarc Code'!A176:A1093,'New Rarc Code'!C176:C1093,"Not Active")</f>
        <v>Not Active</v>
      </c>
    </row>
    <row r="177" spans="1:5" x14ac:dyDescent="0.25">
      <c r="A177" s="5" t="s">
        <v>454</v>
      </c>
      <c r="B177" s="7" t="s">
        <v>455</v>
      </c>
      <c r="C177" s="7" t="s">
        <v>2695</v>
      </c>
      <c r="D177" s="7"/>
      <c r="E177" t="str">
        <f>_xlfn.XLOOKUP(Table2[[#This Row],[RARC CODE]],'New Rarc Code'!A177:A1094,'New Rarc Code'!C177:C1094,"Not Active")</f>
        <v>Not Active</v>
      </c>
    </row>
    <row r="178" spans="1:5" x14ac:dyDescent="0.25">
      <c r="A178" s="5" t="s">
        <v>456</v>
      </c>
      <c r="B178" s="7" t="s">
        <v>457</v>
      </c>
      <c r="C178" s="7" t="s">
        <v>2696</v>
      </c>
      <c r="D178" s="7"/>
      <c r="E178" t="str">
        <f>_xlfn.XLOOKUP(Table2[[#This Row],[RARC CODE]],'New Rarc Code'!A178:A1095,'New Rarc Code'!C178:C1095,"Not Active")</f>
        <v>Not Active</v>
      </c>
    </row>
    <row r="179" spans="1:5" x14ac:dyDescent="0.25">
      <c r="A179" s="5" t="s">
        <v>458</v>
      </c>
      <c r="B179" s="7" t="s">
        <v>459</v>
      </c>
      <c r="C179" s="7" t="s">
        <v>2697</v>
      </c>
      <c r="D179" s="7"/>
      <c r="E179" t="str">
        <f>_xlfn.XLOOKUP(Table2[[#This Row],[RARC CODE]],'New Rarc Code'!A179:A1096,'New Rarc Code'!C179:C1096,"Not Active")</f>
        <v>Not Active</v>
      </c>
    </row>
    <row r="180" spans="1:5" x14ac:dyDescent="0.25">
      <c r="A180" s="5" t="s">
        <v>460</v>
      </c>
      <c r="B180" s="7" t="s">
        <v>461</v>
      </c>
      <c r="C180" s="7" t="s">
        <v>2698</v>
      </c>
      <c r="D180" s="7"/>
      <c r="E180" t="str">
        <f>_xlfn.XLOOKUP(Table2[[#This Row],[RARC CODE]],'New Rarc Code'!A180:A1097,'New Rarc Code'!C180:C1097,"Not Active")</f>
        <v>Not Active</v>
      </c>
    </row>
    <row r="181" spans="1:5" x14ac:dyDescent="0.25">
      <c r="A181" s="5" t="s">
        <v>462</v>
      </c>
      <c r="B181" s="7" t="s">
        <v>463</v>
      </c>
      <c r="C181" s="7" t="s">
        <v>2699</v>
      </c>
      <c r="D181" s="7"/>
      <c r="E181" t="str">
        <f>_xlfn.XLOOKUP(Table2[[#This Row],[RARC CODE]],'New Rarc Code'!A181:A1098,'New Rarc Code'!C181:C1098,"Not Active")</f>
        <v>Not Active</v>
      </c>
    </row>
    <row r="182" spans="1:5" x14ac:dyDescent="0.25">
      <c r="A182" s="5" t="s">
        <v>464</v>
      </c>
      <c r="B182" s="7" t="s">
        <v>465</v>
      </c>
      <c r="C182" s="7" t="s">
        <v>2700</v>
      </c>
      <c r="D182" s="7"/>
      <c r="E182" t="str">
        <f>_xlfn.XLOOKUP(Table2[[#This Row],[RARC CODE]],'New Rarc Code'!A182:A1099,'New Rarc Code'!C182:C1099,"Not Active")</f>
        <v>Not Active</v>
      </c>
    </row>
    <row r="183" spans="1:5" x14ac:dyDescent="0.25">
      <c r="A183" s="5" t="s">
        <v>466</v>
      </c>
      <c r="B183" s="7" t="s">
        <v>467</v>
      </c>
      <c r="C183" s="7" t="s">
        <v>2701</v>
      </c>
      <c r="D183" s="7"/>
      <c r="E183" t="str">
        <f>_xlfn.XLOOKUP(Table2[[#This Row],[RARC CODE]],'New Rarc Code'!A183:A1100,'New Rarc Code'!C183:C1100,"Not Active")</f>
        <v>Not Active</v>
      </c>
    </row>
    <row r="184" spans="1:5" x14ac:dyDescent="0.25">
      <c r="A184" s="5" t="s">
        <v>468</v>
      </c>
      <c r="B184" s="7" t="s">
        <v>469</v>
      </c>
      <c r="C184" s="7" t="s">
        <v>2702</v>
      </c>
      <c r="D184" s="7"/>
      <c r="E184" t="str">
        <f>_xlfn.XLOOKUP(Table2[[#This Row],[RARC CODE]],'New Rarc Code'!A184:A1101,'New Rarc Code'!C184:C1101,"Not Active")</f>
        <v>Not Active</v>
      </c>
    </row>
    <row r="185" spans="1:5" x14ac:dyDescent="0.25">
      <c r="A185" s="5" t="s">
        <v>470</v>
      </c>
      <c r="B185" s="7" t="s">
        <v>471</v>
      </c>
      <c r="C185" s="7" t="s">
        <v>2703</v>
      </c>
      <c r="D185" s="7"/>
      <c r="E185" t="str">
        <f>_xlfn.XLOOKUP(Table2[[#This Row],[RARC CODE]],'New Rarc Code'!A185:A1102,'New Rarc Code'!C185:C1102,"Not Active")</f>
        <v>Not Active</v>
      </c>
    </row>
    <row r="186" spans="1:5" x14ac:dyDescent="0.25">
      <c r="A186" s="5" t="s">
        <v>472</v>
      </c>
      <c r="B186" s="7" t="s">
        <v>473</v>
      </c>
      <c r="C186" s="7" t="s">
        <v>2704</v>
      </c>
      <c r="D186" s="7"/>
      <c r="E186" t="str">
        <f>_xlfn.XLOOKUP(Table2[[#This Row],[RARC CODE]],'New Rarc Code'!A186:A1103,'New Rarc Code'!C186:C1103,"Not Active")</f>
        <v>Not Active</v>
      </c>
    </row>
    <row r="187" spans="1:5" x14ac:dyDescent="0.25">
      <c r="A187" s="5" t="s">
        <v>474</v>
      </c>
      <c r="B187" s="7" t="s">
        <v>475</v>
      </c>
      <c r="C187" s="7" t="s">
        <v>2705</v>
      </c>
      <c r="D187" s="7"/>
      <c r="E187" t="str">
        <f>_xlfn.XLOOKUP(Table2[[#This Row],[RARC CODE]],'New Rarc Code'!A187:A1104,'New Rarc Code'!C187:C1104,"Not Active")</f>
        <v>Not Active</v>
      </c>
    </row>
    <row r="188" spans="1:5" x14ac:dyDescent="0.25">
      <c r="A188" s="5" t="s">
        <v>476</v>
      </c>
      <c r="B188" s="8" t="s">
        <v>2245</v>
      </c>
      <c r="C188" s="8" t="s">
        <v>2706</v>
      </c>
      <c r="D188" s="8"/>
      <c r="E188" t="str">
        <f>_xlfn.XLOOKUP(Table2[[#This Row],[RARC CODE]],'New Rarc Code'!A188:A1105,'New Rarc Code'!C188:C1105,"Not Active")</f>
        <v>Not Active</v>
      </c>
    </row>
    <row r="189" spans="1:5" x14ac:dyDescent="0.25">
      <c r="A189" s="5" t="s">
        <v>477</v>
      </c>
      <c r="B189" s="8" t="s">
        <v>2246</v>
      </c>
      <c r="C189" s="8" t="s">
        <v>2707</v>
      </c>
      <c r="D189" s="8"/>
      <c r="E189" t="str">
        <f>_xlfn.XLOOKUP(Table2[[#This Row],[RARC CODE]],'New Rarc Code'!A189:A1106,'New Rarc Code'!C189:C1106,"Not Active")</f>
        <v>Not Active</v>
      </c>
    </row>
    <row r="190" spans="1:5" x14ac:dyDescent="0.25">
      <c r="A190" s="5" t="s">
        <v>478</v>
      </c>
      <c r="B190" s="8" t="s">
        <v>2247</v>
      </c>
      <c r="C190" s="8" t="s">
        <v>2708</v>
      </c>
      <c r="D190" s="8"/>
      <c r="E190" t="str">
        <f>_xlfn.XLOOKUP(Table2[[#This Row],[RARC CODE]],'New Rarc Code'!A190:A1107,'New Rarc Code'!C190:C1107,"Not Active")</f>
        <v>Not Active</v>
      </c>
    </row>
    <row r="191" spans="1:5" x14ac:dyDescent="0.25">
      <c r="A191" s="5" t="s">
        <v>479</v>
      </c>
      <c r="B191" s="7" t="s">
        <v>480</v>
      </c>
      <c r="C191" s="7" t="s">
        <v>2709</v>
      </c>
      <c r="D191" s="7"/>
      <c r="E191" t="str">
        <f>_xlfn.XLOOKUP(Table2[[#This Row],[RARC CODE]],'New Rarc Code'!A191:A1108,'New Rarc Code'!C191:C1108,"Not Active")</f>
        <v>Not Active</v>
      </c>
    </row>
    <row r="192" spans="1:5" x14ac:dyDescent="0.25">
      <c r="A192" s="5" t="s">
        <v>481</v>
      </c>
      <c r="B192" s="7" t="s">
        <v>482</v>
      </c>
      <c r="C192" s="7" t="s">
        <v>2710</v>
      </c>
      <c r="D192" s="7"/>
      <c r="E192" t="str">
        <f>_xlfn.XLOOKUP(Table2[[#This Row],[RARC CODE]],'New Rarc Code'!A192:A1109,'New Rarc Code'!C192:C1109,"Not Active")</f>
        <v>Not Active</v>
      </c>
    </row>
    <row r="193" spans="1:5" x14ac:dyDescent="0.25">
      <c r="A193" s="5" t="s">
        <v>483</v>
      </c>
      <c r="B193" s="7" t="s">
        <v>484</v>
      </c>
      <c r="C193" s="7" t="s">
        <v>2711</v>
      </c>
      <c r="D193" s="7"/>
      <c r="E193" t="str">
        <f>_xlfn.XLOOKUP(Table2[[#This Row],[RARC CODE]],'New Rarc Code'!A193:A1110,'New Rarc Code'!C193:C1110,"Not Active")</f>
        <v>Not Active</v>
      </c>
    </row>
    <row r="194" spans="1:5" x14ac:dyDescent="0.25">
      <c r="A194" s="5" t="s">
        <v>485</v>
      </c>
      <c r="B194" s="7" t="s">
        <v>486</v>
      </c>
      <c r="C194" s="7" t="s">
        <v>2712</v>
      </c>
      <c r="D194" s="7"/>
      <c r="E194" t="str">
        <f>_xlfn.XLOOKUP(Table2[[#This Row],[RARC CODE]],'New Rarc Code'!A194:A1111,'New Rarc Code'!C194:C1111,"Not Active")</f>
        <v>Not Active</v>
      </c>
    </row>
    <row r="195" spans="1:5" x14ac:dyDescent="0.25">
      <c r="A195" s="5" t="s">
        <v>487</v>
      </c>
      <c r="B195" s="7" t="s">
        <v>488</v>
      </c>
      <c r="C195" s="7" t="s">
        <v>2713</v>
      </c>
      <c r="D195" s="7"/>
      <c r="E195" t="str">
        <f>_xlfn.XLOOKUP(Table2[[#This Row],[RARC CODE]],'New Rarc Code'!A195:A1112,'New Rarc Code'!C195:C1112,"Not Active")</f>
        <v>Not Active</v>
      </c>
    </row>
    <row r="196" spans="1:5" x14ac:dyDescent="0.25">
      <c r="A196" s="5" t="s">
        <v>489</v>
      </c>
      <c r="B196" s="7" t="s">
        <v>490</v>
      </c>
      <c r="C196" s="7" t="s">
        <v>2714</v>
      </c>
      <c r="D196" s="7"/>
      <c r="E196" t="str">
        <f>_xlfn.XLOOKUP(Table2[[#This Row],[RARC CODE]],'New Rarc Code'!A196:A1113,'New Rarc Code'!C196:C1113,"Not Active")</f>
        <v>Not Active</v>
      </c>
    </row>
    <row r="197" spans="1:5" x14ac:dyDescent="0.25">
      <c r="A197" s="5" t="s">
        <v>491</v>
      </c>
      <c r="B197" s="7" t="s">
        <v>492</v>
      </c>
      <c r="C197" s="7" t="s">
        <v>2715</v>
      </c>
      <c r="D197" s="7"/>
      <c r="E197" t="str">
        <f>_xlfn.XLOOKUP(Table2[[#This Row],[RARC CODE]],'New Rarc Code'!A197:A1114,'New Rarc Code'!C197:C1114,"Not Active")</f>
        <v>Not Active</v>
      </c>
    </row>
    <row r="198" spans="1:5" x14ac:dyDescent="0.25">
      <c r="A198" s="5" t="s">
        <v>493</v>
      </c>
      <c r="B198" s="7" t="s">
        <v>494</v>
      </c>
      <c r="C198" s="7" t="s">
        <v>2716</v>
      </c>
      <c r="D198" s="7"/>
      <c r="E198" t="str">
        <f>_xlfn.XLOOKUP(Table2[[#This Row],[RARC CODE]],'New Rarc Code'!A198:A1115,'New Rarc Code'!C198:C1115,"Not Active")</f>
        <v>Not Active</v>
      </c>
    </row>
    <row r="199" spans="1:5" x14ac:dyDescent="0.25">
      <c r="A199" s="5" t="s">
        <v>495</v>
      </c>
      <c r="B199" s="7" t="s">
        <v>496</v>
      </c>
      <c r="C199" s="7" t="s">
        <v>2717</v>
      </c>
      <c r="D199" s="7"/>
      <c r="E199" t="str">
        <f>_xlfn.XLOOKUP(Table2[[#This Row],[RARC CODE]],'New Rarc Code'!A199:A1116,'New Rarc Code'!C199:C1116,"Not Active")</f>
        <v>Not Active</v>
      </c>
    </row>
    <row r="200" spans="1:5" x14ac:dyDescent="0.25">
      <c r="A200" s="5" t="s">
        <v>497</v>
      </c>
      <c r="B200" s="8" t="s">
        <v>2248</v>
      </c>
      <c r="C200" s="8" t="s">
        <v>2718</v>
      </c>
      <c r="D200" s="8"/>
      <c r="E200" t="str">
        <f>_xlfn.XLOOKUP(Table2[[#This Row],[RARC CODE]],'New Rarc Code'!A200:A1117,'New Rarc Code'!C200:C1117,"Not Active")</f>
        <v>Not Active</v>
      </c>
    </row>
    <row r="201" spans="1:5" x14ac:dyDescent="0.25">
      <c r="A201" s="5" t="s">
        <v>498</v>
      </c>
      <c r="B201" s="7" t="s">
        <v>499</v>
      </c>
      <c r="C201" s="7" t="s">
        <v>2719</v>
      </c>
      <c r="D201" s="7"/>
      <c r="E201" t="str">
        <f>_xlfn.XLOOKUP(Table2[[#This Row],[RARC CODE]],'New Rarc Code'!A201:A1118,'New Rarc Code'!C201:C1118,"Not Active")</f>
        <v>Not Active</v>
      </c>
    </row>
    <row r="202" spans="1:5" x14ac:dyDescent="0.25">
      <c r="A202" s="5" t="s">
        <v>500</v>
      </c>
      <c r="B202" s="7" t="s">
        <v>501</v>
      </c>
      <c r="C202" s="7" t="s">
        <v>2720</v>
      </c>
      <c r="D202" s="7"/>
      <c r="E202" t="str">
        <f>_xlfn.XLOOKUP(Table2[[#This Row],[RARC CODE]],'New Rarc Code'!A202:A1119,'New Rarc Code'!C202:C1119,"Not Active")</f>
        <v>Not Active</v>
      </c>
    </row>
    <row r="203" spans="1:5" x14ac:dyDescent="0.25">
      <c r="A203" s="5" t="s">
        <v>502</v>
      </c>
      <c r="B203" s="8" t="s">
        <v>2249</v>
      </c>
      <c r="C203" s="8" t="s">
        <v>2721</v>
      </c>
      <c r="D203" s="8"/>
      <c r="E203" t="str">
        <f>_xlfn.XLOOKUP(Table2[[#This Row],[RARC CODE]],'New Rarc Code'!A203:A1120,'New Rarc Code'!C203:C1120,"Not Active")</f>
        <v>Not Active</v>
      </c>
    </row>
    <row r="204" spans="1:5" x14ac:dyDescent="0.25">
      <c r="A204" s="5" t="s">
        <v>503</v>
      </c>
      <c r="B204" s="7" t="s">
        <v>504</v>
      </c>
      <c r="C204" s="7" t="s">
        <v>2722</v>
      </c>
      <c r="D204" s="7" t="s">
        <v>3694</v>
      </c>
      <c r="E204" t="str">
        <f>_xlfn.XLOOKUP(Table2[[#This Row],[RARC CODE]],'New Rarc Code'!A204:A1121,'New Rarc Code'!C204:C1121,"Not Active")</f>
        <v>Not Active</v>
      </c>
    </row>
    <row r="205" spans="1:5" x14ac:dyDescent="0.25">
      <c r="A205" s="5" t="s">
        <v>505</v>
      </c>
      <c r="B205" s="7" t="s">
        <v>506</v>
      </c>
      <c r="C205" s="7" t="s">
        <v>2723</v>
      </c>
      <c r="D205" s="7"/>
      <c r="E205" t="str">
        <f>_xlfn.XLOOKUP(Table2[[#This Row],[RARC CODE]],'New Rarc Code'!A205:A1122,'New Rarc Code'!C205:C1122,"Not Active")</f>
        <v>Not Active</v>
      </c>
    </row>
    <row r="206" spans="1:5" x14ac:dyDescent="0.25">
      <c r="A206" s="5" t="s">
        <v>507</v>
      </c>
      <c r="B206" s="7" t="s">
        <v>508</v>
      </c>
      <c r="C206" s="7" t="s">
        <v>2724</v>
      </c>
      <c r="D206" s="7" t="s">
        <v>3694</v>
      </c>
      <c r="E206" t="str">
        <f>_xlfn.XLOOKUP(Table2[[#This Row],[RARC CODE]],'New Rarc Code'!A206:A1123,'New Rarc Code'!C206:C1123,"Not Active")</f>
        <v>Not Active</v>
      </c>
    </row>
    <row r="207" spans="1:5" x14ac:dyDescent="0.25">
      <c r="A207" s="5" t="s">
        <v>509</v>
      </c>
      <c r="B207" s="7" t="s">
        <v>510</v>
      </c>
      <c r="C207" s="7" t="s">
        <v>2725</v>
      </c>
      <c r="D207" s="7"/>
      <c r="E207" t="str">
        <f>_xlfn.XLOOKUP(Table2[[#This Row],[RARC CODE]],'New Rarc Code'!A207:A1124,'New Rarc Code'!C207:C1124,"Not Active")</f>
        <v>Not Active</v>
      </c>
    </row>
    <row r="208" spans="1:5" x14ac:dyDescent="0.25">
      <c r="A208" s="5" t="s">
        <v>511</v>
      </c>
      <c r="B208" s="8" t="s">
        <v>2250</v>
      </c>
      <c r="C208" s="8" t="s">
        <v>2726</v>
      </c>
      <c r="D208" s="8"/>
      <c r="E208" t="str">
        <f>_xlfn.XLOOKUP(Table2[[#This Row],[RARC CODE]],'New Rarc Code'!A208:A1125,'New Rarc Code'!C208:C1125,"Not Active")</f>
        <v>Not Active</v>
      </c>
    </row>
    <row r="209" spans="1:5" x14ac:dyDescent="0.25">
      <c r="A209" s="5" t="s">
        <v>512</v>
      </c>
      <c r="B209" s="8" t="s">
        <v>2251</v>
      </c>
      <c r="C209" s="8" t="s">
        <v>2727</v>
      </c>
      <c r="D209" s="8"/>
      <c r="E209" t="str">
        <f>_xlfn.XLOOKUP(Table2[[#This Row],[RARC CODE]],'New Rarc Code'!A209:A1126,'New Rarc Code'!C209:C1126,"Not Active")</f>
        <v>Not Active</v>
      </c>
    </row>
    <row r="210" spans="1:5" x14ac:dyDescent="0.25">
      <c r="A210" s="5" t="s">
        <v>513</v>
      </c>
      <c r="B210" s="7" t="s">
        <v>514</v>
      </c>
      <c r="C210" s="7" t="s">
        <v>2728</v>
      </c>
      <c r="D210" s="7"/>
      <c r="E210" t="str">
        <f>_xlfn.XLOOKUP(Table2[[#This Row],[RARC CODE]],'New Rarc Code'!A210:A1127,'New Rarc Code'!C210:C1127,"Not Active")</f>
        <v>Not Active</v>
      </c>
    </row>
    <row r="211" spans="1:5" x14ac:dyDescent="0.25">
      <c r="A211" s="5" t="s">
        <v>515</v>
      </c>
      <c r="B211" s="7" t="s">
        <v>516</v>
      </c>
      <c r="C211" s="7" t="s">
        <v>2729</v>
      </c>
      <c r="D211" s="7"/>
      <c r="E211" t="str">
        <f>_xlfn.XLOOKUP(Table2[[#This Row],[RARC CODE]],'New Rarc Code'!A211:A1128,'New Rarc Code'!C211:C1128,"Not Active")</f>
        <v>Not Active</v>
      </c>
    </row>
    <row r="212" spans="1:5" x14ac:dyDescent="0.25">
      <c r="A212" s="5" t="s">
        <v>517</v>
      </c>
      <c r="B212" s="7" t="s">
        <v>518</v>
      </c>
      <c r="C212" s="7" t="s">
        <v>2730</v>
      </c>
      <c r="D212" s="7"/>
      <c r="E212" t="str">
        <f>_xlfn.XLOOKUP(Table2[[#This Row],[RARC CODE]],'New Rarc Code'!A212:A1129,'New Rarc Code'!C212:C1129,"Not Active")</f>
        <v>Not Active</v>
      </c>
    </row>
    <row r="213" spans="1:5" x14ac:dyDescent="0.25">
      <c r="A213" s="5" t="s">
        <v>519</v>
      </c>
      <c r="B213" s="8" t="s">
        <v>2252</v>
      </c>
      <c r="C213" s="8" t="s">
        <v>2731</v>
      </c>
      <c r="D213" s="8"/>
      <c r="E213" t="str">
        <f>_xlfn.XLOOKUP(Table2[[#This Row],[RARC CODE]],'New Rarc Code'!A213:A1130,'New Rarc Code'!C213:C1130,"Not Active")</f>
        <v>Not Active</v>
      </c>
    </row>
    <row r="214" spans="1:5" x14ac:dyDescent="0.25">
      <c r="A214" s="5" t="s">
        <v>520</v>
      </c>
      <c r="B214" s="7" t="s">
        <v>521</v>
      </c>
      <c r="C214" s="7" t="s">
        <v>2732</v>
      </c>
      <c r="D214" s="7"/>
      <c r="E214" t="str">
        <f>_xlfn.XLOOKUP(Table2[[#This Row],[RARC CODE]],'New Rarc Code'!A214:A1131,'New Rarc Code'!C214:C1131,"Not Active")</f>
        <v>Not Active</v>
      </c>
    </row>
    <row r="215" spans="1:5" x14ac:dyDescent="0.25">
      <c r="A215" s="5" t="s">
        <v>522</v>
      </c>
      <c r="B215" s="8" t="s">
        <v>2253</v>
      </c>
      <c r="C215" s="8" t="s">
        <v>2733</v>
      </c>
      <c r="D215" s="8"/>
      <c r="E215" t="str">
        <f>_xlfn.XLOOKUP(Table2[[#This Row],[RARC CODE]],'New Rarc Code'!A215:A1132,'New Rarc Code'!C215:C1132,"Not Active")</f>
        <v>Not Active</v>
      </c>
    </row>
    <row r="216" spans="1:5" x14ac:dyDescent="0.25">
      <c r="A216" s="5" t="s">
        <v>523</v>
      </c>
      <c r="B216" s="7" t="s">
        <v>524</v>
      </c>
      <c r="C216" s="7" t="s">
        <v>2734</v>
      </c>
      <c r="D216" s="7" t="s">
        <v>3694</v>
      </c>
      <c r="E216" t="str">
        <f>_xlfn.XLOOKUP(Table2[[#This Row],[RARC CODE]],'New Rarc Code'!A216:A1133,'New Rarc Code'!C216:C1133,"Not Active")</f>
        <v>Not Active</v>
      </c>
    </row>
    <row r="217" spans="1:5" x14ac:dyDescent="0.25">
      <c r="A217" s="5" t="s">
        <v>525</v>
      </c>
      <c r="B217" s="7" t="s">
        <v>526</v>
      </c>
      <c r="C217" s="7" t="s">
        <v>2735</v>
      </c>
      <c r="D217" s="7"/>
      <c r="E217" t="str">
        <f>_xlfn.XLOOKUP(Table2[[#This Row],[RARC CODE]],'New Rarc Code'!A217:A1134,'New Rarc Code'!C217:C1134,"Not Active")</f>
        <v>Not Active</v>
      </c>
    </row>
    <row r="218" spans="1:5" x14ac:dyDescent="0.25">
      <c r="A218" s="5" t="s">
        <v>527</v>
      </c>
      <c r="B218" s="8" t="s">
        <v>2254</v>
      </c>
      <c r="C218" s="8" t="s">
        <v>2736</v>
      </c>
      <c r="D218" s="8"/>
      <c r="E218" t="str">
        <f>_xlfn.XLOOKUP(Table2[[#This Row],[RARC CODE]],'New Rarc Code'!A218:A1135,'New Rarc Code'!C218:C1135,"Not Active")</f>
        <v>Not Active</v>
      </c>
    </row>
    <row r="219" spans="1:5" x14ac:dyDescent="0.25">
      <c r="A219" s="5" t="s">
        <v>528</v>
      </c>
      <c r="B219" s="7" t="s">
        <v>529</v>
      </c>
      <c r="C219" s="7" t="s">
        <v>2737</v>
      </c>
      <c r="D219" s="7"/>
      <c r="E219" t="str">
        <f>_xlfn.XLOOKUP(Table2[[#This Row],[RARC CODE]],'New Rarc Code'!A219:A1136,'New Rarc Code'!C219:C1136,"Not Active")</f>
        <v>Not Active</v>
      </c>
    </row>
    <row r="220" spans="1:5" x14ac:dyDescent="0.25">
      <c r="A220" s="5" t="s">
        <v>530</v>
      </c>
      <c r="B220" s="7" t="s">
        <v>531</v>
      </c>
      <c r="C220" s="7" t="s">
        <v>2738</v>
      </c>
      <c r="D220" s="7"/>
      <c r="E220" t="str">
        <f>_xlfn.XLOOKUP(Table2[[#This Row],[RARC CODE]],'New Rarc Code'!A220:A1137,'New Rarc Code'!C220:C1137,"Not Active")</f>
        <v>Not Active</v>
      </c>
    </row>
    <row r="221" spans="1:5" x14ac:dyDescent="0.25">
      <c r="A221" s="5" t="s">
        <v>532</v>
      </c>
      <c r="B221" s="7" t="s">
        <v>533</v>
      </c>
      <c r="C221" s="7" t="s">
        <v>2739</v>
      </c>
      <c r="D221" s="7"/>
      <c r="E221" t="str">
        <f>_xlfn.XLOOKUP(Table2[[#This Row],[RARC CODE]],'New Rarc Code'!A221:A1138,'New Rarc Code'!C221:C1138,"Not Active")</f>
        <v>Not Active</v>
      </c>
    </row>
    <row r="222" spans="1:5" x14ac:dyDescent="0.25">
      <c r="A222" s="5" t="s">
        <v>534</v>
      </c>
      <c r="B222" s="7" t="s">
        <v>535</v>
      </c>
      <c r="C222" s="7" t="s">
        <v>2740</v>
      </c>
      <c r="D222" s="7"/>
      <c r="E222" t="str">
        <f>_xlfn.XLOOKUP(Table2[[#This Row],[RARC CODE]],'New Rarc Code'!A222:A1139,'New Rarc Code'!C222:C1139,"Not Active")</f>
        <v>Not Active</v>
      </c>
    </row>
    <row r="223" spans="1:5" x14ac:dyDescent="0.25">
      <c r="A223" s="5" t="s">
        <v>536</v>
      </c>
      <c r="B223" s="7" t="s">
        <v>537</v>
      </c>
      <c r="C223" s="7" t="s">
        <v>2741</v>
      </c>
      <c r="D223" s="7"/>
      <c r="E223" t="str">
        <f>_xlfn.XLOOKUP(Table2[[#This Row],[RARC CODE]],'New Rarc Code'!A223:A1140,'New Rarc Code'!C223:C1140,"Not Active")</f>
        <v>Not Active</v>
      </c>
    </row>
    <row r="224" spans="1:5" x14ac:dyDescent="0.25">
      <c r="A224" s="5" t="s">
        <v>538</v>
      </c>
      <c r="B224" s="7" t="s">
        <v>539</v>
      </c>
      <c r="C224" s="7" t="s">
        <v>2742</v>
      </c>
      <c r="D224" s="7"/>
      <c r="E224" t="str">
        <f>_xlfn.XLOOKUP(Table2[[#This Row],[RARC CODE]],'New Rarc Code'!A224:A1141,'New Rarc Code'!C224:C1141,"Not Active")</f>
        <v>Not Active</v>
      </c>
    </row>
    <row r="225" spans="1:5" x14ac:dyDescent="0.25">
      <c r="A225" s="5" t="s">
        <v>540</v>
      </c>
      <c r="B225" s="7" t="s">
        <v>541</v>
      </c>
      <c r="C225" s="7" t="s">
        <v>2743</v>
      </c>
      <c r="D225" s="7"/>
      <c r="E225" t="str">
        <f>_xlfn.XLOOKUP(Table2[[#This Row],[RARC CODE]],'New Rarc Code'!A225:A1142,'New Rarc Code'!C225:C1142,"Not Active")</f>
        <v>Not Active</v>
      </c>
    </row>
    <row r="226" spans="1:5" x14ac:dyDescent="0.25">
      <c r="A226" s="5" t="s">
        <v>542</v>
      </c>
      <c r="B226" s="7" t="s">
        <v>543</v>
      </c>
      <c r="C226" s="7" t="s">
        <v>2744</v>
      </c>
      <c r="D226" s="7"/>
      <c r="E226" t="str">
        <f>_xlfn.XLOOKUP(Table2[[#This Row],[RARC CODE]],'New Rarc Code'!A226:A1143,'New Rarc Code'!C226:C1143,"Not Active")</f>
        <v>Not Active</v>
      </c>
    </row>
    <row r="227" spans="1:5" x14ac:dyDescent="0.25">
      <c r="A227" s="5" t="s">
        <v>544</v>
      </c>
      <c r="B227" s="8" t="s">
        <v>2255</v>
      </c>
      <c r="C227" s="8" t="s">
        <v>2745</v>
      </c>
      <c r="D227" s="8"/>
      <c r="E227" t="str">
        <f>_xlfn.XLOOKUP(Table2[[#This Row],[RARC CODE]],'New Rarc Code'!A227:A1144,'New Rarc Code'!C227:C1144,"Not Active")</f>
        <v>Not Active</v>
      </c>
    </row>
    <row r="228" spans="1:5" x14ac:dyDescent="0.25">
      <c r="A228" s="5" t="s">
        <v>545</v>
      </c>
      <c r="B228" s="7" t="s">
        <v>546</v>
      </c>
      <c r="C228" s="7" t="s">
        <v>2746</v>
      </c>
      <c r="D228" s="7"/>
      <c r="E228" t="str">
        <f>_xlfn.XLOOKUP(Table2[[#This Row],[RARC CODE]],'New Rarc Code'!A228:A1145,'New Rarc Code'!C228:C1145,"Not Active")</f>
        <v>Not Active</v>
      </c>
    </row>
    <row r="229" spans="1:5" x14ac:dyDescent="0.25">
      <c r="A229" s="5" t="s">
        <v>547</v>
      </c>
      <c r="B229" s="7" t="s">
        <v>548</v>
      </c>
      <c r="C229" s="7" t="s">
        <v>2747</v>
      </c>
      <c r="D229" s="7"/>
      <c r="E229" t="str">
        <f>_xlfn.XLOOKUP(Table2[[#This Row],[RARC CODE]],'New Rarc Code'!A229:A1146,'New Rarc Code'!C229:C1146,"Not Active")</f>
        <v>Not Active</v>
      </c>
    </row>
    <row r="230" spans="1:5" x14ac:dyDescent="0.25">
      <c r="A230" s="5" t="s">
        <v>549</v>
      </c>
      <c r="B230" s="7" t="s">
        <v>550</v>
      </c>
      <c r="C230" s="7" t="s">
        <v>2748</v>
      </c>
      <c r="D230" s="7"/>
      <c r="E230" t="str">
        <f>_xlfn.XLOOKUP(Table2[[#This Row],[RARC CODE]],'New Rarc Code'!A230:A1147,'New Rarc Code'!C230:C1147,"Not Active")</f>
        <v>Not Active</v>
      </c>
    </row>
    <row r="231" spans="1:5" x14ac:dyDescent="0.25">
      <c r="A231" s="5" t="s">
        <v>551</v>
      </c>
      <c r="B231" s="7" t="s">
        <v>552</v>
      </c>
      <c r="C231" s="7" t="s">
        <v>2749</v>
      </c>
      <c r="D231" s="7"/>
      <c r="E231" t="str">
        <f>_xlfn.XLOOKUP(Table2[[#This Row],[RARC CODE]],'New Rarc Code'!A231:A1148,'New Rarc Code'!C231:C1148,"Not Active")</f>
        <v>Not Active</v>
      </c>
    </row>
    <row r="232" spans="1:5" x14ac:dyDescent="0.25">
      <c r="A232" s="5" t="s">
        <v>553</v>
      </c>
      <c r="B232" s="7" t="s">
        <v>554</v>
      </c>
      <c r="C232" s="7" t="s">
        <v>2750</v>
      </c>
      <c r="D232" s="7"/>
      <c r="E232" t="str">
        <f>_xlfn.XLOOKUP(Table2[[#This Row],[RARC CODE]],'New Rarc Code'!A232:A1149,'New Rarc Code'!C232:C1149,"Not Active")</f>
        <v>Not Active</v>
      </c>
    </row>
    <row r="233" spans="1:5" x14ac:dyDescent="0.25">
      <c r="A233" s="5" t="s">
        <v>555</v>
      </c>
      <c r="B233" s="7" t="s">
        <v>556</v>
      </c>
      <c r="C233" s="7" t="s">
        <v>2751</v>
      </c>
      <c r="D233" s="7"/>
      <c r="E233" t="str">
        <f>_xlfn.XLOOKUP(Table2[[#This Row],[RARC CODE]],'New Rarc Code'!A233:A1150,'New Rarc Code'!C233:C1150,"Not Active")</f>
        <v>Not Active</v>
      </c>
    </row>
    <row r="234" spans="1:5" x14ac:dyDescent="0.25">
      <c r="A234" s="5" t="s">
        <v>610</v>
      </c>
      <c r="B234" s="8" t="s">
        <v>2257</v>
      </c>
      <c r="C234" s="8" t="s">
        <v>2752</v>
      </c>
      <c r="D234" s="8"/>
      <c r="E234" t="str">
        <f>_xlfn.XLOOKUP(Table2[[#This Row],[RARC CODE]],'New Rarc Code'!A234:A1151,'New Rarc Code'!C234:C1151,"Not Active")</f>
        <v>Not Active</v>
      </c>
    </row>
    <row r="235" spans="1:5" x14ac:dyDescent="0.25">
      <c r="A235" s="5" t="s">
        <v>626</v>
      </c>
      <c r="B235" s="7" t="s">
        <v>627</v>
      </c>
      <c r="C235" s="7" t="s">
        <v>2753</v>
      </c>
      <c r="D235" s="7"/>
      <c r="E235" t="str">
        <f>_xlfn.XLOOKUP(Table2[[#This Row],[RARC CODE]],'New Rarc Code'!A235:A1152,'New Rarc Code'!C235:C1152,"Not Active")</f>
        <v>Not Active</v>
      </c>
    </row>
    <row r="236" spans="1:5" x14ac:dyDescent="0.25">
      <c r="A236" s="5" t="s">
        <v>777</v>
      </c>
      <c r="B236" s="7" t="s">
        <v>778</v>
      </c>
      <c r="C236" s="7" t="s">
        <v>2754</v>
      </c>
      <c r="D236" s="7" t="s">
        <v>3709</v>
      </c>
      <c r="E236" t="str">
        <f>_xlfn.XLOOKUP(Table2[[#This Row],[RARC CODE]],'New Rarc Code'!A236:A1153,'New Rarc Code'!C236:C1153,"Not Active")</f>
        <v>Active</v>
      </c>
    </row>
    <row r="237" spans="1:5" x14ac:dyDescent="0.25">
      <c r="A237" s="5" t="s">
        <v>779</v>
      </c>
      <c r="B237" s="7" t="s">
        <v>780</v>
      </c>
      <c r="C237" s="7" t="s">
        <v>2755</v>
      </c>
      <c r="D237" s="7"/>
      <c r="E237" t="str">
        <f>_xlfn.XLOOKUP(Table2[[#This Row],[RARC CODE]],'New Rarc Code'!A237:A1154,'New Rarc Code'!C237:C1154,"Not Active")</f>
        <v>Active</v>
      </c>
    </row>
    <row r="238" spans="1:5" x14ac:dyDescent="0.25">
      <c r="A238" s="5" t="s">
        <v>781</v>
      </c>
      <c r="B238" s="7" t="s">
        <v>782</v>
      </c>
      <c r="C238" s="7" t="s">
        <v>2756</v>
      </c>
      <c r="D238" s="7"/>
      <c r="E238" t="str">
        <f>_xlfn.XLOOKUP(Table2[[#This Row],[RARC CODE]],'New Rarc Code'!A238:A1155,'New Rarc Code'!C238:C1155,"Not Active")</f>
        <v>Active</v>
      </c>
    </row>
    <row r="239" spans="1:5" x14ac:dyDescent="0.25">
      <c r="A239" s="5" t="s">
        <v>783</v>
      </c>
      <c r="B239" s="7" t="s">
        <v>784</v>
      </c>
      <c r="C239" s="7" t="s">
        <v>2757</v>
      </c>
      <c r="D239" s="7"/>
      <c r="E239" t="str">
        <f>_xlfn.XLOOKUP(Table2[[#This Row],[RARC CODE]],'New Rarc Code'!A239:A1156,'New Rarc Code'!C239:C1156,"Not Active")</f>
        <v>Active</v>
      </c>
    </row>
    <row r="240" spans="1:5" x14ac:dyDescent="0.25">
      <c r="A240" s="5" t="s">
        <v>785</v>
      </c>
      <c r="B240" s="7" t="s">
        <v>786</v>
      </c>
      <c r="C240" s="7" t="s">
        <v>2758</v>
      </c>
      <c r="D240" s="7"/>
      <c r="E240" t="str">
        <f>_xlfn.XLOOKUP(Table2[[#This Row],[RARC CODE]],'New Rarc Code'!A240:A1157,'New Rarc Code'!C240:C1157,"Not Active")</f>
        <v>Active</v>
      </c>
    </row>
    <row r="241" spans="1:5" x14ac:dyDescent="0.25">
      <c r="A241" s="5" t="s">
        <v>787</v>
      </c>
      <c r="B241" s="7" t="s">
        <v>788</v>
      </c>
      <c r="C241" s="7" t="s">
        <v>2759</v>
      </c>
      <c r="D241" s="7"/>
      <c r="E241" t="str">
        <f>_xlfn.XLOOKUP(Table2[[#This Row],[RARC CODE]],'New Rarc Code'!A241:A1158,'New Rarc Code'!C241:C1158,"Not Active")</f>
        <v>Active</v>
      </c>
    </row>
    <row r="242" spans="1:5" x14ac:dyDescent="0.25">
      <c r="A242" s="5" t="s">
        <v>789</v>
      </c>
      <c r="B242" s="8" t="s">
        <v>2268</v>
      </c>
      <c r="C242" s="8" t="s">
        <v>2760</v>
      </c>
      <c r="D242" s="8"/>
      <c r="E242" t="str">
        <f>_xlfn.XLOOKUP(Table2[[#This Row],[RARC CODE]],'New Rarc Code'!A242:A1159,'New Rarc Code'!C242:C1159,"Not Active")</f>
        <v>Active</v>
      </c>
    </row>
    <row r="243" spans="1:5" x14ac:dyDescent="0.25">
      <c r="A243" s="5" t="s">
        <v>628</v>
      </c>
      <c r="B243" s="7" t="s">
        <v>629</v>
      </c>
      <c r="C243" s="7" t="s">
        <v>2761</v>
      </c>
      <c r="D243" s="7"/>
      <c r="E243" t="str">
        <f>_xlfn.XLOOKUP(Table2[[#This Row],[RARC CODE]],'New Rarc Code'!A243:A1160,'New Rarc Code'!C243:C1160,"Not Active")</f>
        <v>Active</v>
      </c>
    </row>
    <row r="244" spans="1:5" x14ac:dyDescent="0.25">
      <c r="A244" s="5" t="s">
        <v>790</v>
      </c>
      <c r="B244" s="7" t="s">
        <v>791</v>
      </c>
      <c r="C244" s="7" t="s">
        <v>2762</v>
      </c>
      <c r="D244" s="7"/>
      <c r="E244" t="str">
        <f>_xlfn.XLOOKUP(Table2[[#This Row],[RARC CODE]],'New Rarc Code'!A244:A1161,'New Rarc Code'!C244:C1161,"Not Active")</f>
        <v>Active</v>
      </c>
    </row>
    <row r="245" spans="1:5" x14ac:dyDescent="0.25">
      <c r="A245" s="5" t="s">
        <v>792</v>
      </c>
      <c r="B245" s="7" t="s">
        <v>793</v>
      </c>
      <c r="C245" s="7" t="s">
        <v>2763</v>
      </c>
      <c r="D245" s="7"/>
      <c r="E245" t="str">
        <f>_xlfn.XLOOKUP(Table2[[#This Row],[RARC CODE]],'New Rarc Code'!A245:A1162,'New Rarc Code'!C245:C1162,"Not Active")</f>
        <v>Active</v>
      </c>
    </row>
    <row r="246" spans="1:5" x14ac:dyDescent="0.25">
      <c r="A246" s="5" t="s">
        <v>794</v>
      </c>
      <c r="B246" s="7" t="s">
        <v>795</v>
      </c>
      <c r="C246" s="7" t="s">
        <v>2764</v>
      </c>
      <c r="D246" s="7"/>
      <c r="E246" t="str">
        <f>_xlfn.XLOOKUP(Table2[[#This Row],[RARC CODE]],'New Rarc Code'!A246:A1163,'New Rarc Code'!C246:C1163,"Not Active")</f>
        <v>Active</v>
      </c>
    </row>
    <row r="247" spans="1:5" x14ac:dyDescent="0.25">
      <c r="A247" s="5" t="s">
        <v>796</v>
      </c>
      <c r="B247" s="7" t="s">
        <v>797</v>
      </c>
      <c r="C247" s="7" t="s">
        <v>2765</v>
      </c>
      <c r="D247" s="7"/>
      <c r="E247" t="str">
        <f>_xlfn.XLOOKUP(Table2[[#This Row],[RARC CODE]],'New Rarc Code'!A247:A1164,'New Rarc Code'!C247:C1164,"Not Active")</f>
        <v>Active</v>
      </c>
    </row>
    <row r="248" spans="1:5" x14ac:dyDescent="0.25">
      <c r="A248" s="5" t="s">
        <v>798</v>
      </c>
      <c r="B248" s="7" t="s">
        <v>799</v>
      </c>
      <c r="C248" s="7" t="s">
        <v>2766</v>
      </c>
      <c r="D248" s="7"/>
      <c r="E248" t="str">
        <f>_xlfn.XLOOKUP(Table2[[#This Row],[RARC CODE]],'New Rarc Code'!A248:A1165,'New Rarc Code'!C248:C1165,"Not Active")</f>
        <v>Active</v>
      </c>
    </row>
    <row r="249" spans="1:5" x14ac:dyDescent="0.25">
      <c r="A249" s="5" t="s">
        <v>800</v>
      </c>
      <c r="B249" s="7" t="s">
        <v>801</v>
      </c>
      <c r="C249" s="7" t="s">
        <v>2767</v>
      </c>
      <c r="D249" s="7" t="s">
        <v>3694</v>
      </c>
      <c r="E249" t="str">
        <f>_xlfn.XLOOKUP(Table2[[#This Row],[RARC CODE]],'New Rarc Code'!A249:A1166,'New Rarc Code'!C249:C1166,"Not Active")</f>
        <v>Active</v>
      </c>
    </row>
    <row r="250" spans="1:5" x14ac:dyDescent="0.25">
      <c r="A250" s="5" t="s">
        <v>802</v>
      </c>
      <c r="B250" s="8" t="s">
        <v>2269</v>
      </c>
      <c r="C250" s="8" t="s">
        <v>2768</v>
      </c>
      <c r="D250" s="8"/>
      <c r="E250" t="str">
        <f>_xlfn.XLOOKUP(Table2[[#This Row],[RARC CODE]],'New Rarc Code'!A250:A1167,'New Rarc Code'!C250:C1167,"Not Active")</f>
        <v>Active</v>
      </c>
    </row>
    <row r="251" spans="1:5" x14ac:dyDescent="0.25">
      <c r="A251" s="5" t="s">
        <v>803</v>
      </c>
      <c r="B251" s="7" t="s">
        <v>804</v>
      </c>
      <c r="C251" s="7" t="s">
        <v>2769</v>
      </c>
      <c r="D251" s="7"/>
      <c r="E251" t="str">
        <f>_xlfn.XLOOKUP(Table2[[#This Row],[RARC CODE]],'New Rarc Code'!A251:A1168,'New Rarc Code'!C251:C1168,"Not Active")</f>
        <v>Not Active</v>
      </c>
    </row>
    <row r="252" spans="1:5" x14ac:dyDescent="0.25">
      <c r="A252" s="5" t="s">
        <v>805</v>
      </c>
      <c r="B252" s="7" t="s">
        <v>806</v>
      </c>
      <c r="C252" s="7" t="s">
        <v>2770</v>
      </c>
      <c r="D252" s="7"/>
      <c r="E252" t="str">
        <f>_xlfn.XLOOKUP(Table2[[#This Row],[RARC CODE]],'New Rarc Code'!A252:A1169,'New Rarc Code'!C252:C1169,"Not Active")</f>
        <v>Not Active</v>
      </c>
    </row>
    <row r="253" spans="1:5" x14ac:dyDescent="0.25">
      <c r="A253" s="5" t="s">
        <v>807</v>
      </c>
      <c r="B253" s="7" t="s">
        <v>808</v>
      </c>
      <c r="C253" s="7" t="s">
        <v>2771</v>
      </c>
      <c r="D253" s="7"/>
      <c r="E253" t="str">
        <f>_xlfn.XLOOKUP(Table2[[#This Row],[RARC CODE]],'New Rarc Code'!A253:A1170,'New Rarc Code'!C253:C1170,"Not Active")</f>
        <v>Not Active</v>
      </c>
    </row>
    <row r="254" spans="1:5" x14ac:dyDescent="0.25">
      <c r="A254" s="5" t="s">
        <v>630</v>
      </c>
      <c r="B254" s="7" t="s">
        <v>631</v>
      </c>
      <c r="C254" s="7" t="s">
        <v>2772</v>
      </c>
      <c r="D254" s="7"/>
      <c r="E254" t="str">
        <f>_xlfn.XLOOKUP(Table2[[#This Row],[RARC CODE]],'New Rarc Code'!A254:A1171,'New Rarc Code'!C254:C1171,"Not Active")</f>
        <v>Not Active</v>
      </c>
    </row>
    <row r="255" spans="1:5" x14ac:dyDescent="0.25">
      <c r="A255" s="5" t="s">
        <v>809</v>
      </c>
      <c r="B255" s="7" t="s">
        <v>810</v>
      </c>
      <c r="C255" s="7" t="s">
        <v>2773</v>
      </c>
      <c r="D255" s="7"/>
      <c r="E255" t="str">
        <f>_xlfn.XLOOKUP(Table2[[#This Row],[RARC CODE]],'New Rarc Code'!A255:A1172,'New Rarc Code'!C255:C1172,"Not Active")</f>
        <v>Not Active</v>
      </c>
    </row>
    <row r="256" spans="1:5" x14ac:dyDescent="0.25">
      <c r="A256" s="5" t="s">
        <v>811</v>
      </c>
      <c r="B256" s="7" t="s">
        <v>812</v>
      </c>
      <c r="C256" s="7" t="s">
        <v>2774</v>
      </c>
      <c r="D256" s="7"/>
      <c r="E256" t="str">
        <f>_xlfn.XLOOKUP(Table2[[#This Row],[RARC CODE]],'New Rarc Code'!A256:A1173,'New Rarc Code'!C256:C1173,"Not Active")</f>
        <v>Not Active</v>
      </c>
    </row>
    <row r="257" spans="1:5" x14ac:dyDescent="0.25">
      <c r="A257" s="5" t="s">
        <v>813</v>
      </c>
      <c r="B257" s="7" t="s">
        <v>814</v>
      </c>
      <c r="C257" s="7" t="s">
        <v>2775</v>
      </c>
      <c r="D257" s="7" t="s">
        <v>3694</v>
      </c>
      <c r="E257" t="str">
        <f>_xlfn.XLOOKUP(Table2[[#This Row],[RARC CODE]],'New Rarc Code'!A257:A1174,'New Rarc Code'!C257:C1174,"Not Active")</f>
        <v>Not Active</v>
      </c>
    </row>
    <row r="258" spans="1:5" x14ac:dyDescent="0.25">
      <c r="A258" s="5" t="s">
        <v>815</v>
      </c>
      <c r="B258" s="8" t="s">
        <v>2270</v>
      </c>
      <c r="C258" s="8" t="s">
        <v>2776</v>
      </c>
      <c r="D258" s="8"/>
      <c r="E258" t="str">
        <f>_xlfn.XLOOKUP(Table2[[#This Row],[RARC CODE]],'New Rarc Code'!A258:A1175,'New Rarc Code'!C258:C1175,"Not Active")</f>
        <v>Not Active</v>
      </c>
    </row>
    <row r="259" spans="1:5" x14ac:dyDescent="0.25">
      <c r="A259" s="5" t="s">
        <v>816</v>
      </c>
      <c r="B259" s="7" t="s">
        <v>817</v>
      </c>
      <c r="C259" s="7" t="s">
        <v>2777</v>
      </c>
      <c r="D259" s="7"/>
      <c r="E259" t="str">
        <f>_xlfn.XLOOKUP(Table2[[#This Row],[RARC CODE]],'New Rarc Code'!A259:A1176,'New Rarc Code'!C259:C1176,"Not Active")</f>
        <v>Not Active</v>
      </c>
    </row>
    <row r="260" spans="1:5" x14ac:dyDescent="0.25">
      <c r="A260" s="5" t="s">
        <v>818</v>
      </c>
      <c r="B260" s="7" t="s">
        <v>819</v>
      </c>
      <c r="C260" s="7" t="s">
        <v>2778</v>
      </c>
      <c r="D260" s="7"/>
      <c r="E260" t="str">
        <f>_xlfn.XLOOKUP(Table2[[#This Row],[RARC CODE]],'New Rarc Code'!A260:A1177,'New Rarc Code'!C260:C1177,"Not Active")</f>
        <v>Not Active</v>
      </c>
    </row>
    <row r="261" spans="1:5" x14ac:dyDescent="0.25">
      <c r="A261" s="5" t="s">
        <v>820</v>
      </c>
      <c r="B261" s="7" t="s">
        <v>821</v>
      </c>
      <c r="C261" s="7" t="s">
        <v>2779</v>
      </c>
      <c r="D261" s="7"/>
      <c r="E261" t="str">
        <f>_xlfn.XLOOKUP(Table2[[#This Row],[RARC CODE]],'New Rarc Code'!A261:A1178,'New Rarc Code'!C261:C1178,"Not Active")</f>
        <v>Not Active</v>
      </c>
    </row>
    <row r="262" spans="1:5" x14ac:dyDescent="0.25">
      <c r="A262" s="5" t="s">
        <v>822</v>
      </c>
      <c r="B262" s="7" t="s">
        <v>823</v>
      </c>
      <c r="C262" s="7" t="s">
        <v>2780</v>
      </c>
      <c r="D262" s="7"/>
      <c r="E262" t="str">
        <f>_xlfn.XLOOKUP(Table2[[#This Row],[RARC CODE]],'New Rarc Code'!A262:A1179,'New Rarc Code'!C262:C1179,"Not Active")</f>
        <v>Not Active</v>
      </c>
    </row>
    <row r="263" spans="1:5" x14ac:dyDescent="0.25">
      <c r="A263" s="5" t="s">
        <v>824</v>
      </c>
      <c r="B263" s="7" t="s">
        <v>825</v>
      </c>
      <c r="C263" s="7" t="s">
        <v>2781</v>
      </c>
      <c r="D263" s="7"/>
      <c r="E263" t="str">
        <f>_xlfn.XLOOKUP(Table2[[#This Row],[RARC CODE]],'New Rarc Code'!A263:A1180,'New Rarc Code'!C263:C1180,"Not Active")</f>
        <v>Not Active</v>
      </c>
    </row>
    <row r="264" spans="1:5" x14ac:dyDescent="0.25">
      <c r="A264" s="5" t="s">
        <v>826</v>
      </c>
      <c r="B264" s="7" t="s">
        <v>827</v>
      </c>
      <c r="C264" s="7" t="s">
        <v>2782</v>
      </c>
      <c r="D264" s="7"/>
      <c r="E264" t="str">
        <f>_xlfn.XLOOKUP(Table2[[#This Row],[RARC CODE]],'New Rarc Code'!A264:A1181,'New Rarc Code'!C264:C1181,"Not Active")</f>
        <v>Not Active</v>
      </c>
    </row>
    <row r="265" spans="1:5" x14ac:dyDescent="0.25">
      <c r="A265" s="5" t="s">
        <v>632</v>
      </c>
      <c r="B265" s="7" t="s">
        <v>633</v>
      </c>
      <c r="C265" s="7" t="s">
        <v>2783</v>
      </c>
      <c r="D265" s="7" t="s">
        <v>3694</v>
      </c>
      <c r="E265" t="str">
        <f>_xlfn.XLOOKUP(Table2[[#This Row],[RARC CODE]],'New Rarc Code'!A265:A1182,'New Rarc Code'!C265:C1182,"Not Active")</f>
        <v>Not Active</v>
      </c>
    </row>
    <row r="266" spans="1:5" x14ac:dyDescent="0.25">
      <c r="A266" s="5" t="s">
        <v>828</v>
      </c>
      <c r="B266" s="7" t="s">
        <v>829</v>
      </c>
      <c r="C266" s="7" t="s">
        <v>2784</v>
      </c>
      <c r="D266" s="7" t="s">
        <v>3694</v>
      </c>
      <c r="E266" t="str">
        <f>_xlfn.XLOOKUP(Table2[[#This Row],[RARC CODE]],'New Rarc Code'!A266:A1183,'New Rarc Code'!C266:C1183,"Not Active")</f>
        <v>Not Active</v>
      </c>
    </row>
    <row r="267" spans="1:5" x14ac:dyDescent="0.25">
      <c r="A267" s="5" t="s">
        <v>830</v>
      </c>
      <c r="B267" s="7" t="s">
        <v>831</v>
      </c>
      <c r="C267" s="7" t="s">
        <v>2785</v>
      </c>
      <c r="D267" s="7"/>
      <c r="E267" t="str">
        <f>_xlfn.XLOOKUP(Table2[[#This Row],[RARC CODE]],'New Rarc Code'!A267:A1184,'New Rarc Code'!C267:C1184,"Not Active")</f>
        <v>Not Active</v>
      </c>
    </row>
    <row r="268" spans="1:5" x14ac:dyDescent="0.25">
      <c r="A268" s="5" t="s">
        <v>832</v>
      </c>
      <c r="B268" s="8" t="s">
        <v>2271</v>
      </c>
      <c r="C268" s="8" t="s">
        <v>2786</v>
      </c>
      <c r="D268" s="8"/>
      <c r="E268" t="str">
        <f>_xlfn.XLOOKUP(Table2[[#This Row],[RARC CODE]],'New Rarc Code'!A268:A1185,'New Rarc Code'!C268:C1185,"Not Active")</f>
        <v>Not Active</v>
      </c>
    </row>
    <row r="269" spans="1:5" x14ac:dyDescent="0.25">
      <c r="A269" s="5" t="s">
        <v>833</v>
      </c>
      <c r="B269" s="8" t="s">
        <v>2272</v>
      </c>
      <c r="C269" s="8" t="s">
        <v>2787</v>
      </c>
      <c r="D269" s="8"/>
      <c r="E269" t="str">
        <f>_xlfn.XLOOKUP(Table2[[#This Row],[RARC CODE]],'New Rarc Code'!A269:A1186,'New Rarc Code'!C269:C1186,"Not Active")</f>
        <v>Not Active</v>
      </c>
    </row>
    <row r="270" spans="1:5" x14ac:dyDescent="0.25">
      <c r="A270" s="5" t="s">
        <v>834</v>
      </c>
      <c r="B270" s="8" t="s">
        <v>2273</v>
      </c>
      <c r="C270" s="8" t="s">
        <v>2788</v>
      </c>
      <c r="D270" s="8"/>
      <c r="E270" t="str">
        <f>_xlfn.XLOOKUP(Table2[[#This Row],[RARC CODE]],'New Rarc Code'!A270:A1187,'New Rarc Code'!C270:C1187,"Not Active")</f>
        <v>Not Active</v>
      </c>
    </row>
    <row r="271" spans="1:5" x14ac:dyDescent="0.25">
      <c r="A271" s="5" t="s">
        <v>835</v>
      </c>
      <c r="B271" s="7" t="s">
        <v>836</v>
      </c>
      <c r="C271" s="7" t="s">
        <v>2789</v>
      </c>
      <c r="D271" s="7"/>
      <c r="E271" t="str">
        <f>_xlfn.XLOOKUP(Table2[[#This Row],[RARC CODE]],'New Rarc Code'!A271:A1188,'New Rarc Code'!C271:C1188,"Not Active")</f>
        <v>Not Active</v>
      </c>
    </row>
    <row r="272" spans="1:5" x14ac:dyDescent="0.25">
      <c r="A272" s="5" t="s">
        <v>837</v>
      </c>
      <c r="B272" s="8" t="s">
        <v>2274</v>
      </c>
      <c r="C272" s="8" t="s">
        <v>2790</v>
      </c>
      <c r="D272" s="8"/>
      <c r="E272" t="str">
        <f>_xlfn.XLOOKUP(Table2[[#This Row],[RARC CODE]],'New Rarc Code'!A272:A1189,'New Rarc Code'!C272:C1189,"Not Active")</f>
        <v>Not Active</v>
      </c>
    </row>
    <row r="273" spans="1:5" x14ac:dyDescent="0.25">
      <c r="A273" s="5" t="s">
        <v>838</v>
      </c>
      <c r="B273" s="8" t="s">
        <v>2275</v>
      </c>
      <c r="C273" s="8" t="s">
        <v>2791</v>
      </c>
      <c r="D273" s="7" t="s">
        <v>3709</v>
      </c>
      <c r="E273" t="str">
        <f>_xlfn.XLOOKUP(Table2[[#This Row],[RARC CODE]],'New Rarc Code'!A273:A1190,'New Rarc Code'!C273:C1190,"Not Active")</f>
        <v>Not Active</v>
      </c>
    </row>
    <row r="274" spans="1:5" x14ac:dyDescent="0.25">
      <c r="A274" s="5" t="s">
        <v>839</v>
      </c>
      <c r="B274" s="8" t="s">
        <v>2276</v>
      </c>
      <c r="C274" s="8" t="s">
        <v>2792</v>
      </c>
      <c r="D274" s="8"/>
      <c r="E274" t="str">
        <f>_xlfn.XLOOKUP(Table2[[#This Row],[RARC CODE]],'New Rarc Code'!A274:A1191,'New Rarc Code'!C274:C1191,"Not Active")</f>
        <v>Not Active</v>
      </c>
    </row>
    <row r="275" spans="1:5" x14ac:dyDescent="0.25">
      <c r="A275" s="5" t="s">
        <v>840</v>
      </c>
      <c r="B275" s="8" t="s">
        <v>2277</v>
      </c>
      <c r="C275" s="8" t="s">
        <v>2793</v>
      </c>
      <c r="D275" s="8"/>
      <c r="E275" t="str">
        <f>_xlfn.XLOOKUP(Table2[[#This Row],[RARC CODE]],'New Rarc Code'!A275:A1192,'New Rarc Code'!C275:C1192,"Not Active")</f>
        <v>Not Active</v>
      </c>
    </row>
    <row r="276" spans="1:5" x14ac:dyDescent="0.25">
      <c r="A276" s="5" t="s">
        <v>841</v>
      </c>
      <c r="B276" s="8" t="s">
        <v>2278</v>
      </c>
      <c r="C276" s="8" t="s">
        <v>2794</v>
      </c>
      <c r="D276" s="7" t="s">
        <v>3709</v>
      </c>
      <c r="E276" t="str">
        <f>_xlfn.XLOOKUP(Table2[[#This Row],[RARC CODE]],'New Rarc Code'!A276:A1193,'New Rarc Code'!C276:C1193,"Not Active")</f>
        <v>Not Active</v>
      </c>
    </row>
    <row r="277" spans="1:5" x14ac:dyDescent="0.25">
      <c r="A277" s="5" t="s">
        <v>842</v>
      </c>
      <c r="B277" s="7" t="s">
        <v>843</v>
      </c>
      <c r="C277" s="7" t="s">
        <v>2795</v>
      </c>
      <c r="D277" s="7"/>
      <c r="E277" t="str">
        <f>_xlfn.XLOOKUP(Table2[[#This Row],[RARC CODE]],'New Rarc Code'!A277:A1194,'New Rarc Code'!C277:C1194,"Not Active")</f>
        <v>Not Active</v>
      </c>
    </row>
    <row r="278" spans="1:5" x14ac:dyDescent="0.25">
      <c r="A278" s="5" t="s">
        <v>844</v>
      </c>
      <c r="B278" s="7" t="s">
        <v>845</v>
      </c>
      <c r="C278" s="7" t="s">
        <v>2796</v>
      </c>
      <c r="D278" s="7"/>
      <c r="E278" t="str">
        <f>_xlfn.XLOOKUP(Table2[[#This Row],[RARC CODE]],'New Rarc Code'!A278:A1195,'New Rarc Code'!C278:C1195,"Not Active")</f>
        <v>Not Active</v>
      </c>
    </row>
    <row r="279" spans="1:5" x14ac:dyDescent="0.25">
      <c r="A279" s="5" t="s">
        <v>846</v>
      </c>
      <c r="B279" s="7" t="s">
        <v>847</v>
      </c>
      <c r="C279" s="7" t="s">
        <v>2797</v>
      </c>
      <c r="D279" s="7"/>
      <c r="E279" t="str">
        <f>_xlfn.XLOOKUP(Table2[[#This Row],[RARC CODE]],'New Rarc Code'!A279:A1196,'New Rarc Code'!C279:C1196,"Not Active")</f>
        <v>Not Active</v>
      </c>
    </row>
    <row r="280" spans="1:5" x14ac:dyDescent="0.25">
      <c r="A280" s="5" t="s">
        <v>848</v>
      </c>
      <c r="B280" s="7" t="s">
        <v>849</v>
      </c>
      <c r="C280" s="7" t="s">
        <v>2798</v>
      </c>
      <c r="D280" s="7"/>
      <c r="E280" t="str">
        <f>_xlfn.XLOOKUP(Table2[[#This Row],[RARC CODE]],'New Rarc Code'!A280:A1197,'New Rarc Code'!C280:C1197,"Not Active")</f>
        <v>Not Active</v>
      </c>
    </row>
    <row r="281" spans="1:5" x14ac:dyDescent="0.25">
      <c r="A281" s="5" t="s">
        <v>850</v>
      </c>
      <c r="B281" s="7" t="s">
        <v>851</v>
      </c>
      <c r="C281" s="7" t="s">
        <v>2799</v>
      </c>
      <c r="D281" s="7"/>
      <c r="E281" t="str">
        <f>_xlfn.XLOOKUP(Table2[[#This Row],[RARC CODE]],'New Rarc Code'!A281:A1198,'New Rarc Code'!C281:C1198,"Not Active")</f>
        <v>Not Active</v>
      </c>
    </row>
    <row r="282" spans="1:5" x14ac:dyDescent="0.25">
      <c r="A282" s="5" t="s">
        <v>852</v>
      </c>
      <c r="B282" s="7" t="s">
        <v>853</v>
      </c>
      <c r="C282" s="7" t="s">
        <v>2800</v>
      </c>
      <c r="D282" s="7"/>
      <c r="E282" t="str">
        <f>_xlfn.XLOOKUP(Table2[[#This Row],[RARC CODE]],'New Rarc Code'!A282:A1199,'New Rarc Code'!C282:C1199,"Not Active")</f>
        <v>Not Active</v>
      </c>
    </row>
    <row r="283" spans="1:5" x14ac:dyDescent="0.25">
      <c r="A283" s="5" t="s">
        <v>854</v>
      </c>
      <c r="B283" s="7" t="s">
        <v>855</v>
      </c>
      <c r="C283" s="7" t="s">
        <v>2801</v>
      </c>
      <c r="D283" s="7"/>
      <c r="E283" t="str">
        <f>_xlfn.XLOOKUP(Table2[[#This Row],[RARC CODE]],'New Rarc Code'!A283:A1200,'New Rarc Code'!C283:C1200,"Not Active")</f>
        <v>Not Active</v>
      </c>
    </row>
    <row r="284" spans="1:5" x14ac:dyDescent="0.25">
      <c r="A284" s="5" t="s">
        <v>856</v>
      </c>
      <c r="B284" s="7" t="s">
        <v>857</v>
      </c>
      <c r="C284" s="7" t="s">
        <v>2802</v>
      </c>
      <c r="D284" s="7"/>
      <c r="E284" t="str">
        <f>_xlfn.XLOOKUP(Table2[[#This Row],[RARC CODE]],'New Rarc Code'!A284:A1201,'New Rarc Code'!C284:C1201,"Not Active")</f>
        <v>Not Active</v>
      </c>
    </row>
    <row r="285" spans="1:5" x14ac:dyDescent="0.25">
      <c r="A285" s="5" t="s">
        <v>634</v>
      </c>
      <c r="B285" s="7" t="s">
        <v>635</v>
      </c>
      <c r="C285" s="7" t="s">
        <v>2803</v>
      </c>
      <c r="D285" s="7"/>
      <c r="E285" t="str">
        <f>_xlfn.XLOOKUP(Table2[[#This Row],[RARC CODE]],'New Rarc Code'!A285:A1202,'New Rarc Code'!C285:C1202,"Not Active")</f>
        <v>Not Active</v>
      </c>
    </row>
    <row r="286" spans="1:5" x14ac:dyDescent="0.25">
      <c r="A286" s="5" t="s">
        <v>858</v>
      </c>
      <c r="B286" s="7" t="s">
        <v>859</v>
      </c>
      <c r="C286" s="7" t="s">
        <v>2804</v>
      </c>
      <c r="D286" s="7"/>
      <c r="E286" t="str">
        <f>_xlfn.XLOOKUP(Table2[[#This Row],[RARC CODE]],'New Rarc Code'!A286:A1203,'New Rarc Code'!C286:C1203,"Not Active")</f>
        <v>Not Active</v>
      </c>
    </row>
    <row r="287" spans="1:5" x14ac:dyDescent="0.25">
      <c r="A287" s="5" t="s">
        <v>860</v>
      </c>
      <c r="B287" s="7" t="s">
        <v>861</v>
      </c>
      <c r="C287" s="7" t="s">
        <v>2805</v>
      </c>
      <c r="D287" s="7"/>
      <c r="E287" t="str">
        <f>_xlfn.XLOOKUP(Table2[[#This Row],[RARC CODE]],'New Rarc Code'!A287:A1204,'New Rarc Code'!C287:C1204,"Not Active")</f>
        <v>Not Active</v>
      </c>
    </row>
    <row r="288" spans="1:5" x14ac:dyDescent="0.25">
      <c r="A288" s="5" t="s">
        <v>862</v>
      </c>
      <c r="B288" s="7" t="s">
        <v>863</v>
      </c>
      <c r="C288" s="7" t="s">
        <v>2806</v>
      </c>
      <c r="D288" s="7"/>
      <c r="E288" t="str">
        <f>_xlfn.XLOOKUP(Table2[[#This Row],[RARC CODE]],'New Rarc Code'!A288:A1205,'New Rarc Code'!C288:C1205,"Not Active")</f>
        <v>Not Active</v>
      </c>
    </row>
    <row r="289" spans="1:5" x14ac:dyDescent="0.25">
      <c r="A289" s="5" t="s">
        <v>864</v>
      </c>
      <c r="B289" s="7" t="s">
        <v>865</v>
      </c>
      <c r="C289" s="7" t="s">
        <v>2807</v>
      </c>
      <c r="D289" s="7"/>
      <c r="E289" t="str">
        <f>_xlfn.XLOOKUP(Table2[[#This Row],[RARC CODE]],'New Rarc Code'!A289:A1206,'New Rarc Code'!C289:C1206,"Not Active")</f>
        <v>Not Active</v>
      </c>
    </row>
    <row r="290" spans="1:5" x14ac:dyDescent="0.25">
      <c r="A290" s="5" t="s">
        <v>866</v>
      </c>
      <c r="B290" s="8" t="s">
        <v>2279</v>
      </c>
      <c r="C290" s="8" t="s">
        <v>2808</v>
      </c>
      <c r="D290" s="8"/>
      <c r="E290" t="str">
        <f>_xlfn.XLOOKUP(Table2[[#This Row],[RARC CODE]],'New Rarc Code'!A290:A1207,'New Rarc Code'!C290:C1207,"Not Active")</f>
        <v>Not Active</v>
      </c>
    </row>
    <row r="291" spans="1:5" x14ac:dyDescent="0.25">
      <c r="A291" s="5" t="s">
        <v>867</v>
      </c>
      <c r="B291" s="8" t="s">
        <v>2280</v>
      </c>
      <c r="C291" s="8" t="s">
        <v>2809</v>
      </c>
      <c r="D291" s="8"/>
      <c r="E291" t="str">
        <f>_xlfn.XLOOKUP(Table2[[#This Row],[RARC CODE]],'New Rarc Code'!A291:A1208,'New Rarc Code'!C291:C1208,"Not Active")</f>
        <v>Not Active</v>
      </c>
    </row>
    <row r="292" spans="1:5" x14ac:dyDescent="0.25">
      <c r="A292" s="5" t="s">
        <v>868</v>
      </c>
      <c r="B292" s="8" t="s">
        <v>2281</v>
      </c>
      <c r="C292" s="8" t="s">
        <v>2810</v>
      </c>
      <c r="D292" s="8"/>
      <c r="E292" t="str">
        <f>_xlfn.XLOOKUP(Table2[[#This Row],[RARC CODE]],'New Rarc Code'!A292:A1209,'New Rarc Code'!C292:C1209,"Not Active")</f>
        <v>Not Active</v>
      </c>
    </row>
    <row r="293" spans="1:5" x14ac:dyDescent="0.25">
      <c r="A293" s="5" t="s">
        <v>869</v>
      </c>
      <c r="B293" s="7" t="s">
        <v>870</v>
      </c>
      <c r="C293" s="7" t="s">
        <v>2811</v>
      </c>
      <c r="D293" s="7"/>
      <c r="E293" t="str">
        <f>_xlfn.XLOOKUP(Table2[[#This Row],[RARC CODE]],'New Rarc Code'!A293:A1210,'New Rarc Code'!C293:C1210,"Not Active")</f>
        <v>Not Active</v>
      </c>
    </row>
    <row r="294" spans="1:5" x14ac:dyDescent="0.25">
      <c r="A294" s="5" t="s">
        <v>871</v>
      </c>
      <c r="B294" s="7" t="s">
        <v>872</v>
      </c>
      <c r="C294" s="7" t="s">
        <v>2812</v>
      </c>
      <c r="D294" s="7"/>
      <c r="E294" t="str">
        <f>_xlfn.XLOOKUP(Table2[[#This Row],[RARC CODE]],'New Rarc Code'!A294:A1211,'New Rarc Code'!C294:C1211,"Not Active")</f>
        <v>Not Active</v>
      </c>
    </row>
    <row r="295" spans="1:5" x14ac:dyDescent="0.25">
      <c r="A295" s="5" t="s">
        <v>873</v>
      </c>
      <c r="B295" s="7" t="s">
        <v>874</v>
      </c>
      <c r="C295" s="7" t="s">
        <v>2813</v>
      </c>
      <c r="D295" s="7"/>
      <c r="E295" t="str">
        <f>_xlfn.XLOOKUP(Table2[[#This Row],[RARC CODE]],'New Rarc Code'!A295:A1212,'New Rarc Code'!C295:C1212,"Not Active")</f>
        <v>Not Active</v>
      </c>
    </row>
    <row r="296" spans="1:5" x14ac:dyDescent="0.25">
      <c r="A296" s="5" t="s">
        <v>636</v>
      </c>
      <c r="B296" s="7" t="s">
        <v>637</v>
      </c>
      <c r="C296" s="7" t="s">
        <v>2814</v>
      </c>
      <c r="D296" s="7"/>
      <c r="E296" t="str">
        <f>_xlfn.XLOOKUP(Table2[[#This Row],[RARC CODE]],'New Rarc Code'!A296:A1213,'New Rarc Code'!C296:C1213,"Not Active")</f>
        <v>Not Active</v>
      </c>
    </row>
    <row r="297" spans="1:5" x14ac:dyDescent="0.25">
      <c r="A297" s="5" t="s">
        <v>875</v>
      </c>
      <c r="B297" s="7" t="s">
        <v>876</v>
      </c>
      <c r="C297" s="7" t="s">
        <v>2815</v>
      </c>
      <c r="D297" s="7"/>
      <c r="E297" t="str">
        <f>_xlfn.XLOOKUP(Table2[[#This Row],[RARC CODE]],'New Rarc Code'!A297:A1214,'New Rarc Code'!C297:C1214,"Not Active")</f>
        <v>Not Active</v>
      </c>
    </row>
    <row r="298" spans="1:5" x14ac:dyDescent="0.25">
      <c r="A298" s="5" t="s">
        <v>877</v>
      </c>
      <c r="B298" s="7" t="s">
        <v>878</v>
      </c>
      <c r="C298" s="7" t="s">
        <v>2816</v>
      </c>
      <c r="D298" s="7"/>
      <c r="E298" t="str">
        <f>_xlfn.XLOOKUP(Table2[[#This Row],[RARC CODE]],'New Rarc Code'!A298:A1215,'New Rarc Code'!C298:C1215,"Not Active")</f>
        <v>Not Active</v>
      </c>
    </row>
    <row r="299" spans="1:5" x14ac:dyDescent="0.25">
      <c r="A299" s="5" t="s">
        <v>879</v>
      </c>
      <c r="B299" s="8" t="s">
        <v>2282</v>
      </c>
      <c r="C299" s="8" t="s">
        <v>2817</v>
      </c>
      <c r="D299" s="8"/>
      <c r="E299" t="str">
        <f>_xlfn.XLOOKUP(Table2[[#This Row],[RARC CODE]],'New Rarc Code'!A299:A1216,'New Rarc Code'!C299:C1216,"Not Active")</f>
        <v>Not Active</v>
      </c>
    </row>
    <row r="300" spans="1:5" x14ac:dyDescent="0.25">
      <c r="A300" s="5" t="s">
        <v>880</v>
      </c>
      <c r="B300" s="7" t="s">
        <v>881</v>
      </c>
      <c r="C300" s="7" t="s">
        <v>2818</v>
      </c>
      <c r="D300" s="7"/>
      <c r="E300" t="str">
        <f>_xlfn.XLOOKUP(Table2[[#This Row],[RARC CODE]],'New Rarc Code'!A300:A1217,'New Rarc Code'!C300:C1217,"Not Active")</f>
        <v>Not Active</v>
      </c>
    </row>
    <row r="301" spans="1:5" x14ac:dyDescent="0.25">
      <c r="A301" s="5" t="s">
        <v>882</v>
      </c>
      <c r="B301" s="7" t="s">
        <v>883</v>
      </c>
      <c r="C301" s="7" t="s">
        <v>2819</v>
      </c>
      <c r="D301" s="7"/>
      <c r="E301" t="str">
        <f>_xlfn.XLOOKUP(Table2[[#This Row],[RARC CODE]],'New Rarc Code'!A301:A1218,'New Rarc Code'!C301:C1218,"Not Active")</f>
        <v>Not Active</v>
      </c>
    </row>
    <row r="302" spans="1:5" x14ac:dyDescent="0.25">
      <c r="A302" s="5" t="s">
        <v>884</v>
      </c>
      <c r="B302" s="7" t="s">
        <v>885</v>
      </c>
      <c r="C302" s="7" t="s">
        <v>2820</v>
      </c>
      <c r="D302" s="7"/>
      <c r="E302" t="str">
        <f>_xlfn.XLOOKUP(Table2[[#This Row],[RARC CODE]],'New Rarc Code'!A302:A1219,'New Rarc Code'!C302:C1219,"Not Active")</f>
        <v>Active</v>
      </c>
    </row>
    <row r="303" spans="1:5" x14ac:dyDescent="0.25">
      <c r="A303" s="5" t="s">
        <v>886</v>
      </c>
      <c r="B303" s="7" t="s">
        <v>887</v>
      </c>
      <c r="C303" s="7" t="s">
        <v>2821</v>
      </c>
      <c r="D303" s="7"/>
      <c r="E303" t="str">
        <f>_xlfn.XLOOKUP(Table2[[#This Row],[RARC CODE]],'New Rarc Code'!A303:A1220,'New Rarc Code'!C303:C1220,"Not Active")</f>
        <v>Active</v>
      </c>
    </row>
    <row r="304" spans="1:5" x14ac:dyDescent="0.25">
      <c r="A304" s="5" t="s">
        <v>888</v>
      </c>
      <c r="B304" s="7" t="s">
        <v>889</v>
      </c>
      <c r="C304" s="7" t="s">
        <v>2822</v>
      </c>
      <c r="D304" s="7"/>
      <c r="E304" t="str">
        <f>_xlfn.XLOOKUP(Table2[[#This Row],[RARC CODE]],'New Rarc Code'!A304:A1221,'New Rarc Code'!C304:C1221,"Not Active")</f>
        <v>Active</v>
      </c>
    </row>
    <row r="305" spans="1:5" x14ac:dyDescent="0.25">
      <c r="A305" s="5" t="s">
        <v>890</v>
      </c>
      <c r="B305" s="7" t="s">
        <v>891</v>
      </c>
      <c r="C305" s="7" t="s">
        <v>2823</v>
      </c>
      <c r="D305" s="7"/>
      <c r="E305" t="str">
        <f>_xlfn.XLOOKUP(Table2[[#This Row],[RARC CODE]],'New Rarc Code'!A305:A1222,'New Rarc Code'!C305:C1222,"Not Active")</f>
        <v>Active</v>
      </c>
    </row>
    <row r="306" spans="1:5" x14ac:dyDescent="0.25">
      <c r="A306" s="5" t="s">
        <v>892</v>
      </c>
      <c r="B306" s="7" t="s">
        <v>893</v>
      </c>
      <c r="C306" s="7" t="s">
        <v>2824</v>
      </c>
      <c r="D306" s="7"/>
      <c r="E306" t="str">
        <f>_xlfn.XLOOKUP(Table2[[#This Row],[RARC CODE]],'New Rarc Code'!A306:A1223,'New Rarc Code'!C306:C1223,"Not Active")</f>
        <v>Active</v>
      </c>
    </row>
    <row r="307" spans="1:5" x14ac:dyDescent="0.25">
      <c r="A307" s="5" t="s">
        <v>894</v>
      </c>
      <c r="B307" s="7" t="s">
        <v>895</v>
      </c>
      <c r="C307" s="7" t="s">
        <v>2825</v>
      </c>
      <c r="D307" s="7"/>
      <c r="E307" t="str">
        <f>_xlfn.XLOOKUP(Table2[[#This Row],[RARC CODE]],'New Rarc Code'!A307:A1224,'New Rarc Code'!C307:C1224,"Not Active")</f>
        <v>Not Active</v>
      </c>
    </row>
    <row r="308" spans="1:5" x14ac:dyDescent="0.25">
      <c r="A308" s="5" t="s">
        <v>896</v>
      </c>
      <c r="B308" s="7" t="s">
        <v>897</v>
      </c>
      <c r="C308" s="7" t="s">
        <v>2826</v>
      </c>
      <c r="D308" s="7"/>
      <c r="E308" t="str">
        <f>_xlfn.XLOOKUP(Table2[[#This Row],[RARC CODE]],'New Rarc Code'!A308:A1225,'New Rarc Code'!C308:C1225,"Not Active")</f>
        <v>Not Active</v>
      </c>
    </row>
    <row r="309" spans="1:5" x14ac:dyDescent="0.25">
      <c r="A309" s="5" t="s">
        <v>898</v>
      </c>
      <c r="B309" s="8" t="s">
        <v>2283</v>
      </c>
      <c r="C309" s="8" t="s">
        <v>2827</v>
      </c>
      <c r="D309" s="8"/>
      <c r="E309" t="str">
        <f>_xlfn.XLOOKUP(Table2[[#This Row],[RARC CODE]],'New Rarc Code'!A309:A1226,'New Rarc Code'!C309:C1226,"Not Active")</f>
        <v>Not Active</v>
      </c>
    </row>
    <row r="310" spans="1:5" x14ac:dyDescent="0.25">
      <c r="A310" s="5" t="s">
        <v>899</v>
      </c>
      <c r="B310" s="7" t="s">
        <v>900</v>
      </c>
      <c r="C310" s="7" t="s">
        <v>2828</v>
      </c>
      <c r="D310" s="7"/>
      <c r="E310" t="str">
        <f>_xlfn.XLOOKUP(Table2[[#This Row],[RARC CODE]],'New Rarc Code'!A310:A1227,'New Rarc Code'!C310:C1227,"Not Active")</f>
        <v>Not Active</v>
      </c>
    </row>
    <row r="311" spans="1:5" x14ac:dyDescent="0.25">
      <c r="A311" s="5" t="s">
        <v>901</v>
      </c>
      <c r="B311" s="7" t="s">
        <v>902</v>
      </c>
      <c r="C311" s="7" t="s">
        <v>2829</v>
      </c>
      <c r="D311" s="7"/>
      <c r="E311" t="str">
        <f>_xlfn.XLOOKUP(Table2[[#This Row],[RARC CODE]],'New Rarc Code'!A311:A1228,'New Rarc Code'!C311:C1228,"Not Active")</f>
        <v>Not Active</v>
      </c>
    </row>
    <row r="312" spans="1:5" x14ac:dyDescent="0.25">
      <c r="A312" s="5" t="s">
        <v>903</v>
      </c>
      <c r="B312" s="7" t="s">
        <v>904</v>
      </c>
      <c r="C312" s="7" t="s">
        <v>2830</v>
      </c>
      <c r="D312" s="7"/>
      <c r="E312" t="str">
        <f>_xlfn.XLOOKUP(Table2[[#This Row],[RARC CODE]],'New Rarc Code'!A312:A1229,'New Rarc Code'!C312:C1229,"Not Active")</f>
        <v>Not Active</v>
      </c>
    </row>
    <row r="313" spans="1:5" x14ac:dyDescent="0.25">
      <c r="A313" s="5" t="s">
        <v>905</v>
      </c>
      <c r="B313" s="7" t="s">
        <v>906</v>
      </c>
      <c r="C313" s="7" t="s">
        <v>2831</v>
      </c>
      <c r="D313" s="7"/>
      <c r="E313" t="str">
        <f>_xlfn.XLOOKUP(Table2[[#This Row],[RARC CODE]],'New Rarc Code'!A313:A1230,'New Rarc Code'!C313:C1230,"Not Active")</f>
        <v>Not Active</v>
      </c>
    </row>
    <row r="314" spans="1:5" x14ac:dyDescent="0.25">
      <c r="A314" s="5" t="s">
        <v>907</v>
      </c>
      <c r="B314" s="7" t="s">
        <v>908</v>
      </c>
      <c r="C314" s="7" t="s">
        <v>2832</v>
      </c>
      <c r="D314" s="7"/>
      <c r="E314" t="str">
        <f>_xlfn.XLOOKUP(Table2[[#This Row],[RARC CODE]],'New Rarc Code'!A314:A1231,'New Rarc Code'!C314:C1231,"Not Active")</f>
        <v>Not Active</v>
      </c>
    </row>
    <row r="315" spans="1:5" x14ac:dyDescent="0.25">
      <c r="A315" s="5" t="s">
        <v>909</v>
      </c>
      <c r="B315" s="8" t="s">
        <v>2284</v>
      </c>
      <c r="C315" s="8" t="s">
        <v>2833</v>
      </c>
      <c r="D315" s="8"/>
      <c r="E315" t="str">
        <f>_xlfn.XLOOKUP(Table2[[#This Row],[RARC CODE]],'New Rarc Code'!A315:A1232,'New Rarc Code'!C315:C1232,"Not Active")</f>
        <v>Not Active</v>
      </c>
    </row>
    <row r="316" spans="1:5" x14ac:dyDescent="0.25">
      <c r="A316" s="5" t="s">
        <v>910</v>
      </c>
      <c r="B316" s="7" t="s">
        <v>911</v>
      </c>
      <c r="C316" s="7" t="s">
        <v>2834</v>
      </c>
      <c r="D316" s="7"/>
      <c r="E316" t="str">
        <f>_xlfn.XLOOKUP(Table2[[#This Row],[RARC CODE]],'New Rarc Code'!A316:A1233,'New Rarc Code'!C316:C1233,"Not Active")</f>
        <v>Not Active</v>
      </c>
    </row>
    <row r="317" spans="1:5" x14ac:dyDescent="0.25">
      <c r="A317" s="5" t="s">
        <v>912</v>
      </c>
      <c r="B317" s="8" t="s">
        <v>2285</v>
      </c>
      <c r="C317" s="8" t="s">
        <v>2835</v>
      </c>
      <c r="D317" s="8"/>
      <c r="E317" t="str">
        <f>_xlfn.XLOOKUP(Table2[[#This Row],[RARC CODE]],'New Rarc Code'!A317:A1234,'New Rarc Code'!C317:C1234,"Not Active")</f>
        <v>Not Active</v>
      </c>
    </row>
    <row r="318" spans="1:5" x14ac:dyDescent="0.25">
      <c r="A318" s="5" t="s">
        <v>913</v>
      </c>
      <c r="B318" s="7" t="s">
        <v>914</v>
      </c>
      <c r="C318" s="7" t="s">
        <v>2836</v>
      </c>
      <c r="D318" s="7"/>
      <c r="E318" t="str">
        <f>_xlfn.XLOOKUP(Table2[[#This Row],[RARC CODE]],'New Rarc Code'!A318:A1235,'New Rarc Code'!C318:C1235,"Not Active")</f>
        <v>Not Active</v>
      </c>
    </row>
    <row r="319" spans="1:5" x14ac:dyDescent="0.25">
      <c r="A319" s="5" t="s">
        <v>915</v>
      </c>
      <c r="B319" s="8" t="s">
        <v>2286</v>
      </c>
      <c r="C319" s="8" t="s">
        <v>2837</v>
      </c>
      <c r="D319" s="8"/>
      <c r="E319" t="str">
        <f>_xlfn.XLOOKUP(Table2[[#This Row],[RARC CODE]],'New Rarc Code'!A319:A1236,'New Rarc Code'!C319:C1236,"Not Active")</f>
        <v>Not Active</v>
      </c>
    </row>
    <row r="320" spans="1:5" x14ac:dyDescent="0.25">
      <c r="A320" s="5" t="s">
        <v>916</v>
      </c>
      <c r="B320" s="7" t="s">
        <v>917</v>
      </c>
      <c r="C320" s="7" t="s">
        <v>2838</v>
      </c>
      <c r="D320" s="7"/>
      <c r="E320" t="str">
        <f>_xlfn.XLOOKUP(Table2[[#This Row],[RARC CODE]],'New Rarc Code'!A320:A1237,'New Rarc Code'!C320:C1237,"Not Active")</f>
        <v>Not Active</v>
      </c>
    </row>
    <row r="321" spans="1:5" x14ac:dyDescent="0.25">
      <c r="A321" s="5" t="s">
        <v>918</v>
      </c>
      <c r="B321" s="8" t="s">
        <v>2287</v>
      </c>
      <c r="C321" s="8" t="s">
        <v>2839</v>
      </c>
      <c r="D321" s="8"/>
      <c r="E321" t="str">
        <f>_xlfn.XLOOKUP(Table2[[#This Row],[RARC CODE]],'New Rarc Code'!A321:A1238,'New Rarc Code'!C321:C1238,"Not Active")</f>
        <v>Not Active</v>
      </c>
    </row>
    <row r="322" spans="1:5" x14ac:dyDescent="0.25">
      <c r="A322" s="5" t="s">
        <v>638</v>
      </c>
      <c r="B322" s="7" t="s">
        <v>639</v>
      </c>
      <c r="C322" s="7" t="s">
        <v>2840</v>
      </c>
      <c r="D322" s="7" t="s">
        <v>3694</v>
      </c>
      <c r="E322" t="str">
        <f>_xlfn.XLOOKUP(Table2[[#This Row],[RARC CODE]],'New Rarc Code'!A322:A1239,'New Rarc Code'!C322:C1239,"Not Active")</f>
        <v>Not Active</v>
      </c>
    </row>
    <row r="323" spans="1:5" x14ac:dyDescent="0.25">
      <c r="A323" s="5" t="s">
        <v>919</v>
      </c>
      <c r="B323" s="7" t="s">
        <v>920</v>
      </c>
      <c r="C323" s="7" t="s">
        <v>2841</v>
      </c>
      <c r="D323" s="7"/>
      <c r="E323" t="str">
        <f>_xlfn.XLOOKUP(Table2[[#This Row],[RARC CODE]],'New Rarc Code'!A323:A1240,'New Rarc Code'!C323:C1240,"Not Active")</f>
        <v>Not Active</v>
      </c>
    </row>
    <row r="324" spans="1:5" x14ac:dyDescent="0.25">
      <c r="A324" s="5" t="s">
        <v>921</v>
      </c>
      <c r="B324" s="7" t="s">
        <v>922</v>
      </c>
      <c r="C324" s="7" t="s">
        <v>2842</v>
      </c>
      <c r="D324" s="7"/>
      <c r="E324" t="str">
        <f>_xlfn.XLOOKUP(Table2[[#This Row],[RARC CODE]],'New Rarc Code'!A324:A1241,'New Rarc Code'!C324:C1241,"Not Active")</f>
        <v>Not Active</v>
      </c>
    </row>
    <row r="325" spans="1:5" x14ac:dyDescent="0.25">
      <c r="A325" s="5" t="s">
        <v>923</v>
      </c>
      <c r="B325" s="8" t="s">
        <v>2288</v>
      </c>
      <c r="C325" s="8" t="s">
        <v>2843</v>
      </c>
      <c r="D325" s="8"/>
      <c r="E325" t="str">
        <f>_xlfn.XLOOKUP(Table2[[#This Row],[RARC CODE]],'New Rarc Code'!A325:A1242,'New Rarc Code'!C325:C1242,"Not Active")</f>
        <v>Not Active</v>
      </c>
    </row>
    <row r="326" spans="1:5" x14ac:dyDescent="0.25">
      <c r="A326" s="5" t="s">
        <v>924</v>
      </c>
      <c r="B326" s="8" t="s">
        <v>2289</v>
      </c>
      <c r="C326" s="8" t="s">
        <v>2844</v>
      </c>
      <c r="D326" s="7" t="s">
        <v>3694</v>
      </c>
      <c r="E326" t="str">
        <f>_xlfn.XLOOKUP(Table2[[#This Row],[RARC CODE]],'New Rarc Code'!A326:A1243,'New Rarc Code'!C326:C1243,"Not Active")</f>
        <v>Not Active</v>
      </c>
    </row>
    <row r="327" spans="1:5" x14ac:dyDescent="0.25">
      <c r="A327" s="5" t="s">
        <v>925</v>
      </c>
      <c r="B327" s="7" t="s">
        <v>926</v>
      </c>
      <c r="C327" s="7" t="s">
        <v>2845</v>
      </c>
      <c r="D327" s="7"/>
      <c r="E327" t="str">
        <f>_xlfn.XLOOKUP(Table2[[#This Row],[RARC CODE]],'New Rarc Code'!A327:A1244,'New Rarc Code'!C327:C1244,"Not Active")</f>
        <v>Not Active</v>
      </c>
    </row>
    <row r="328" spans="1:5" x14ac:dyDescent="0.25">
      <c r="A328" s="5" t="s">
        <v>927</v>
      </c>
      <c r="B328" s="7" t="s">
        <v>928</v>
      </c>
      <c r="C328" s="7" t="s">
        <v>2846</v>
      </c>
      <c r="D328" s="7"/>
      <c r="E328" t="str">
        <f>_xlfn.XLOOKUP(Table2[[#This Row],[RARC CODE]],'New Rarc Code'!A328:A1245,'New Rarc Code'!C328:C1245,"Not Active")</f>
        <v>Not Active</v>
      </c>
    </row>
    <row r="329" spans="1:5" x14ac:dyDescent="0.25">
      <c r="A329" s="5" t="s">
        <v>929</v>
      </c>
      <c r="B329" s="8" t="s">
        <v>2290</v>
      </c>
      <c r="C329" s="8" t="s">
        <v>2847</v>
      </c>
      <c r="D329" s="8"/>
      <c r="E329" t="str">
        <f>_xlfn.XLOOKUP(Table2[[#This Row],[RARC CODE]],'New Rarc Code'!A329:A1246,'New Rarc Code'!C329:C1246,"Not Active")</f>
        <v>Not Active</v>
      </c>
    </row>
    <row r="330" spans="1:5" x14ac:dyDescent="0.25">
      <c r="A330" s="5" t="s">
        <v>930</v>
      </c>
      <c r="B330" s="7" t="s">
        <v>931</v>
      </c>
      <c r="C330" s="7" t="s">
        <v>2848</v>
      </c>
      <c r="D330" s="7"/>
      <c r="E330" t="str">
        <f>_xlfn.XLOOKUP(Table2[[#This Row],[RARC CODE]],'New Rarc Code'!A330:A1247,'New Rarc Code'!C330:C1247,"Not Active")</f>
        <v>Not Active</v>
      </c>
    </row>
    <row r="331" spans="1:5" x14ac:dyDescent="0.25">
      <c r="A331" s="5" t="s">
        <v>932</v>
      </c>
      <c r="B331" s="7" t="s">
        <v>933</v>
      </c>
      <c r="C331" s="7" t="s">
        <v>2849</v>
      </c>
      <c r="D331" s="7"/>
      <c r="E331" t="str">
        <f>_xlfn.XLOOKUP(Table2[[#This Row],[RARC CODE]],'New Rarc Code'!A331:A1248,'New Rarc Code'!C331:C1248,"Not Active")</f>
        <v>Not Active</v>
      </c>
    </row>
    <row r="332" spans="1:5" x14ac:dyDescent="0.25">
      <c r="A332" s="5" t="s">
        <v>934</v>
      </c>
      <c r="B332" s="7" t="s">
        <v>935</v>
      </c>
      <c r="C332" s="7" t="s">
        <v>2850</v>
      </c>
      <c r="D332" s="7"/>
      <c r="E332" t="str">
        <f>_xlfn.XLOOKUP(Table2[[#This Row],[RARC CODE]],'New Rarc Code'!A332:A1249,'New Rarc Code'!C332:C1249,"Not Active")</f>
        <v>Not Active</v>
      </c>
    </row>
    <row r="333" spans="1:5" x14ac:dyDescent="0.25">
      <c r="A333" s="5" t="s">
        <v>611</v>
      </c>
      <c r="B333" s="7" t="s">
        <v>612</v>
      </c>
      <c r="C333" s="7" t="s">
        <v>2851</v>
      </c>
      <c r="D333" s="7"/>
      <c r="E333" t="str">
        <f>_xlfn.XLOOKUP(Table2[[#This Row],[RARC CODE]],'New Rarc Code'!A333:A1250,'New Rarc Code'!C333:C1250,"Not Active")</f>
        <v>Not Active</v>
      </c>
    </row>
    <row r="334" spans="1:5" x14ac:dyDescent="0.25">
      <c r="A334" s="5" t="s">
        <v>640</v>
      </c>
      <c r="B334" s="7" t="s">
        <v>641</v>
      </c>
      <c r="C334" s="7" t="s">
        <v>2852</v>
      </c>
      <c r="D334" s="7"/>
      <c r="E334" t="str">
        <f>_xlfn.XLOOKUP(Table2[[#This Row],[RARC CODE]],'New Rarc Code'!A334:A1251,'New Rarc Code'!C334:C1251,"Not Active")</f>
        <v>Not Active</v>
      </c>
    </row>
    <row r="335" spans="1:5" x14ac:dyDescent="0.25">
      <c r="A335" s="5" t="s">
        <v>936</v>
      </c>
      <c r="B335" s="7" t="s">
        <v>937</v>
      </c>
      <c r="C335" s="7" t="s">
        <v>2853</v>
      </c>
      <c r="D335" s="7"/>
      <c r="E335" t="str">
        <f>_xlfn.XLOOKUP(Table2[[#This Row],[RARC CODE]],'New Rarc Code'!A335:A1252,'New Rarc Code'!C335:C1252,"Not Active")</f>
        <v>Not Active</v>
      </c>
    </row>
    <row r="336" spans="1:5" x14ac:dyDescent="0.25">
      <c r="A336" s="5" t="s">
        <v>938</v>
      </c>
      <c r="B336" s="8" t="s">
        <v>2291</v>
      </c>
      <c r="C336" s="8" t="s">
        <v>2854</v>
      </c>
      <c r="D336" s="8"/>
      <c r="E336" t="str">
        <f>_xlfn.XLOOKUP(Table2[[#This Row],[RARC CODE]],'New Rarc Code'!A336:A1253,'New Rarc Code'!C336:C1253,"Not Active")</f>
        <v>Not Active</v>
      </c>
    </row>
    <row r="337" spans="1:5" x14ac:dyDescent="0.25">
      <c r="A337" s="5" t="s">
        <v>939</v>
      </c>
      <c r="B337" s="7" t="s">
        <v>940</v>
      </c>
      <c r="C337" s="7" t="s">
        <v>2855</v>
      </c>
      <c r="D337" s="7"/>
      <c r="E337" t="str">
        <f>_xlfn.XLOOKUP(Table2[[#This Row],[RARC CODE]],'New Rarc Code'!A337:A1254,'New Rarc Code'!C337:C1254,"Not Active")</f>
        <v>Not Active</v>
      </c>
    </row>
    <row r="338" spans="1:5" x14ac:dyDescent="0.25">
      <c r="A338" s="5" t="s">
        <v>941</v>
      </c>
      <c r="B338" s="7" t="s">
        <v>942</v>
      </c>
      <c r="C338" s="7" t="s">
        <v>2856</v>
      </c>
      <c r="D338" s="7"/>
      <c r="E338" t="str">
        <f>_xlfn.XLOOKUP(Table2[[#This Row],[RARC CODE]],'New Rarc Code'!A338:A1255,'New Rarc Code'!C338:C1255,"Not Active")</f>
        <v>Not Active</v>
      </c>
    </row>
    <row r="339" spans="1:5" x14ac:dyDescent="0.25">
      <c r="A339" s="5" t="s">
        <v>943</v>
      </c>
      <c r="B339" s="7" t="s">
        <v>944</v>
      </c>
      <c r="C339" s="7" t="s">
        <v>2857</v>
      </c>
      <c r="D339" s="7"/>
      <c r="E339" t="str">
        <f>_xlfn.XLOOKUP(Table2[[#This Row],[RARC CODE]],'New Rarc Code'!A339:A1256,'New Rarc Code'!C339:C1256,"Not Active")</f>
        <v>Not Active</v>
      </c>
    </row>
    <row r="340" spans="1:5" x14ac:dyDescent="0.25">
      <c r="A340" s="5" t="s">
        <v>945</v>
      </c>
      <c r="B340" s="7" t="s">
        <v>946</v>
      </c>
      <c r="C340" s="7" t="s">
        <v>2858</v>
      </c>
      <c r="D340" s="7"/>
      <c r="E340" t="str">
        <f>_xlfn.XLOOKUP(Table2[[#This Row],[RARC CODE]],'New Rarc Code'!A340:A1257,'New Rarc Code'!C340:C1257,"Not Active")</f>
        <v>Not Active</v>
      </c>
    </row>
    <row r="341" spans="1:5" x14ac:dyDescent="0.25">
      <c r="A341" s="5" t="s">
        <v>947</v>
      </c>
      <c r="B341" s="7" t="s">
        <v>948</v>
      </c>
      <c r="C341" s="7" t="s">
        <v>2859</v>
      </c>
      <c r="D341" s="7"/>
      <c r="E341" t="str">
        <f>_xlfn.XLOOKUP(Table2[[#This Row],[RARC CODE]],'New Rarc Code'!A341:A1258,'New Rarc Code'!C341:C1258,"Not Active")</f>
        <v>Not Active</v>
      </c>
    </row>
    <row r="342" spans="1:5" x14ac:dyDescent="0.25">
      <c r="A342" s="5" t="s">
        <v>949</v>
      </c>
      <c r="B342" s="7" t="s">
        <v>950</v>
      </c>
      <c r="C342" s="7" t="s">
        <v>2860</v>
      </c>
      <c r="D342" s="7"/>
      <c r="E342" t="str">
        <f>_xlfn.XLOOKUP(Table2[[#This Row],[RARC CODE]],'New Rarc Code'!A342:A1259,'New Rarc Code'!C342:C1259,"Not Active")</f>
        <v>Not Active</v>
      </c>
    </row>
    <row r="343" spans="1:5" x14ac:dyDescent="0.25">
      <c r="A343" s="5" t="s">
        <v>951</v>
      </c>
      <c r="B343" s="7" t="s">
        <v>952</v>
      </c>
      <c r="C343" s="7" t="s">
        <v>2861</v>
      </c>
      <c r="D343" s="7"/>
      <c r="E343" t="str">
        <f>_xlfn.XLOOKUP(Table2[[#This Row],[RARC CODE]],'New Rarc Code'!A343:A1260,'New Rarc Code'!C343:C1260,"Not Active")</f>
        <v>Not Active</v>
      </c>
    </row>
    <row r="344" spans="1:5" x14ac:dyDescent="0.25">
      <c r="A344" s="5" t="s">
        <v>642</v>
      </c>
      <c r="B344" s="8" t="s">
        <v>2259</v>
      </c>
      <c r="C344" s="8" t="s">
        <v>2862</v>
      </c>
      <c r="D344" s="8"/>
      <c r="E344" t="str">
        <f>_xlfn.XLOOKUP(Table2[[#This Row],[RARC CODE]],'New Rarc Code'!A344:A1261,'New Rarc Code'!C344:C1261,"Not Active")</f>
        <v>Not Active</v>
      </c>
    </row>
    <row r="345" spans="1:5" x14ac:dyDescent="0.25">
      <c r="A345" s="5" t="s">
        <v>953</v>
      </c>
      <c r="B345" s="8" t="s">
        <v>2292</v>
      </c>
      <c r="C345" s="8" t="s">
        <v>2863</v>
      </c>
      <c r="D345" s="8"/>
      <c r="E345" t="str">
        <f>_xlfn.XLOOKUP(Table2[[#This Row],[RARC CODE]],'New Rarc Code'!A345:A1262,'New Rarc Code'!C345:C1262,"Not Active")</f>
        <v>Not Active</v>
      </c>
    </row>
    <row r="346" spans="1:5" x14ac:dyDescent="0.25">
      <c r="A346" s="5" t="s">
        <v>954</v>
      </c>
      <c r="B346" s="8" t="s">
        <v>2293</v>
      </c>
      <c r="C346" s="8" t="s">
        <v>2864</v>
      </c>
      <c r="D346" s="8"/>
      <c r="E346" t="str">
        <f>_xlfn.XLOOKUP(Table2[[#This Row],[RARC CODE]],'New Rarc Code'!A346:A1263,'New Rarc Code'!C346:C1263,"Not Active")</f>
        <v>Not Active</v>
      </c>
    </row>
    <row r="347" spans="1:5" x14ac:dyDescent="0.25">
      <c r="A347" s="5" t="s">
        <v>955</v>
      </c>
      <c r="B347" s="7" t="s">
        <v>956</v>
      </c>
      <c r="C347" s="7" t="s">
        <v>2865</v>
      </c>
      <c r="D347" s="7"/>
      <c r="E347" t="str">
        <f>_xlfn.XLOOKUP(Table2[[#This Row],[RARC CODE]],'New Rarc Code'!A347:A1264,'New Rarc Code'!C347:C1264,"Not Active")</f>
        <v>Not Active</v>
      </c>
    </row>
    <row r="348" spans="1:5" x14ac:dyDescent="0.25">
      <c r="A348" s="5" t="s">
        <v>957</v>
      </c>
      <c r="B348" s="7" t="s">
        <v>958</v>
      </c>
      <c r="C348" s="7" t="s">
        <v>2866</v>
      </c>
      <c r="D348" s="7"/>
      <c r="E348" t="str">
        <f>_xlfn.XLOOKUP(Table2[[#This Row],[RARC CODE]],'New Rarc Code'!A348:A1265,'New Rarc Code'!C348:C1265,"Not Active")</f>
        <v>Not Active</v>
      </c>
    </row>
    <row r="349" spans="1:5" x14ac:dyDescent="0.25">
      <c r="A349" s="5" t="s">
        <v>959</v>
      </c>
      <c r="B349" s="7" t="s">
        <v>960</v>
      </c>
      <c r="C349" s="7" t="s">
        <v>2867</v>
      </c>
      <c r="D349" s="7"/>
      <c r="E349" t="str">
        <f>_xlfn.XLOOKUP(Table2[[#This Row],[RARC CODE]],'New Rarc Code'!A349:A1266,'New Rarc Code'!C349:C1266,"Not Active")</f>
        <v>Not Active</v>
      </c>
    </row>
    <row r="350" spans="1:5" x14ac:dyDescent="0.25">
      <c r="A350" s="5" t="s">
        <v>961</v>
      </c>
      <c r="B350" s="8" t="s">
        <v>2294</v>
      </c>
      <c r="C350" s="8" t="s">
        <v>2868</v>
      </c>
      <c r="D350" s="8"/>
      <c r="E350" t="str">
        <f>_xlfn.XLOOKUP(Table2[[#This Row],[RARC CODE]],'New Rarc Code'!A350:A1267,'New Rarc Code'!C350:C1267,"Not Active")</f>
        <v>Not Active</v>
      </c>
    </row>
    <row r="351" spans="1:5" x14ac:dyDescent="0.25">
      <c r="A351" s="5" t="s">
        <v>962</v>
      </c>
      <c r="B351" s="7" t="s">
        <v>963</v>
      </c>
      <c r="C351" s="7" t="s">
        <v>2869</v>
      </c>
      <c r="D351" s="7"/>
      <c r="E351" t="str">
        <f>_xlfn.XLOOKUP(Table2[[#This Row],[RARC CODE]],'New Rarc Code'!A351:A1268,'New Rarc Code'!C351:C1268,"Not Active")</f>
        <v>Not Active</v>
      </c>
    </row>
    <row r="352" spans="1:5" x14ac:dyDescent="0.25">
      <c r="A352" s="5" t="s">
        <v>964</v>
      </c>
      <c r="B352" s="7" t="s">
        <v>965</v>
      </c>
      <c r="C352" s="7" t="s">
        <v>2870</v>
      </c>
      <c r="D352" s="7"/>
      <c r="E352" t="str">
        <f>_xlfn.XLOOKUP(Table2[[#This Row],[RARC CODE]],'New Rarc Code'!A352:A1269,'New Rarc Code'!C352:C1269,"Not Active")</f>
        <v>Not Active</v>
      </c>
    </row>
    <row r="353" spans="1:5" x14ac:dyDescent="0.25">
      <c r="A353" s="5" t="s">
        <v>966</v>
      </c>
      <c r="B353" s="7" t="s">
        <v>967</v>
      </c>
      <c r="C353" s="7" t="s">
        <v>2871</v>
      </c>
      <c r="D353" s="7"/>
      <c r="E353" t="str">
        <f>_xlfn.XLOOKUP(Table2[[#This Row],[RARC CODE]],'New Rarc Code'!A353:A1270,'New Rarc Code'!C353:C1270,"Not Active")</f>
        <v>Not Active</v>
      </c>
    </row>
    <row r="354" spans="1:5" x14ac:dyDescent="0.25">
      <c r="A354" s="5" t="s">
        <v>968</v>
      </c>
      <c r="B354" s="7" t="s">
        <v>969</v>
      </c>
      <c r="C354" s="7" t="s">
        <v>2872</v>
      </c>
      <c r="D354" s="7"/>
      <c r="E354" t="str">
        <f>_xlfn.XLOOKUP(Table2[[#This Row],[RARC CODE]],'New Rarc Code'!A354:A1271,'New Rarc Code'!C354:C1271,"Not Active")</f>
        <v>Not Active</v>
      </c>
    </row>
    <row r="355" spans="1:5" x14ac:dyDescent="0.25">
      <c r="A355" s="5" t="s">
        <v>643</v>
      </c>
      <c r="B355" s="8" t="s">
        <v>2260</v>
      </c>
      <c r="C355" s="8" t="s">
        <v>2873</v>
      </c>
      <c r="D355" s="8"/>
      <c r="E355" t="str">
        <f>_xlfn.XLOOKUP(Table2[[#This Row],[RARC CODE]],'New Rarc Code'!A355:A1272,'New Rarc Code'!C355:C1272,"Not Active")</f>
        <v>Not Active</v>
      </c>
    </row>
    <row r="356" spans="1:5" x14ac:dyDescent="0.25">
      <c r="A356" s="5" t="s">
        <v>970</v>
      </c>
      <c r="B356" s="8" t="s">
        <v>2295</v>
      </c>
      <c r="C356" s="8" t="s">
        <v>2874</v>
      </c>
      <c r="D356" s="8"/>
      <c r="E356" t="str">
        <f>_xlfn.XLOOKUP(Table2[[#This Row],[RARC CODE]],'New Rarc Code'!A356:A1273,'New Rarc Code'!C356:C1273,"Not Active")</f>
        <v>Not Active</v>
      </c>
    </row>
    <row r="357" spans="1:5" x14ac:dyDescent="0.25">
      <c r="A357" s="5" t="s">
        <v>971</v>
      </c>
      <c r="B357" s="7" t="s">
        <v>972</v>
      </c>
      <c r="C357" s="7" t="s">
        <v>2875</v>
      </c>
      <c r="D357" s="7"/>
      <c r="E357" t="str">
        <f>_xlfn.XLOOKUP(Table2[[#This Row],[RARC CODE]],'New Rarc Code'!A357:A1274,'New Rarc Code'!C357:C1274,"Not Active")</f>
        <v>Not Active</v>
      </c>
    </row>
    <row r="358" spans="1:5" x14ac:dyDescent="0.25">
      <c r="A358" s="5" t="s">
        <v>973</v>
      </c>
      <c r="B358" s="7" t="s">
        <v>974</v>
      </c>
      <c r="C358" s="7" t="s">
        <v>2876</v>
      </c>
      <c r="D358" s="7"/>
      <c r="E358" t="str">
        <f>_xlfn.XLOOKUP(Table2[[#This Row],[RARC CODE]],'New Rarc Code'!A358:A1275,'New Rarc Code'!C358:C1275,"Not Active")</f>
        <v>Not Active</v>
      </c>
    </row>
    <row r="359" spans="1:5" x14ac:dyDescent="0.25">
      <c r="A359" s="5" t="s">
        <v>975</v>
      </c>
      <c r="B359" s="7" t="s">
        <v>976</v>
      </c>
      <c r="C359" s="7" t="s">
        <v>2877</v>
      </c>
      <c r="D359" s="7"/>
      <c r="E359" t="str">
        <f>_xlfn.XLOOKUP(Table2[[#This Row],[RARC CODE]],'New Rarc Code'!A359:A1276,'New Rarc Code'!C359:C1276,"Not Active")</f>
        <v>Not Active</v>
      </c>
    </row>
    <row r="360" spans="1:5" x14ac:dyDescent="0.25">
      <c r="A360" s="5" t="s">
        <v>977</v>
      </c>
      <c r="B360" s="7" t="s">
        <v>978</v>
      </c>
      <c r="C360" s="7" t="s">
        <v>2878</v>
      </c>
      <c r="D360" s="7"/>
      <c r="E360" t="str">
        <f>_xlfn.XLOOKUP(Table2[[#This Row],[RARC CODE]],'New Rarc Code'!A360:A1277,'New Rarc Code'!C360:C1277,"Not Active")</f>
        <v>Not Active</v>
      </c>
    </row>
    <row r="361" spans="1:5" x14ac:dyDescent="0.25">
      <c r="A361" s="5" t="s">
        <v>979</v>
      </c>
      <c r="B361" s="7" t="s">
        <v>980</v>
      </c>
      <c r="C361" s="7" t="s">
        <v>2879</v>
      </c>
      <c r="D361" s="7"/>
      <c r="E361" t="str">
        <f>_xlfn.XLOOKUP(Table2[[#This Row],[RARC CODE]],'New Rarc Code'!A361:A1278,'New Rarc Code'!C361:C1278,"Not Active")</f>
        <v>Not Active</v>
      </c>
    </row>
    <row r="362" spans="1:5" x14ac:dyDescent="0.25">
      <c r="A362" s="5" t="s">
        <v>981</v>
      </c>
      <c r="B362" s="7" t="s">
        <v>982</v>
      </c>
      <c r="C362" s="7" t="s">
        <v>2880</v>
      </c>
      <c r="D362" s="7"/>
      <c r="E362" t="str">
        <f>_xlfn.XLOOKUP(Table2[[#This Row],[RARC CODE]],'New Rarc Code'!A362:A1279,'New Rarc Code'!C362:C1279,"Not Active")</f>
        <v>Not Active</v>
      </c>
    </row>
    <row r="363" spans="1:5" x14ac:dyDescent="0.25">
      <c r="A363" s="5" t="s">
        <v>983</v>
      </c>
      <c r="B363" s="7" t="s">
        <v>984</v>
      </c>
      <c r="C363" s="7" t="s">
        <v>2881</v>
      </c>
      <c r="D363" s="7"/>
      <c r="E363" t="str">
        <f>_xlfn.XLOOKUP(Table2[[#This Row],[RARC CODE]],'New Rarc Code'!A363:A1280,'New Rarc Code'!C363:C1280,"Not Active")</f>
        <v>Not Active</v>
      </c>
    </row>
    <row r="364" spans="1:5" x14ac:dyDescent="0.25">
      <c r="A364" s="5" t="s">
        <v>985</v>
      </c>
      <c r="B364" s="7" t="s">
        <v>986</v>
      </c>
      <c r="C364" s="7" t="s">
        <v>2882</v>
      </c>
      <c r="D364" s="7"/>
      <c r="E364" t="str">
        <f>_xlfn.XLOOKUP(Table2[[#This Row],[RARC CODE]],'New Rarc Code'!A364:A1281,'New Rarc Code'!C364:C1281,"Not Active")</f>
        <v>Not Active</v>
      </c>
    </row>
    <row r="365" spans="1:5" x14ac:dyDescent="0.25">
      <c r="A365" s="5" t="s">
        <v>644</v>
      </c>
      <c r="B365" s="8" t="s">
        <v>2261</v>
      </c>
      <c r="C365" s="8" t="s">
        <v>2883</v>
      </c>
      <c r="D365" s="8"/>
      <c r="E365" t="str">
        <f>_xlfn.XLOOKUP(Table2[[#This Row],[RARC CODE]],'New Rarc Code'!A365:A1282,'New Rarc Code'!C365:C1282,"Not Active")</f>
        <v>Not Active</v>
      </c>
    </row>
    <row r="366" spans="1:5" x14ac:dyDescent="0.25">
      <c r="A366" s="5" t="s">
        <v>987</v>
      </c>
      <c r="B366" s="7" t="s">
        <v>988</v>
      </c>
      <c r="C366" s="7" t="s">
        <v>2884</v>
      </c>
      <c r="D366" s="7"/>
      <c r="E366" t="str">
        <f>_xlfn.XLOOKUP(Table2[[#This Row],[RARC CODE]],'New Rarc Code'!A366:A1283,'New Rarc Code'!C366:C1283,"Not Active")</f>
        <v>Not Active</v>
      </c>
    </row>
    <row r="367" spans="1:5" x14ac:dyDescent="0.25">
      <c r="A367" s="5" t="s">
        <v>989</v>
      </c>
      <c r="B367" s="7" t="s">
        <v>990</v>
      </c>
      <c r="C367" s="7" t="s">
        <v>2885</v>
      </c>
      <c r="D367" s="7"/>
      <c r="E367" t="str">
        <f>_xlfn.XLOOKUP(Table2[[#This Row],[RARC CODE]],'New Rarc Code'!A367:A1284,'New Rarc Code'!C367:C1284,"Not Active")</f>
        <v>Not Active</v>
      </c>
    </row>
    <row r="368" spans="1:5" x14ac:dyDescent="0.25">
      <c r="A368" s="5" t="s">
        <v>991</v>
      </c>
      <c r="B368" s="7" t="s">
        <v>992</v>
      </c>
      <c r="C368" s="7" t="s">
        <v>2886</v>
      </c>
      <c r="D368" s="7"/>
      <c r="E368" t="str">
        <f>_xlfn.XLOOKUP(Table2[[#This Row],[RARC CODE]],'New Rarc Code'!A368:A1285,'New Rarc Code'!C368:C1285,"Not Active")</f>
        <v>Not Active</v>
      </c>
    </row>
    <row r="369" spans="1:5" x14ac:dyDescent="0.25">
      <c r="A369" s="5" t="s">
        <v>993</v>
      </c>
      <c r="B369" s="7" t="s">
        <v>994</v>
      </c>
      <c r="C369" s="7" t="s">
        <v>2887</v>
      </c>
      <c r="D369" s="7"/>
      <c r="E369" t="str">
        <f>_xlfn.XLOOKUP(Table2[[#This Row],[RARC CODE]],'New Rarc Code'!A369:A1286,'New Rarc Code'!C369:C1286,"Not Active")</f>
        <v>Not Active</v>
      </c>
    </row>
    <row r="370" spans="1:5" x14ac:dyDescent="0.25">
      <c r="A370" s="5" t="s">
        <v>995</v>
      </c>
      <c r="B370" s="7" t="s">
        <v>996</v>
      </c>
      <c r="C370" s="7" t="s">
        <v>2888</v>
      </c>
      <c r="D370" s="7"/>
      <c r="E370" t="str">
        <f>_xlfn.XLOOKUP(Table2[[#This Row],[RARC CODE]],'New Rarc Code'!A370:A1287,'New Rarc Code'!C370:C1287,"Not Active")</f>
        <v>Not Active</v>
      </c>
    </row>
    <row r="371" spans="1:5" x14ac:dyDescent="0.25">
      <c r="A371" s="5" t="s">
        <v>997</v>
      </c>
      <c r="B371" s="7" t="s">
        <v>998</v>
      </c>
      <c r="C371" s="7" t="s">
        <v>2889</v>
      </c>
      <c r="D371" s="7"/>
      <c r="E371" t="str">
        <f>_xlfn.XLOOKUP(Table2[[#This Row],[RARC CODE]],'New Rarc Code'!A371:A1288,'New Rarc Code'!C371:C1288,"Not Active")</f>
        <v>Not Active</v>
      </c>
    </row>
    <row r="372" spans="1:5" x14ac:dyDescent="0.25">
      <c r="A372" s="5" t="s">
        <v>999</v>
      </c>
      <c r="B372" s="7" t="s">
        <v>1000</v>
      </c>
      <c r="C372" s="7" t="s">
        <v>2890</v>
      </c>
      <c r="D372" s="7"/>
      <c r="E372" t="str">
        <f>_xlfn.XLOOKUP(Table2[[#This Row],[RARC CODE]],'New Rarc Code'!A372:A1289,'New Rarc Code'!C372:C1289,"Not Active")</f>
        <v>Not Active</v>
      </c>
    </row>
    <row r="373" spans="1:5" x14ac:dyDescent="0.25">
      <c r="A373" s="5" t="s">
        <v>1001</v>
      </c>
      <c r="B373" s="7" t="s">
        <v>1002</v>
      </c>
      <c r="C373" s="7" t="s">
        <v>2891</v>
      </c>
      <c r="D373" s="7"/>
      <c r="E373" t="str">
        <f>_xlfn.XLOOKUP(Table2[[#This Row],[RARC CODE]],'New Rarc Code'!A373:A1290,'New Rarc Code'!C373:C1290,"Not Active")</f>
        <v>Not Active</v>
      </c>
    </row>
    <row r="374" spans="1:5" x14ac:dyDescent="0.25">
      <c r="A374" s="5" t="s">
        <v>1003</v>
      </c>
      <c r="B374" s="7" t="s">
        <v>1004</v>
      </c>
      <c r="C374" s="7" t="s">
        <v>2892</v>
      </c>
      <c r="D374" s="7"/>
      <c r="E374" t="str">
        <f>_xlfn.XLOOKUP(Table2[[#This Row],[RARC CODE]],'New Rarc Code'!A374:A1291,'New Rarc Code'!C374:C1291,"Not Active")</f>
        <v>Not Active</v>
      </c>
    </row>
    <row r="375" spans="1:5" x14ac:dyDescent="0.25">
      <c r="A375" s="5" t="s">
        <v>1005</v>
      </c>
      <c r="B375" s="7" t="s">
        <v>1006</v>
      </c>
      <c r="C375" s="7" t="s">
        <v>2893</v>
      </c>
      <c r="D375" s="7"/>
      <c r="E375" t="str">
        <f>_xlfn.XLOOKUP(Table2[[#This Row],[RARC CODE]],'New Rarc Code'!A375:A1292,'New Rarc Code'!C375:C1292,"Not Active")</f>
        <v>Not Active</v>
      </c>
    </row>
    <row r="376" spans="1:5" x14ac:dyDescent="0.25">
      <c r="A376" s="5" t="s">
        <v>645</v>
      </c>
      <c r="B376" s="7" t="s">
        <v>646</v>
      </c>
      <c r="C376" s="7" t="s">
        <v>2894</v>
      </c>
      <c r="D376" s="7"/>
      <c r="E376" t="str">
        <f>_xlfn.XLOOKUP(Table2[[#This Row],[RARC CODE]],'New Rarc Code'!A376:A1293,'New Rarc Code'!C376:C1293,"Not Active")</f>
        <v>Not Active</v>
      </c>
    </row>
    <row r="377" spans="1:5" x14ac:dyDescent="0.25">
      <c r="A377" s="5" t="s">
        <v>1007</v>
      </c>
      <c r="B377" s="7" t="s">
        <v>1008</v>
      </c>
      <c r="C377" s="7" t="s">
        <v>2895</v>
      </c>
      <c r="D377" s="7"/>
      <c r="E377" t="str">
        <f>_xlfn.XLOOKUP(Table2[[#This Row],[RARC CODE]],'New Rarc Code'!A377:A1294,'New Rarc Code'!C377:C1294,"Not Active")</f>
        <v>Not Active</v>
      </c>
    </row>
    <row r="378" spans="1:5" x14ac:dyDescent="0.25">
      <c r="A378" s="5" t="s">
        <v>1009</v>
      </c>
      <c r="B378" s="7" t="s">
        <v>1010</v>
      </c>
      <c r="C378" s="7" t="s">
        <v>2896</v>
      </c>
      <c r="D378" s="7"/>
      <c r="E378" t="str">
        <f>_xlfn.XLOOKUP(Table2[[#This Row],[RARC CODE]],'New Rarc Code'!A378:A1295,'New Rarc Code'!C378:C1295,"Not Active")</f>
        <v>Not Active</v>
      </c>
    </row>
    <row r="379" spans="1:5" x14ac:dyDescent="0.25">
      <c r="A379" s="5" t="s">
        <v>1011</v>
      </c>
      <c r="B379" s="7" t="s">
        <v>1012</v>
      </c>
      <c r="C379" s="7" t="s">
        <v>2897</v>
      </c>
      <c r="D379" s="7"/>
      <c r="E379" t="str">
        <f>_xlfn.XLOOKUP(Table2[[#This Row],[RARC CODE]],'New Rarc Code'!A379:A1296,'New Rarc Code'!C379:C1296,"Not Active")</f>
        <v>Not Active</v>
      </c>
    </row>
    <row r="380" spans="1:5" x14ac:dyDescent="0.25">
      <c r="A380" s="5" t="s">
        <v>1013</v>
      </c>
      <c r="B380" s="7" t="s">
        <v>1014</v>
      </c>
      <c r="C380" s="7" t="s">
        <v>2898</v>
      </c>
      <c r="D380" s="7"/>
      <c r="E380" t="str">
        <f>_xlfn.XLOOKUP(Table2[[#This Row],[RARC CODE]],'New Rarc Code'!A380:A1297,'New Rarc Code'!C380:C1297,"Not Active")</f>
        <v>Not Active</v>
      </c>
    </row>
    <row r="381" spans="1:5" x14ac:dyDescent="0.25">
      <c r="A381" s="5" t="s">
        <v>1015</v>
      </c>
      <c r="B381" s="7" t="s">
        <v>1016</v>
      </c>
      <c r="C381" s="7" t="s">
        <v>2899</v>
      </c>
      <c r="D381" s="7"/>
      <c r="E381" t="str">
        <f>_xlfn.XLOOKUP(Table2[[#This Row],[RARC CODE]],'New Rarc Code'!A381:A1298,'New Rarc Code'!C381:C1298,"Not Active")</f>
        <v>Not Active</v>
      </c>
    </row>
    <row r="382" spans="1:5" x14ac:dyDescent="0.25">
      <c r="A382" s="5" t="s">
        <v>1017</v>
      </c>
      <c r="B382" s="7" t="s">
        <v>1018</v>
      </c>
      <c r="C382" s="7" t="s">
        <v>2900</v>
      </c>
      <c r="D382" s="7"/>
      <c r="E382" t="str">
        <f>_xlfn.XLOOKUP(Table2[[#This Row],[RARC CODE]],'New Rarc Code'!A382:A1299,'New Rarc Code'!C382:C1299,"Not Active")</f>
        <v>Not Active</v>
      </c>
    </row>
    <row r="383" spans="1:5" x14ac:dyDescent="0.25">
      <c r="A383" s="5" t="s">
        <v>1019</v>
      </c>
      <c r="B383" s="7" t="s">
        <v>1020</v>
      </c>
      <c r="C383" s="7" t="s">
        <v>2901</v>
      </c>
      <c r="D383" s="7"/>
      <c r="E383" t="str">
        <f>_xlfn.XLOOKUP(Table2[[#This Row],[RARC CODE]],'New Rarc Code'!A383:A1300,'New Rarc Code'!C383:C1300,"Not Active")</f>
        <v>Not Active</v>
      </c>
    </row>
    <row r="384" spans="1:5" x14ac:dyDescent="0.25">
      <c r="A384" s="5" t="s">
        <v>1021</v>
      </c>
      <c r="B384" s="7" t="s">
        <v>1022</v>
      </c>
      <c r="C384" s="7" t="s">
        <v>2902</v>
      </c>
      <c r="D384" s="7"/>
      <c r="E384" t="str">
        <f>_xlfn.XLOOKUP(Table2[[#This Row],[RARC CODE]],'New Rarc Code'!A384:A1301,'New Rarc Code'!C384:C1301,"Not Active")</f>
        <v>Not Active</v>
      </c>
    </row>
    <row r="385" spans="1:5" x14ac:dyDescent="0.25">
      <c r="A385" s="5" t="s">
        <v>1023</v>
      </c>
      <c r="B385" s="7" t="s">
        <v>1024</v>
      </c>
      <c r="C385" s="7" t="s">
        <v>2903</v>
      </c>
      <c r="D385" s="7"/>
      <c r="E385" t="str">
        <f>_xlfn.XLOOKUP(Table2[[#This Row],[RARC CODE]],'New Rarc Code'!A385:A1302,'New Rarc Code'!C385:C1302,"Not Active")</f>
        <v>Not Active</v>
      </c>
    </row>
    <row r="386" spans="1:5" x14ac:dyDescent="0.25">
      <c r="A386" s="5" t="s">
        <v>1025</v>
      </c>
      <c r="B386" s="7" t="s">
        <v>1026</v>
      </c>
      <c r="C386" s="7" t="s">
        <v>2904</v>
      </c>
      <c r="D386" s="7"/>
      <c r="E386" t="str">
        <f>_xlfn.XLOOKUP(Table2[[#This Row],[RARC CODE]],'New Rarc Code'!A386:A1303,'New Rarc Code'!C386:C1303,"Not Active")</f>
        <v>Not Active</v>
      </c>
    </row>
    <row r="387" spans="1:5" x14ac:dyDescent="0.25">
      <c r="A387" s="5" t="s">
        <v>647</v>
      </c>
      <c r="B387" s="7" t="s">
        <v>648</v>
      </c>
      <c r="C387" s="7" t="s">
        <v>2905</v>
      </c>
      <c r="D387" s="7"/>
      <c r="E387" t="str">
        <f>_xlfn.XLOOKUP(Table2[[#This Row],[RARC CODE]],'New Rarc Code'!A387:A1304,'New Rarc Code'!C387:C1304,"Not Active")</f>
        <v>Not Active</v>
      </c>
    </row>
    <row r="388" spans="1:5" x14ac:dyDescent="0.25">
      <c r="A388" s="5" t="s">
        <v>1027</v>
      </c>
      <c r="B388" s="7" t="s">
        <v>1028</v>
      </c>
      <c r="C388" s="7" t="s">
        <v>2906</v>
      </c>
      <c r="D388" s="7"/>
      <c r="E388" t="str">
        <f>_xlfn.XLOOKUP(Table2[[#This Row],[RARC CODE]],'New Rarc Code'!A388:A1305,'New Rarc Code'!C388:C1305,"Not Active")</f>
        <v>Not Active</v>
      </c>
    </row>
    <row r="389" spans="1:5" x14ac:dyDescent="0.25">
      <c r="A389" s="5" t="s">
        <v>1029</v>
      </c>
      <c r="B389" s="7" t="s">
        <v>1030</v>
      </c>
      <c r="C389" s="7" t="s">
        <v>2907</v>
      </c>
      <c r="D389" s="7"/>
      <c r="E389" t="str">
        <f>_xlfn.XLOOKUP(Table2[[#This Row],[RARC CODE]],'New Rarc Code'!A389:A1306,'New Rarc Code'!C389:C1306,"Not Active")</f>
        <v>Not Active</v>
      </c>
    </row>
    <row r="390" spans="1:5" x14ac:dyDescent="0.25">
      <c r="A390" s="5" t="s">
        <v>1031</v>
      </c>
      <c r="B390" s="7" t="s">
        <v>1032</v>
      </c>
      <c r="C390" s="7" t="s">
        <v>2908</v>
      </c>
      <c r="D390" s="7"/>
      <c r="E390" t="str">
        <f>_xlfn.XLOOKUP(Table2[[#This Row],[RARC CODE]],'New Rarc Code'!A390:A1307,'New Rarc Code'!C390:C1307,"Not Active")</f>
        <v>Not Active</v>
      </c>
    </row>
    <row r="391" spans="1:5" x14ac:dyDescent="0.25">
      <c r="A391" s="5" t="s">
        <v>1033</v>
      </c>
      <c r="B391" s="7" t="s">
        <v>1034</v>
      </c>
      <c r="C391" s="7" t="s">
        <v>2909</v>
      </c>
      <c r="D391" s="7"/>
      <c r="E391" t="str">
        <f>_xlfn.XLOOKUP(Table2[[#This Row],[RARC CODE]],'New Rarc Code'!A391:A1308,'New Rarc Code'!C391:C1308,"Not Active")</f>
        <v>Not Active</v>
      </c>
    </row>
    <row r="392" spans="1:5" x14ac:dyDescent="0.25">
      <c r="A392" s="5" t="s">
        <v>1035</v>
      </c>
      <c r="B392" s="7" t="s">
        <v>1036</v>
      </c>
      <c r="C392" s="7" t="s">
        <v>2910</v>
      </c>
      <c r="D392" s="7"/>
      <c r="E392" t="str">
        <f>_xlfn.XLOOKUP(Table2[[#This Row],[RARC CODE]],'New Rarc Code'!A392:A1309,'New Rarc Code'!C392:C1309,"Not Active")</f>
        <v>Not Active</v>
      </c>
    </row>
    <row r="393" spans="1:5" x14ac:dyDescent="0.25">
      <c r="A393" s="5" t="s">
        <v>1037</v>
      </c>
      <c r="B393" s="7" t="s">
        <v>1038</v>
      </c>
      <c r="C393" s="7" t="s">
        <v>2911</v>
      </c>
      <c r="D393" s="7"/>
      <c r="E393" t="str">
        <f>_xlfn.XLOOKUP(Table2[[#This Row],[RARC CODE]],'New Rarc Code'!A393:A1310,'New Rarc Code'!C393:C1310,"Not Active")</f>
        <v>Not Active</v>
      </c>
    </row>
    <row r="394" spans="1:5" x14ac:dyDescent="0.25">
      <c r="A394" s="5" t="s">
        <v>1039</v>
      </c>
      <c r="B394" s="7" t="s">
        <v>1040</v>
      </c>
      <c r="C394" s="7" t="s">
        <v>2912</v>
      </c>
      <c r="D394" s="7"/>
      <c r="E394" t="str">
        <f>_xlfn.XLOOKUP(Table2[[#This Row],[RARC CODE]],'New Rarc Code'!A394:A1311,'New Rarc Code'!C394:C1311,"Not Active")</f>
        <v>Not Active</v>
      </c>
    </row>
    <row r="395" spans="1:5" x14ac:dyDescent="0.25">
      <c r="A395" s="5" t="s">
        <v>1041</v>
      </c>
      <c r="B395" s="7" t="s">
        <v>1042</v>
      </c>
      <c r="C395" s="7" t="s">
        <v>2913</v>
      </c>
      <c r="D395" s="7"/>
      <c r="E395" t="str">
        <f>_xlfn.XLOOKUP(Table2[[#This Row],[RARC CODE]],'New Rarc Code'!A395:A1312,'New Rarc Code'!C395:C1312,"Not Active")</f>
        <v>Not Active</v>
      </c>
    </row>
    <row r="396" spans="1:5" x14ac:dyDescent="0.25">
      <c r="A396" s="5" t="s">
        <v>1043</v>
      </c>
      <c r="B396" s="7" t="s">
        <v>1044</v>
      </c>
      <c r="C396" s="7" t="s">
        <v>2914</v>
      </c>
      <c r="D396" s="7"/>
      <c r="E396" t="str">
        <f>_xlfn.XLOOKUP(Table2[[#This Row],[RARC CODE]],'New Rarc Code'!A396:A1313,'New Rarc Code'!C396:C1313,"Not Active")</f>
        <v>Not Active</v>
      </c>
    </row>
    <row r="397" spans="1:5" x14ac:dyDescent="0.25">
      <c r="A397" s="5" t="s">
        <v>1045</v>
      </c>
      <c r="B397" s="7" t="s">
        <v>1046</v>
      </c>
      <c r="C397" s="7" t="s">
        <v>2915</v>
      </c>
      <c r="D397" s="7"/>
      <c r="E397" t="str">
        <f>_xlfn.XLOOKUP(Table2[[#This Row],[RARC CODE]],'New Rarc Code'!A397:A1314,'New Rarc Code'!C397:C1314,"Not Active")</f>
        <v>Not Active</v>
      </c>
    </row>
    <row r="398" spans="1:5" x14ac:dyDescent="0.25">
      <c r="A398" s="5" t="s">
        <v>649</v>
      </c>
      <c r="B398" s="7" t="s">
        <v>650</v>
      </c>
      <c r="C398" s="7" t="s">
        <v>2916</v>
      </c>
      <c r="D398" s="7"/>
      <c r="E398" t="str">
        <f>_xlfn.XLOOKUP(Table2[[#This Row],[RARC CODE]],'New Rarc Code'!A398:A1315,'New Rarc Code'!C398:C1315,"Not Active")</f>
        <v>Not Active</v>
      </c>
    </row>
    <row r="399" spans="1:5" x14ac:dyDescent="0.25">
      <c r="A399" s="5" t="s">
        <v>1047</v>
      </c>
      <c r="B399" s="7" t="s">
        <v>1048</v>
      </c>
      <c r="C399" s="7" t="s">
        <v>2917</v>
      </c>
      <c r="D399" s="7"/>
      <c r="E399" t="str">
        <f>_xlfn.XLOOKUP(Table2[[#This Row],[RARC CODE]],'New Rarc Code'!A399:A1316,'New Rarc Code'!C399:C1316,"Not Active")</f>
        <v>Not Active</v>
      </c>
    </row>
    <row r="400" spans="1:5" x14ac:dyDescent="0.25">
      <c r="A400" s="5" t="s">
        <v>1049</v>
      </c>
      <c r="B400" s="7" t="s">
        <v>1050</v>
      </c>
      <c r="C400" s="7" t="s">
        <v>2918</v>
      </c>
      <c r="D400" s="7"/>
      <c r="E400" t="str">
        <f>_xlfn.XLOOKUP(Table2[[#This Row],[RARC CODE]],'New Rarc Code'!A400:A1317,'New Rarc Code'!C400:C1317,"Not Active")</f>
        <v>Not Active</v>
      </c>
    </row>
    <row r="401" spans="1:5" x14ac:dyDescent="0.25">
      <c r="A401" s="5" t="s">
        <v>1051</v>
      </c>
      <c r="B401" s="7" t="s">
        <v>1052</v>
      </c>
      <c r="C401" s="7" t="s">
        <v>2919</v>
      </c>
      <c r="D401" s="7"/>
      <c r="E401" t="str">
        <f>_xlfn.XLOOKUP(Table2[[#This Row],[RARC CODE]],'New Rarc Code'!A401:A1318,'New Rarc Code'!C401:C1318,"Not Active")</f>
        <v>Not Active</v>
      </c>
    </row>
    <row r="402" spans="1:5" x14ac:dyDescent="0.25">
      <c r="A402" s="5" t="s">
        <v>1053</v>
      </c>
      <c r="B402" s="7" t="s">
        <v>1054</v>
      </c>
      <c r="C402" s="7" t="s">
        <v>2920</v>
      </c>
      <c r="D402" s="7"/>
      <c r="E402" t="str">
        <f>_xlfn.XLOOKUP(Table2[[#This Row],[RARC CODE]],'New Rarc Code'!A402:A1319,'New Rarc Code'!C402:C1319,"Not Active")</f>
        <v>Not Active</v>
      </c>
    </row>
    <row r="403" spans="1:5" x14ac:dyDescent="0.25">
      <c r="A403" s="5" t="s">
        <v>1055</v>
      </c>
      <c r="B403" s="7" t="s">
        <v>1056</v>
      </c>
      <c r="C403" s="7" t="s">
        <v>2921</v>
      </c>
      <c r="D403" s="7"/>
      <c r="E403" t="str">
        <f>_xlfn.XLOOKUP(Table2[[#This Row],[RARC CODE]],'New Rarc Code'!A403:A1320,'New Rarc Code'!C403:C1320,"Not Active")</f>
        <v>Not Active</v>
      </c>
    </row>
    <row r="404" spans="1:5" x14ac:dyDescent="0.25">
      <c r="A404" s="5" t="s">
        <v>1057</v>
      </c>
      <c r="B404" s="7" t="s">
        <v>1058</v>
      </c>
      <c r="C404" s="7" t="s">
        <v>2922</v>
      </c>
      <c r="D404" s="7"/>
      <c r="E404" t="str">
        <f>_xlfn.XLOOKUP(Table2[[#This Row],[RARC CODE]],'New Rarc Code'!A404:A1321,'New Rarc Code'!C404:C1321,"Not Active")</f>
        <v>Not Active</v>
      </c>
    </row>
    <row r="405" spans="1:5" x14ac:dyDescent="0.25">
      <c r="A405" s="5" t="s">
        <v>1059</v>
      </c>
      <c r="B405" s="7" t="s">
        <v>1060</v>
      </c>
      <c r="C405" s="7" t="s">
        <v>2923</v>
      </c>
      <c r="D405" s="7"/>
      <c r="E405" t="str">
        <f>_xlfn.XLOOKUP(Table2[[#This Row],[RARC CODE]],'New Rarc Code'!A405:A1322,'New Rarc Code'!C405:C1322,"Not Active")</f>
        <v>Not Active</v>
      </c>
    </row>
    <row r="406" spans="1:5" x14ac:dyDescent="0.25">
      <c r="A406" s="5" t="s">
        <v>1061</v>
      </c>
      <c r="B406" s="7" t="s">
        <v>1062</v>
      </c>
      <c r="C406" s="7" t="s">
        <v>2924</v>
      </c>
      <c r="D406" s="7"/>
      <c r="E406" t="str">
        <f>_xlfn.XLOOKUP(Table2[[#This Row],[RARC CODE]],'New Rarc Code'!A406:A1323,'New Rarc Code'!C406:C1323,"Not Active")</f>
        <v>Not Active</v>
      </c>
    </row>
    <row r="407" spans="1:5" x14ac:dyDescent="0.25">
      <c r="A407" s="5" t="s">
        <v>1063</v>
      </c>
      <c r="B407" s="7" t="s">
        <v>1064</v>
      </c>
      <c r="C407" s="7" t="s">
        <v>2925</v>
      </c>
      <c r="D407" s="7"/>
      <c r="E407" t="str">
        <f>_xlfn.XLOOKUP(Table2[[#This Row],[RARC CODE]],'New Rarc Code'!A407:A1324,'New Rarc Code'!C407:C1324,"Not Active")</f>
        <v>Not Active</v>
      </c>
    </row>
    <row r="408" spans="1:5" x14ac:dyDescent="0.25">
      <c r="A408" s="5" t="s">
        <v>1065</v>
      </c>
      <c r="B408" s="7" t="s">
        <v>1066</v>
      </c>
      <c r="C408" s="7" t="s">
        <v>2926</v>
      </c>
      <c r="D408" s="7"/>
      <c r="E408" t="str">
        <f>_xlfn.XLOOKUP(Table2[[#This Row],[RARC CODE]],'New Rarc Code'!A408:A1325,'New Rarc Code'!C408:C1325,"Not Active")</f>
        <v>Not Active</v>
      </c>
    </row>
    <row r="409" spans="1:5" x14ac:dyDescent="0.25">
      <c r="A409" s="5" t="s">
        <v>651</v>
      </c>
      <c r="B409" s="7" t="s">
        <v>652</v>
      </c>
      <c r="C409" s="7" t="s">
        <v>2927</v>
      </c>
      <c r="D409" s="7"/>
      <c r="E409" t="str">
        <f>_xlfn.XLOOKUP(Table2[[#This Row],[RARC CODE]],'New Rarc Code'!A409:A1326,'New Rarc Code'!C409:C1326,"Not Active")</f>
        <v>Not Active</v>
      </c>
    </row>
    <row r="410" spans="1:5" x14ac:dyDescent="0.25">
      <c r="A410" s="5" t="s">
        <v>1067</v>
      </c>
      <c r="B410" s="7" t="s">
        <v>1068</v>
      </c>
      <c r="C410" s="7" t="s">
        <v>2928</v>
      </c>
      <c r="D410" s="7"/>
      <c r="E410" t="str">
        <f>_xlfn.XLOOKUP(Table2[[#This Row],[RARC CODE]],'New Rarc Code'!A410:A1327,'New Rarc Code'!C410:C1327,"Not Active")</f>
        <v>Not Active</v>
      </c>
    </row>
    <row r="411" spans="1:5" x14ac:dyDescent="0.25">
      <c r="A411" s="5" t="s">
        <v>1069</v>
      </c>
      <c r="B411" s="7" t="s">
        <v>1070</v>
      </c>
      <c r="C411" s="7" t="s">
        <v>2929</v>
      </c>
      <c r="D411" s="7"/>
      <c r="E411" t="str">
        <f>_xlfn.XLOOKUP(Table2[[#This Row],[RARC CODE]],'New Rarc Code'!A411:A1328,'New Rarc Code'!C411:C1328,"Not Active")</f>
        <v>Not Active</v>
      </c>
    </row>
    <row r="412" spans="1:5" x14ac:dyDescent="0.25">
      <c r="A412" s="5" t="s">
        <v>1071</v>
      </c>
      <c r="B412" s="7" t="s">
        <v>1072</v>
      </c>
      <c r="C412" s="7" t="s">
        <v>2930</v>
      </c>
      <c r="D412" s="7"/>
      <c r="E412" t="str">
        <f>_xlfn.XLOOKUP(Table2[[#This Row],[RARC CODE]],'New Rarc Code'!A412:A1329,'New Rarc Code'!C412:C1329,"Not Active")</f>
        <v>Not Active</v>
      </c>
    </row>
    <row r="413" spans="1:5" x14ac:dyDescent="0.25">
      <c r="A413" s="5" t="s">
        <v>1073</v>
      </c>
      <c r="B413" s="7" t="s">
        <v>1074</v>
      </c>
      <c r="C413" s="7" t="s">
        <v>2931</v>
      </c>
      <c r="D413" s="7"/>
      <c r="E413" t="str">
        <f>_xlfn.XLOOKUP(Table2[[#This Row],[RARC CODE]],'New Rarc Code'!A413:A1330,'New Rarc Code'!C413:C1330,"Not Active")</f>
        <v>Not Active</v>
      </c>
    </row>
    <row r="414" spans="1:5" x14ac:dyDescent="0.25">
      <c r="A414" s="5" t="s">
        <v>1075</v>
      </c>
      <c r="B414" s="7" t="s">
        <v>1076</v>
      </c>
      <c r="C414" s="7" t="s">
        <v>2932</v>
      </c>
      <c r="D414" s="7"/>
      <c r="E414" t="str">
        <f>_xlfn.XLOOKUP(Table2[[#This Row],[RARC CODE]],'New Rarc Code'!A414:A1331,'New Rarc Code'!C414:C1331,"Not Active")</f>
        <v>Not Active</v>
      </c>
    </row>
    <row r="415" spans="1:5" x14ac:dyDescent="0.25">
      <c r="A415" s="5" t="s">
        <v>1077</v>
      </c>
      <c r="B415" s="7" t="s">
        <v>1078</v>
      </c>
      <c r="C415" s="7" t="s">
        <v>2933</v>
      </c>
      <c r="D415" s="7"/>
      <c r="E415" t="str">
        <f>_xlfn.XLOOKUP(Table2[[#This Row],[RARC CODE]],'New Rarc Code'!A415:A1332,'New Rarc Code'!C415:C1332,"Not Active")</f>
        <v>Not Active</v>
      </c>
    </row>
    <row r="416" spans="1:5" x14ac:dyDescent="0.25">
      <c r="A416" s="5" t="s">
        <v>1079</v>
      </c>
      <c r="B416" s="7" t="s">
        <v>1080</v>
      </c>
      <c r="C416" s="7" t="s">
        <v>2934</v>
      </c>
      <c r="D416" s="7"/>
      <c r="E416" t="str">
        <f>_xlfn.XLOOKUP(Table2[[#This Row],[RARC CODE]],'New Rarc Code'!A416:A1333,'New Rarc Code'!C416:C1333,"Not Active")</f>
        <v>Not Active</v>
      </c>
    </row>
    <row r="417" spans="1:5" x14ac:dyDescent="0.25">
      <c r="A417" s="5" t="s">
        <v>1081</v>
      </c>
      <c r="B417" s="7" t="s">
        <v>1082</v>
      </c>
      <c r="C417" s="7" t="s">
        <v>2935</v>
      </c>
      <c r="D417" s="7"/>
      <c r="E417" t="str">
        <f>_xlfn.XLOOKUP(Table2[[#This Row],[RARC CODE]],'New Rarc Code'!A417:A1334,'New Rarc Code'!C417:C1334,"Not Active")</f>
        <v>Not Active</v>
      </c>
    </row>
    <row r="418" spans="1:5" x14ac:dyDescent="0.25">
      <c r="A418" s="5" t="s">
        <v>1083</v>
      </c>
      <c r="B418" s="7" t="s">
        <v>1084</v>
      </c>
      <c r="C418" s="7" t="s">
        <v>2936</v>
      </c>
      <c r="D418" s="7"/>
      <c r="E418" t="str">
        <f>_xlfn.XLOOKUP(Table2[[#This Row],[RARC CODE]],'New Rarc Code'!A418:A1335,'New Rarc Code'!C418:C1335,"Not Active")</f>
        <v>Not Active</v>
      </c>
    </row>
    <row r="419" spans="1:5" x14ac:dyDescent="0.25">
      <c r="A419" s="5" t="s">
        <v>1085</v>
      </c>
      <c r="B419" s="7" t="s">
        <v>1086</v>
      </c>
      <c r="C419" s="7" t="s">
        <v>2937</v>
      </c>
      <c r="D419" s="7"/>
      <c r="E419" t="str">
        <f>_xlfn.XLOOKUP(Table2[[#This Row],[RARC CODE]],'New Rarc Code'!A419:A1336,'New Rarc Code'!C419:C1336,"Not Active")</f>
        <v>Not Active</v>
      </c>
    </row>
    <row r="420" spans="1:5" x14ac:dyDescent="0.25">
      <c r="A420" s="5" t="s">
        <v>653</v>
      </c>
      <c r="B420" s="7" t="s">
        <v>654</v>
      </c>
      <c r="C420" s="7" t="s">
        <v>2938</v>
      </c>
      <c r="D420" s="7"/>
      <c r="E420" t="str">
        <f>_xlfn.XLOOKUP(Table2[[#This Row],[RARC CODE]],'New Rarc Code'!A420:A1337,'New Rarc Code'!C420:C1337,"Not Active")</f>
        <v>Not Active</v>
      </c>
    </row>
    <row r="421" spans="1:5" x14ac:dyDescent="0.25">
      <c r="A421" s="5" t="s">
        <v>1087</v>
      </c>
      <c r="B421" s="7" t="s">
        <v>1088</v>
      </c>
      <c r="C421" s="7" t="s">
        <v>2939</v>
      </c>
      <c r="D421" s="7"/>
      <c r="E421" t="str">
        <f>_xlfn.XLOOKUP(Table2[[#This Row],[RARC CODE]],'New Rarc Code'!A421:A1338,'New Rarc Code'!C421:C1338,"Not Active")</f>
        <v>Not Active</v>
      </c>
    </row>
    <row r="422" spans="1:5" x14ac:dyDescent="0.25">
      <c r="A422" s="5" t="s">
        <v>1089</v>
      </c>
      <c r="B422" s="7" t="s">
        <v>1090</v>
      </c>
      <c r="C422" s="7" t="s">
        <v>2940</v>
      </c>
      <c r="D422" s="7"/>
      <c r="E422" t="str">
        <f>_xlfn.XLOOKUP(Table2[[#This Row],[RARC CODE]],'New Rarc Code'!A422:A1339,'New Rarc Code'!C422:C1339,"Not Active")</f>
        <v>Not Active</v>
      </c>
    </row>
    <row r="423" spans="1:5" x14ac:dyDescent="0.25">
      <c r="A423" s="5" t="s">
        <v>1091</v>
      </c>
      <c r="B423" s="7" t="s">
        <v>1092</v>
      </c>
      <c r="C423" s="7" t="s">
        <v>2941</v>
      </c>
      <c r="D423" s="7"/>
      <c r="E423" t="str">
        <f>_xlfn.XLOOKUP(Table2[[#This Row],[RARC CODE]],'New Rarc Code'!A423:A1340,'New Rarc Code'!C423:C1340,"Not Active")</f>
        <v>Not Active</v>
      </c>
    </row>
    <row r="424" spans="1:5" x14ac:dyDescent="0.25">
      <c r="A424" s="5" t="s">
        <v>1093</v>
      </c>
      <c r="B424" s="7" t="s">
        <v>1094</v>
      </c>
      <c r="C424" s="7" t="s">
        <v>2942</v>
      </c>
      <c r="D424" s="7"/>
      <c r="E424" t="str">
        <f>_xlfn.XLOOKUP(Table2[[#This Row],[RARC CODE]],'New Rarc Code'!A424:A1341,'New Rarc Code'!C424:C1341,"Not Active")</f>
        <v>Not Active</v>
      </c>
    </row>
    <row r="425" spans="1:5" x14ac:dyDescent="0.25">
      <c r="A425" s="5" t="s">
        <v>1095</v>
      </c>
      <c r="B425" s="7" t="s">
        <v>1096</v>
      </c>
      <c r="C425" s="7" t="s">
        <v>2943</v>
      </c>
      <c r="D425" s="7"/>
      <c r="E425" t="str">
        <f>_xlfn.XLOOKUP(Table2[[#This Row],[RARC CODE]],'New Rarc Code'!A425:A1342,'New Rarc Code'!C425:C1342,"Not Active")</f>
        <v>Not Active</v>
      </c>
    </row>
    <row r="426" spans="1:5" x14ac:dyDescent="0.25">
      <c r="A426" s="5" t="s">
        <v>1097</v>
      </c>
      <c r="B426" s="7" t="s">
        <v>1098</v>
      </c>
      <c r="C426" s="7" t="s">
        <v>2944</v>
      </c>
      <c r="D426" s="7"/>
      <c r="E426" t="str">
        <f>_xlfn.XLOOKUP(Table2[[#This Row],[RARC CODE]],'New Rarc Code'!A426:A1343,'New Rarc Code'!C426:C1343,"Not Active")</f>
        <v>Not Active</v>
      </c>
    </row>
    <row r="427" spans="1:5" x14ac:dyDescent="0.25">
      <c r="A427" s="5" t="s">
        <v>1099</v>
      </c>
      <c r="B427" s="7" t="s">
        <v>1100</v>
      </c>
      <c r="C427" s="7" t="s">
        <v>2945</v>
      </c>
      <c r="D427" s="7"/>
      <c r="E427" t="str">
        <f>_xlfn.XLOOKUP(Table2[[#This Row],[RARC CODE]],'New Rarc Code'!A427:A1344,'New Rarc Code'!C427:C1344,"Not Active")</f>
        <v>Not Active</v>
      </c>
    </row>
    <row r="428" spans="1:5" x14ac:dyDescent="0.25">
      <c r="A428" s="5" t="s">
        <v>1101</v>
      </c>
      <c r="B428" s="7" t="s">
        <v>1102</v>
      </c>
      <c r="C428" s="7" t="s">
        <v>2946</v>
      </c>
      <c r="D428" s="7"/>
      <c r="E428" t="str">
        <f>_xlfn.XLOOKUP(Table2[[#This Row],[RARC CODE]],'New Rarc Code'!A428:A1345,'New Rarc Code'!C428:C1345,"Not Active")</f>
        <v>Not Active</v>
      </c>
    </row>
    <row r="429" spans="1:5" x14ac:dyDescent="0.25">
      <c r="A429" s="5" t="s">
        <v>1103</v>
      </c>
      <c r="B429" s="7" t="s">
        <v>1104</v>
      </c>
      <c r="C429" s="7" t="s">
        <v>2947</v>
      </c>
      <c r="D429" s="7"/>
      <c r="E429" t="str">
        <f>_xlfn.XLOOKUP(Table2[[#This Row],[RARC CODE]],'New Rarc Code'!A429:A1346,'New Rarc Code'!C429:C1346,"Not Active")</f>
        <v>Not Active</v>
      </c>
    </row>
    <row r="430" spans="1:5" x14ac:dyDescent="0.25">
      <c r="A430" s="5" t="s">
        <v>1105</v>
      </c>
      <c r="B430" s="7" t="s">
        <v>1106</v>
      </c>
      <c r="C430" s="7" t="s">
        <v>2948</v>
      </c>
      <c r="D430" s="7"/>
      <c r="E430" t="str">
        <f>_xlfn.XLOOKUP(Table2[[#This Row],[RARC CODE]],'New Rarc Code'!A430:A1347,'New Rarc Code'!C430:C1347,"Not Active")</f>
        <v>Not Active</v>
      </c>
    </row>
    <row r="431" spans="1:5" x14ac:dyDescent="0.25">
      <c r="A431" s="5" t="s">
        <v>1107</v>
      </c>
      <c r="B431" s="7" t="s">
        <v>1108</v>
      </c>
      <c r="C431" s="7" t="s">
        <v>2949</v>
      </c>
      <c r="D431" s="7"/>
      <c r="E431" t="str">
        <f>_xlfn.XLOOKUP(Table2[[#This Row],[RARC CODE]],'New Rarc Code'!A431:A1348,'New Rarc Code'!C431:C1348,"Not Active")</f>
        <v>Not Active</v>
      </c>
    </row>
    <row r="432" spans="1:5" x14ac:dyDescent="0.25">
      <c r="A432" s="5" t="s">
        <v>1109</v>
      </c>
      <c r="B432" s="7" t="s">
        <v>1110</v>
      </c>
      <c r="C432" s="7" t="s">
        <v>2950</v>
      </c>
      <c r="D432" s="7"/>
      <c r="E432" t="str">
        <f>_xlfn.XLOOKUP(Table2[[#This Row],[RARC CODE]],'New Rarc Code'!A432:A1349,'New Rarc Code'!C432:C1349,"Not Active")</f>
        <v>Not Active</v>
      </c>
    </row>
    <row r="433" spans="1:5" x14ac:dyDescent="0.25">
      <c r="A433" s="5" t="s">
        <v>1111</v>
      </c>
      <c r="B433" s="7" t="s">
        <v>1112</v>
      </c>
      <c r="C433" s="7" t="s">
        <v>2951</v>
      </c>
      <c r="D433" s="7"/>
      <c r="E433" t="str">
        <f>_xlfn.XLOOKUP(Table2[[#This Row],[RARC CODE]],'New Rarc Code'!A433:A1350,'New Rarc Code'!C433:C1350,"Not Active")</f>
        <v>Not Active</v>
      </c>
    </row>
    <row r="434" spans="1:5" x14ac:dyDescent="0.25">
      <c r="A434" s="5" t="s">
        <v>1113</v>
      </c>
      <c r="B434" s="7" t="s">
        <v>1114</v>
      </c>
      <c r="C434" s="7" t="s">
        <v>2952</v>
      </c>
      <c r="D434" s="7"/>
      <c r="E434" t="str">
        <f>_xlfn.XLOOKUP(Table2[[#This Row],[RARC CODE]],'New Rarc Code'!A434:A1351,'New Rarc Code'!C434:C1351,"Not Active")</f>
        <v>Not Active</v>
      </c>
    </row>
    <row r="435" spans="1:5" x14ac:dyDescent="0.25">
      <c r="A435" s="5" t="s">
        <v>1115</v>
      </c>
      <c r="B435" s="7" t="s">
        <v>1116</v>
      </c>
      <c r="C435" s="7" t="s">
        <v>2953</v>
      </c>
      <c r="D435" s="7"/>
      <c r="E435" t="str">
        <f>_xlfn.XLOOKUP(Table2[[#This Row],[RARC CODE]],'New Rarc Code'!A435:A1352,'New Rarc Code'!C435:C1352,"Not Active")</f>
        <v>Not Active</v>
      </c>
    </row>
    <row r="436" spans="1:5" x14ac:dyDescent="0.25">
      <c r="A436" s="5" t="s">
        <v>1117</v>
      </c>
      <c r="B436" s="7" t="s">
        <v>1118</v>
      </c>
      <c r="C436" s="7" t="s">
        <v>2954</v>
      </c>
      <c r="D436" s="7"/>
      <c r="E436" t="str">
        <f>_xlfn.XLOOKUP(Table2[[#This Row],[RARC CODE]],'New Rarc Code'!A436:A1353,'New Rarc Code'!C436:C1353,"Not Active")</f>
        <v>Not Active</v>
      </c>
    </row>
    <row r="437" spans="1:5" x14ac:dyDescent="0.25">
      <c r="A437" s="5" t="s">
        <v>1119</v>
      </c>
      <c r="B437" s="7" t="s">
        <v>1120</v>
      </c>
      <c r="C437" s="7" t="s">
        <v>2955</v>
      </c>
      <c r="D437" s="7"/>
      <c r="E437" t="str">
        <f>_xlfn.XLOOKUP(Table2[[#This Row],[RARC CODE]],'New Rarc Code'!A437:A1354,'New Rarc Code'!C437:C1354,"Not Active")</f>
        <v>Not Active</v>
      </c>
    </row>
    <row r="438" spans="1:5" x14ac:dyDescent="0.25">
      <c r="A438" s="5" t="s">
        <v>1121</v>
      </c>
      <c r="B438" s="7" t="s">
        <v>1122</v>
      </c>
      <c r="C438" s="7" t="s">
        <v>2956</v>
      </c>
      <c r="D438" s="7"/>
      <c r="E438" t="str">
        <f>_xlfn.XLOOKUP(Table2[[#This Row],[RARC CODE]],'New Rarc Code'!A438:A1355,'New Rarc Code'!C438:C1355,"Not Active")</f>
        <v>Not Active</v>
      </c>
    </row>
    <row r="439" spans="1:5" x14ac:dyDescent="0.25">
      <c r="A439" s="5" t="s">
        <v>1123</v>
      </c>
      <c r="B439" s="7" t="s">
        <v>1124</v>
      </c>
      <c r="C439" s="7" t="s">
        <v>2957</v>
      </c>
      <c r="D439" s="7"/>
      <c r="E439" t="str">
        <f>_xlfn.XLOOKUP(Table2[[#This Row],[RARC CODE]],'New Rarc Code'!A439:A1356,'New Rarc Code'!C439:C1356,"Not Active")</f>
        <v>Not Active</v>
      </c>
    </row>
    <row r="440" spans="1:5" x14ac:dyDescent="0.25">
      <c r="A440" s="5" t="s">
        <v>1125</v>
      </c>
      <c r="B440" s="7" t="s">
        <v>1126</v>
      </c>
      <c r="C440" s="7" t="s">
        <v>2958</v>
      </c>
      <c r="D440" s="7"/>
      <c r="E440" t="str">
        <f>_xlfn.XLOOKUP(Table2[[#This Row],[RARC CODE]],'New Rarc Code'!A440:A1357,'New Rarc Code'!C440:C1357,"Not Active")</f>
        <v>Not Active</v>
      </c>
    </row>
    <row r="441" spans="1:5" x14ac:dyDescent="0.25">
      <c r="A441" s="5" t="s">
        <v>613</v>
      </c>
      <c r="B441" s="7" t="s">
        <v>614</v>
      </c>
      <c r="C441" s="7" t="s">
        <v>2959</v>
      </c>
      <c r="D441" s="7"/>
      <c r="E441" t="str">
        <f>_xlfn.XLOOKUP(Table2[[#This Row],[RARC CODE]],'New Rarc Code'!A441:A1358,'New Rarc Code'!C441:C1358,"Not Active")</f>
        <v>Not Active</v>
      </c>
    </row>
    <row r="442" spans="1:5" x14ac:dyDescent="0.25">
      <c r="A442" s="5" t="s">
        <v>655</v>
      </c>
      <c r="B442" s="7" t="s">
        <v>656</v>
      </c>
      <c r="C442" s="7" t="s">
        <v>2960</v>
      </c>
      <c r="D442" s="7"/>
      <c r="E442" t="str">
        <f>_xlfn.XLOOKUP(Table2[[#This Row],[RARC CODE]],'New Rarc Code'!A442:A1359,'New Rarc Code'!C442:C1359,"Not Active")</f>
        <v>Not Active</v>
      </c>
    </row>
    <row r="443" spans="1:5" x14ac:dyDescent="0.25">
      <c r="A443" s="5" t="s">
        <v>1127</v>
      </c>
      <c r="B443" s="7" t="s">
        <v>1128</v>
      </c>
      <c r="C443" s="7" t="s">
        <v>2961</v>
      </c>
      <c r="D443" s="7"/>
      <c r="E443" t="str">
        <f>_xlfn.XLOOKUP(Table2[[#This Row],[RARC CODE]],'New Rarc Code'!A443:A1360,'New Rarc Code'!C443:C1360,"Not Active")</f>
        <v>Not Active</v>
      </c>
    </row>
    <row r="444" spans="1:5" x14ac:dyDescent="0.25">
      <c r="A444" s="5" t="s">
        <v>1129</v>
      </c>
      <c r="B444" s="7" t="s">
        <v>1130</v>
      </c>
      <c r="C444" s="7" t="s">
        <v>2962</v>
      </c>
      <c r="D444" s="7"/>
      <c r="E444" t="str">
        <f>_xlfn.XLOOKUP(Table2[[#This Row],[RARC CODE]],'New Rarc Code'!A444:A1361,'New Rarc Code'!C444:C1361,"Not Active")</f>
        <v>Not Active</v>
      </c>
    </row>
    <row r="445" spans="1:5" x14ac:dyDescent="0.25">
      <c r="A445" s="5" t="s">
        <v>1131</v>
      </c>
      <c r="B445" s="7" t="s">
        <v>1132</v>
      </c>
      <c r="C445" s="7" t="s">
        <v>2963</v>
      </c>
      <c r="D445" s="7"/>
      <c r="E445" t="str">
        <f>_xlfn.XLOOKUP(Table2[[#This Row],[RARC CODE]],'New Rarc Code'!A445:A1362,'New Rarc Code'!C445:C1362,"Not Active")</f>
        <v>Not Active</v>
      </c>
    </row>
    <row r="446" spans="1:5" x14ac:dyDescent="0.25">
      <c r="A446" s="5" t="s">
        <v>1133</v>
      </c>
      <c r="B446" s="7" t="s">
        <v>1134</v>
      </c>
      <c r="C446" s="7" t="s">
        <v>2964</v>
      </c>
      <c r="D446" s="7"/>
      <c r="E446" t="str">
        <f>_xlfn.XLOOKUP(Table2[[#This Row],[RARC CODE]],'New Rarc Code'!A446:A1363,'New Rarc Code'!C446:C1363,"Not Active")</f>
        <v>Not Active</v>
      </c>
    </row>
    <row r="447" spans="1:5" x14ac:dyDescent="0.25">
      <c r="A447" s="5" t="s">
        <v>1135</v>
      </c>
      <c r="B447" s="7" t="s">
        <v>1136</v>
      </c>
      <c r="C447" s="7" t="s">
        <v>2965</v>
      </c>
      <c r="D447" s="7"/>
      <c r="E447" t="str">
        <f>_xlfn.XLOOKUP(Table2[[#This Row],[RARC CODE]],'New Rarc Code'!A447:A1364,'New Rarc Code'!C447:C1364,"Not Active")</f>
        <v>Not Active</v>
      </c>
    </row>
    <row r="448" spans="1:5" x14ac:dyDescent="0.25">
      <c r="A448" s="5" t="s">
        <v>1137</v>
      </c>
      <c r="B448" s="7" t="s">
        <v>1138</v>
      </c>
      <c r="C448" s="7" t="s">
        <v>2966</v>
      </c>
      <c r="D448" s="7"/>
      <c r="E448" t="str">
        <f>_xlfn.XLOOKUP(Table2[[#This Row],[RARC CODE]],'New Rarc Code'!A448:A1365,'New Rarc Code'!C448:C1365,"Not Active")</f>
        <v>Not Active</v>
      </c>
    </row>
    <row r="449" spans="1:5" x14ac:dyDescent="0.25">
      <c r="A449" s="5" t="s">
        <v>1139</v>
      </c>
      <c r="B449" s="7" t="s">
        <v>1140</v>
      </c>
      <c r="C449" s="7" t="s">
        <v>2967</v>
      </c>
      <c r="D449" s="7"/>
      <c r="E449" t="str">
        <f>_xlfn.XLOOKUP(Table2[[#This Row],[RARC CODE]],'New Rarc Code'!A449:A1366,'New Rarc Code'!C449:C1366,"Not Active")</f>
        <v>Not Active</v>
      </c>
    </row>
    <row r="450" spans="1:5" x14ac:dyDescent="0.25">
      <c r="A450" s="5" t="s">
        <v>1141</v>
      </c>
      <c r="B450" s="7" t="s">
        <v>1142</v>
      </c>
      <c r="C450" s="7" t="s">
        <v>2968</v>
      </c>
      <c r="D450" s="7"/>
      <c r="E450" t="str">
        <f>_xlfn.XLOOKUP(Table2[[#This Row],[RARC CODE]],'New Rarc Code'!A450:A1367,'New Rarc Code'!C450:C1367,"Not Active")</f>
        <v>Not Active</v>
      </c>
    </row>
    <row r="451" spans="1:5" x14ac:dyDescent="0.25">
      <c r="A451" s="5" t="s">
        <v>1143</v>
      </c>
      <c r="B451" s="7" t="s">
        <v>1144</v>
      </c>
      <c r="C451" s="7" t="s">
        <v>2969</v>
      </c>
      <c r="D451" s="7"/>
      <c r="E451" t="str">
        <f>_xlfn.XLOOKUP(Table2[[#This Row],[RARC CODE]],'New Rarc Code'!A451:A1368,'New Rarc Code'!C451:C1368,"Not Active")</f>
        <v>Not Active</v>
      </c>
    </row>
    <row r="452" spans="1:5" x14ac:dyDescent="0.25">
      <c r="A452" s="5" t="s">
        <v>1145</v>
      </c>
      <c r="B452" s="7" t="s">
        <v>1146</v>
      </c>
      <c r="C452" s="7" t="s">
        <v>2970</v>
      </c>
      <c r="D452" s="7"/>
      <c r="E452" t="str">
        <f>_xlfn.XLOOKUP(Table2[[#This Row],[RARC CODE]],'New Rarc Code'!A452:A1369,'New Rarc Code'!C452:C1369,"Not Active")</f>
        <v>Not Active</v>
      </c>
    </row>
    <row r="453" spans="1:5" x14ac:dyDescent="0.25">
      <c r="A453" s="5" t="s">
        <v>657</v>
      </c>
      <c r="B453" s="7" t="s">
        <v>658</v>
      </c>
      <c r="C453" s="7" t="s">
        <v>2971</v>
      </c>
      <c r="D453" s="7"/>
      <c r="E453" t="str">
        <f>_xlfn.XLOOKUP(Table2[[#This Row],[RARC CODE]],'New Rarc Code'!A453:A1370,'New Rarc Code'!C453:C1370,"Not Active")</f>
        <v>Not Active</v>
      </c>
    </row>
    <row r="454" spans="1:5" x14ac:dyDescent="0.25">
      <c r="A454" s="5" t="s">
        <v>1147</v>
      </c>
      <c r="B454" s="7" t="s">
        <v>1148</v>
      </c>
      <c r="C454" s="7" t="s">
        <v>2972</v>
      </c>
      <c r="D454" s="7"/>
      <c r="E454" t="str">
        <f>_xlfn.XLOOKUP(Table2[[#This Row],[RARC CODE]],'New Rarc Code'!A454:A1371,'New Rarc Code'!C454:C1371,"Not Active")</f>
        <v>Not Active</v>
      </c>
    </row>
    <row r="455" spans="1:5" x14ac:dyDescent="0.25">
      <c r="A455" s="5" t="s">
        <v>1149</v>
      </c>
      <c r="B455" s="7" t="s">
        <v>1150</v>
      </c>
      <c r="C455" s="7" t="s">
        <v>2973</v>
      </c>
      <c r="D455" s="7" t="s">
        <v>3694</v>
      </c>
      <c r="E455" t="str">
        <f>_xlfn.XLOOKUP(Table2[[#This Row],[RARC CODE]],'New Rarc Code'!A455:A1372,'New Rarc Code'!C455:C1372,"Not Active")</f>
        <v>Not Active</v>
      </c>
    </row>
    <row r="456" spans="1:5" x14ac:dyDescent="0.25">
      <c r="A456" s="5" t="s">
        <v>1151</v>
      </c>
      <c r="B456" s="7" t="s">
        <v>1152</v>
      </c>
      <c r="C456" s="7" t="s">
        <v>2974</v>
      </c>
      <c r="D456" s="7"/>
      <c r="E456" t="str">
        <f>_xlfn.XLOOKUP(Table2[[#This Row],[RARC CODE]],'New Rarc Code'!A456:A1373,'New Rarc Code'!C456:C1373,"Not Active")</f>
        <v>Not Active</v>
      </c>
    </row>
    <row r="457" spans="1:5" x14ac:dyDescent="0.25">
      <c r="A457" s="5" t="s">
        <v>1153</v>
      </c>
      <c r="B457" s="7" t="s">
        <v>1154</v>
      </c>
      <c r="C457" s="7" t="s">
        <v>2975</v>
      </c>
      <c r="D457" s="7"/>
      <c r="E457" t="str">
        <f>_xlfn.XLOOKUP(Table2[[#This Row],[RARC CODE]],'New Rarc Code'!A457:A1374,'New Rarc Code'!C457:C1374,"Not Active")</f>
        <v>Not Active</v>
      </c>
    </row>
    <row r="458" spans="1:5" x14ac:dyDescent="0.25">
      <c r="A458" s="5" t="s">
        <v>1155</v>
      </c>
      <c r="B458" s="7" t="s">
        <v>1156</v>
      </c>
      <c r="C458" s="7" t="s">
        <v>2976</v>
      </c>
      <c r="D458" s="7" t="s">
        <v>3694</v>
      </c>
      <c r="E458" t="str">
        <f>_xlfn.XLOOKUP(Table2[[#This Row],[RARC CODE]],'New Rarc Code'!A458:A1375,'New Rarc Code'!C458:C1375,"Not Active")</f>
        <v>Not Active</v>
      </c>
    </row>
    <row r="459" spans="1:5" x14ac:dyDescent="0.25">
      <c r="A459" s="5" t="s">
        <v>1157</v>
      </c>
      <c r="B459" s="7" t="s">
        <v>1158</v>
      </c>
      <c r="C459" s="7" t="s">
        <v>2977</v>
      </c>
      <c r="D459" s="7"/>
      <c r="E459" t="str">
        <f>_xlfn.XLOOKUP(Table2[[#This Row],[RARC CODE]],'New Rarc Code'!A459:A1376,'New Rarc Code'!C459:C1376,"Not Active")</f>
        <v>Not Active</v>
      </c>
    </row>
    <row r="460" spans="1:5" x14ac:dyDescent="0.25">
      <c r="A460" s="5" t="s">
        <v>1159</v>
      </c>
      <c r="B460" s="7" t="s">
        <v>1160</v>
      </c>
      <c r="C460" s="7" t="s">
        <v>2978</v>
      </c>
      <c r="D460" s="7"/>
      <c r="E460" t="str">
        <f>_xlfn.XLOOKUP(Table2[[#This Row],[RARC CODE]],'New Rarc Code'!A460:A1377,'New Rarc Code'!C460:C1377,"Not Active")</f>
        <v>Not Active</v>
      </c>
    </row>
    <row r="461" spans="1:5" x14ac:dyDescent="0.25">
      <c r="A461" s="5" t="s">
        <v>1161</v>
      </c>
      <c r="B461" s="7" t="s">
        <v>1162</v>
      </c>
      <c r="C461" s="7" t="s">
        <v>2979</v>
      </c>
      <c r="D461" s="7"/>
      <c r="E461" t="str">
        <f>_xlfn.XLOOKUP(Table2[[#This Row],[RARC CODE]],'New Rarc Code'!A461:A1378,'New Rarc Code'!C461:C1378,"Not Active")</f>
        <v>Not Active</v>
      </c>
    </row>
    <row r="462" spans="1:5" x14ac:dyDescent="0.25">
      <c r="A462" s="5" t="s">
        <v>1163</v>
      </c>
      <c r="B462" s="7" t="s">
        <v>1164</v>
      </c>
      <c r="C462" s="7" t="s">
        <v>2980</v>
      </c>
      <c r="D462" s="7"/>
      <c r="E462" t="str">
        <f>_xlfn.XLOOKUP(Table2[[#This Row],[RARC CODE]],'New Rarc Code'!A462:A1379,'New Rarc Code'!C462:C1379,"Not Active")</f>
        <v>Not Active</v>
      </c>
    </row>
    <row r="463" spans="1:5" x14ac:dyDescent="0.25">
      <c r="A463" s="5" t="s">
        <v>1165</v>
      </c>
      <c r="B463" s="7" t="s">
        <v>1166</v>
      </c>
      <c r="C463" s="7" t="s">
        <v>2981</v>
      </c>
      <c r="D463" s="7"/>
      <c r="E463" t="str">
        <f>_xlfn.XLOOKUP(Table2[[#This Row],[RARC CODE]],'New Rarc Code'!A463:A1380,'New Rarc Code'!C463:C1380,"Not Active")</f>
        <v>Not Active</v>
      </c>
    </row>
    <row r="464" spans="1:5" x14ac:dyDescent="0.25">
      <c r="A464" s="5" t="s">
        <v>659</v>
      </c>
      <c r="B464" s="7" t="s">
        <v>660</v>
      </c>
      <c r="C464" s="7" t="s">
        <v>2982</v>
      </c>
      <c r="D464" s="7"/>
      <c r="E464" t="str">
        <f>_xlfn.XLOOKUP(Table2[[#This Row],[RARC CODE]],'New Rarc Code'!A464:A1381,'New Rarc Code'!C464:C1381,"Not Active")</f>
        <v>Not Active</v>
      </c>
    </row>
    <row r="465" spans="1:5" x14ac:dyDescent="0.25">
      <c r="A465" s="5" t="s">
        <v>1167</v>
      </c>
      <c r="B465" s="7" t="s">
        <v>1168</v>
      </c>
      <c r="C465" s="7" t="s">
        <v>2983</v>
      </c>
      <c r="D465" s="7"/>
      <c r="E465" t="str">
        <f>_xlfn.XLOOKUP(Table2[[#This Row],[RARC CODE]],'New Rarc Code'!A465:A1382,'New Rarc Code'!C465:C1382,"Not Active")</f>
        <v>Not Active</v>
      </c>
    </row>
    <row r="466" spans="1:5" x14ac:dyDescent="0.25">
      <c r="A466" s="5" t="s">
        <v>1169</v>
      </c>
      <c r="B466" s="7" t="s">
        <v>1170</v>
      </c>
      <c r="C466" s="7" t="s">
        <v>2984</v>
      </c>
      <c r="D466" s="7"/>
      <c r="E466" t="str">
        <f>_xlfn.XLOOKUP(Table2[[#This Row],[RARC CODE]],'New Rarc Code'!A466:A1383,'New Rarc Code'!C466:C1383,"Not Active")</f>
        <v>Not Active</v>
      </c>
    </row>
    <row r="467" spans="1:5" x14ac:dyDescent="0.25">
      <c r="A467" s="5" t="s">
        <v>1171</v>
      </c>
      <c r="B467" s="7" t="s">
        <v>1172</v>
      </c>
      <c r="C467" s="7" t="s">
        <v>2985</v>
      </c>
      <c r="D467" s="7"/>
      <c r="E467" t="str">
        <f>_xlfn.XLOOKUP(Table2[[#This Row],[RARC CODE]],'New Rarc Code'!A467:A1384,'New Rarc Code'!C467:C1384,"Not Active")</f>
        <v>Not Active</v>
      </c>
    </row>
    <row r="468" spans="1:5" x14ac:dyDescent="0.25">
      <c r="A468" s="5" t="s">
        <v>1173</v>
      </c>
      <c r="B468" s="7" t="s">
        <v>1174</v>
      </c>
      <c r="C468" s="7" t="s">
        <v>2986</v>
      </c>
      <c r="D468" s="7"/>
      <c r="E468" t="str">
        <f>_xlfn.XLOOKUP(Table2[[#This Row],[RARC CODE]],'New Rarc Code'!A468:A1385,'New Rarc Code'!C468:C1385,"Not Active")</f>
        <v>Not Active</v>
      </c>
    </row>
    <row r="469" spans="1:5" x14ac:dyDescent="0.25">
      <c r="A469" s="5" t="s">
        <v>1175</v>
      </c>
      <c r="B469" s="7" t="s">
        <v>1176</v>
      </c>
      <c r="C469" s="7" t="s">
        <v>2987</v>
      </c>
      <c r="D469" s="7"/>
      <c r="E469" t="str">
        <f>_xlfn.XLOOKUP(Table2[[#This Row],[RARC CODE]],'New Rarc Code'!A469:A1386,'New Rarc Code'!C469:C1386,"Not Active")</f>
        <v>Not Active</v>
      </c>
    </row>
    <row r="470" spans="1:5" x14ac:dyDescent="0.25">
      <c r="A470" s="5" t="s">
        <v>1177</v>
      </c>
      <c r="B470" s="7" t="s">
        <v>1178</v>
      </c>
      <c r="C470" s="7" t="s">
        <v>2988</v>
      </c>
      <c r="D470" s="7"/>
      <c r="E470" t="str">
        <f>_xlfn.XLOOKUP(Table2[[#This Row],[RARC CODE]],'New Rarc Code'!A470:A1387,'New Rarc Code'!C470:C1387,"Not Active")</f>
        <v>Not Active</v>
      </c>
    </row>
    <row r="471" spans="1:5" x14ac:dyDescent="0.25">
      <c r="A471" s="5" t="s">
        <v>1179</v>
      </c>
      <c r="B471" s="7" t="s">
        <v>1180</v>
      </c>
      <c r="C471" s="7" t="s">
        <v>2989</v>
      </c>
      <c r="D471" s="7"/>
      <c r="E471" t="str">
        <f>_xlfn.XLOOKUP(Table2[[#This Row],[RARC CODE]],'New Rarc Code'!A471:A1388,'New Rarc Code'!C471:C1388,"Not Active")</f>
        <v>Not Active</v>
      </c>
    </row>
    <row r="472" spans="1:5" x14ac:dyDescent="0.25">
      <c r="A472" s="5" t="s">
        <v>1181</v>
      </c>
      <c r="B472" s="7" t="s">
        <v>1182</v>
      </c>
      <c r="C472" s="7" t="s">
        <v>2990</v>
      </c>
      <c r="D472" s="7"/>
      <c r="E472" t="str">
        <f>_xlfn.XLOOKUP(Table2[[#This Row],[RARC CODE]],'New Rarc Code'!A472:A1389,'New Rarc Code'!C472:C1389,"Not Active")</f>
        <v>Not Active</v>
      </c>
    </row>
    <row r="473" spans="1:5" x14ac:dyDescent="0.25">
      <c r="A473" s="5" t="s">
        <v>1183</v>
      </c>
      <c r="B473" s="7" t="s">
        <v>1184</v>
      </c>
      <c r="C473" s="7" t="s">
        <v>2991</v>
      </c>
      <c r="D473" s="7"/>
      <c r="E473" t="str">
        <f>_xlfn.XLOOKUP(Table2[[#This Row],[RARC CODE]],'New Rarc Code'!A473:A1390,'New Rarc Code'!C473:C1390,"Not Active")</f>
        <v>Not Active</v>
      </c>
    </row>
    <row r="474" spans="1:5" x14ac:dyDescent="0.25">
      <c r="A474" s="5" t="s">
        <v>1185</v>
      </c>
      <c r="B474" s="7" t="s">
        <v>1186</v>
      </c>
      <c r="C474" s="7" t="s">
        <v>2992</v>
      </c>
      <c r="D474" s="7"/>
      <c r="E474" t="str">
        <f>_xlfn.XLOOKUP(Table2[[#This Row],[RARC CODE]],'New Rarc Code'!A474:A1391,'New Rarc Code'!C474:C1391,"Not Active")</f>
        <v>Not Active</v>
      </c>
    </row>
    <row r="475" spans="1:5" x14ac:dyDescent="0.25">
      <c r="A475" s="5" t="s">
        <v>661</v>
      </c>
      <c r="B475" s="7" t="s">
        <v>662</v>
      </c>
      <c r="C475" s="7" t="s">
        <v>2993</v>
      </c>
      <c r="D475" s="7"/>
      <c r="E475" t="str">
        <f>_xlfn.XLOOKUP(Table2[[#This Row],[RARC CODE]],'New Rarc Code'!A475:A1392,'New Rarc Code'!C475:C1392,"Not Active")</f>
        <v>Not Active</v>
      </c>
    </row>
    <row r="476" spans="1:5" x14ac:dyDescent="0.25">
      <c r="A476" s="5" t="s">
        <v>1187</v>
      </c>
      <c r="B476" s="7" t="s">
        <v>1188</v>
      </c>
      <c r="C476" s="7" t="s">
        <v>2994</v>
      </c>
      <c r="D476" s="7"/>
      <c r="E476" t="str">
        <f>_xlfn.XLOOKUP(Table2[[#This Row],[RARC CODE]],'New Rarc Code'!A476:A1393,'New Rarc Code'!C476:C1393,"Not Active")</f>
        <v>Not Active</v>
      </c>
    </row>
    <row r="477" spans="1:5" x14ac:dyDescent="0.25">
      <c r="A477" s="5" t="s">
        <v>1189</v>
      </c>
      <c r="B477" s="7" t="s">
        <v>1190</v>
      </c>
      <c r="C477" s="7" t="s">
        <v>2995</v>
      </c>
      <c r="D477" s="7"/>
      <c r="E477" t="str">
        <f>_xlfn.XLOOKUP(Table2[[#This Row],[RARC CODE]],'New Rarc Code'!A477:A1394,'New Rarc Code'!C477:C1394,"Not Active")</f>
        <v>Not Active</v>
      </c>
    </row>
    <row r="478" spans="1:5" x14ac:dyDescent="0.25">
      <c r="A478" s="5" t="s">
        <v>1191</v>
      </c>
      <c r="B478" s="7" t="s">
        <v>1192</v>
      </c>
      <c r="C478" s="7" t="s">
        <v>2996</v>
      </c>
      <c r="D478" s="7"/>
      <c r="E478" t="str">
        <f>_xlfn.XLOOKUP(Table2[[#This Row],[RARC CODE]],'New Rarc Code'!A478:A1395,'New Rarc Code'!C478:C1395,"Not Active")</f>
        <v>Not Active</v>
      </c>
    </row>
    <row r="479" spans="1:5" x14ac:dyDescent="0.25">
      <c r="A479" s="5" t="s">
        <v>1193</v>
      </c>
      <c r="B479" s="7" t="s">
        <v>1194</v>
      </c>
      <c r="C479" s="7" t="s">
        <v>2997</v>
      </c>
      <c r="D479" s="7"/>
      <c r="E479" t="str">
        <f>_xlfn.XLOOKUP(Table2[[#This Row],[RARC CODE]],'New Rarc Code'!A479:A1396,'New Rarc Code'!C479:C1396,"Not Active")</f>
        <v>Not Active</v>
      </c>
    </row>
    <row r="480" spans="1:5" x14ac:dyDescent="0.25">
      <c r="A480" s="5" t="s">
        <v>1195</v>
      </c>
      <c r="B480" s="7" t="s">
        <v>1196</v>
      </c>
      <c r="C480" s="7" t="s">
        <v>2998</v>
      </c>
      <c r="D480" s="7"/>
      <c r="E480" t="str">
        <f>_xlfn.XLOOKUP(Table2[[#This Row],[RARC CODE]],'New Rarc Code'!A480:A1397,'New Rarc Code'!C480:C1397,"Not Active")</f>
        <v>Not Active</v>
      </c>
    </row>
    <row r="481" spans="1:5" x14ac:dyDescent="0.25">
      <c r="A481" s="5" t="s">
        <v>1197</v>
      </c>
      <c r="B481" s="7" t="s">
        <v>1198</v>
      </c>
      <c r="C481" s="7" t="s">
        <v>2999</v>
      </c>
      <c r="D481" s="7"/>
      <c r="E481" t="str">
        <f>_xlfn.XLOOKUP(Table2[[#This Row],[RARC CODE]],'New Rarc Code'!A481:A1398,'New Rarc Code'!C481:C1398,"Not Active")</f>
        <v>Not Active</v>
      </c>
    </row>
    <row r="482" spans="1:5" x14ac:dyDescent="0.25">
      <c r="A482" s="5" t="s">
        <v>1199</v>
      </c>
      <c r="B482" s="7" t="s">
        <v>1200</v>
      </c>
      <c r="C482" s="7" t="s">
        <v>3000</v>
      </c>
      <c r="D482" s="7"/>
      <c r="E482" t="str">
        <f>_xlfn.XLOOKUP(Table2[[#This Row],[RARC CODE]],'New Rarc Code'!A482:A1399,'New Rarc Code'!C482:C1399,"Not Active")</f>
        <v>Not Active</v>
      </c>
    </row>
    <row r="483" spans="1:5" x14ac:dyDescent="0.25">
      <c r="A483" s="5" t="s">
        <v>1201</v>
      </c>
      <c r="B483" s="7" t="s">
        <v>1202</v>
      </c>
      <c r="C483" s="7" t="s">
        <v>3001</v>
      </c>
      <c r="D483" s="7" t="s">
        <v>3694</v>
      </c>
      <c r="E483" t="str">
        <f>_xlfn.XLOOKUP(Table2[[#This Row],[RARC CODE]],'New Rarc Code'!A483:A1400,'New Rarc Code'!C483:C1400,"Not Active")</f>
        <v>Not Active</v>
      </c>
    </row>
    <row r="484" spans="1:5" x14ac:dyDescent="0.25">
      <c r="A484" s="5" t="s">
        <v>1203</v>
      </c>
      <c r="B484" s="7" t="s">
        <v>1204</v>
      </c>
      <c r="C484" s="7" t="s">
        <v>3002</v>
      </c>
      <c r="D484" s="7"/>
      <c r="E484" t="str">
        <f>_xlfn.XLOOKUP(Table2[[#This Row],[RARC CODE]],'New Rarc Code'!A484:A1401,'New Rarc Code'!C484:C1401,"Not Active")</f>
        <v>Not Active</v>
      </c>
    </row>
    <row r="485" spans="1:5" x14ac:dyDescent="0.25">
      <c r="A485" s="5" t="s">
        <v>1205</v>
      </c>
      <c r="B485" s="7" t="s">
        <v>1206</v>
      </c>
      <c r="C485" s="7" t="s">
        <v>3003</v>
      </c>
      <c r="D485" s="7"/>
      <c r="E485" t="str">
        <f>_xlfn.XLOOKUP(Table2[[#This Row],[RARC CODE]],'New Rarc Code'!A485:A1402,'New Rarc Code'!C485:C1402,"Not Active")</f>
        <v>Not Active</v>
      </c>
    </row>
    <row r="486" spans="1:5" x14ac:dyDescent="0.25">
      <c r="A486" s="5" t="s">
        <v>663</v>
      </c>
      <c r="B486" s="7" t="s">
        <v>664</v>
      </c>
      <c r="C486" s="7" t="s">
        <v>3004</v>
      </c>
      <c r="D486" s="7"/>
      <c r="E486" t="str">
        <f>_xlfn.XLOOKUP(Table2[[#This Row],[RARC CODE]],'New Rarc Code'!A486:A1403,'New Rarc Code'!C486:C1403,"Not Active")</f>
        <v>Not Active</v>
      </c>
    </row>
    <row r="487" spans="1:5" x14ac:dyDescent="0.25">
      <c r="A487" s="5" t="s">
        <v>1207</v>
      </c>
      <c r="B487" s="7" t="s">
        <v>1208</v>
      </c>
      <c r="C487" s="7" t="s">
        <v>3005</v>
      </c>
      <c r="D487" s="7"/>
      <c r="E487" t="str">
        <f>_xlfn.XLOOKUP(Table2[[#This Row],[RARC CODE]],'New Rarc Code'!A487:A1404,'New Rarc Code'!C487:C1404,"Not Active")</f>
        <v>Not Active</v>
      </c>
    </row>
    <row r="488" spans="1:5" x14ac:dyDescent="0.25">
      <c r="A488" s="5" t="s">
        <v>1209</v>
      </c>
      <c r="B488" s="7" t="s">
        <v>1210</v>
      </c>
      <c r="C488" s="7" t="s">
        <v>3006</v>
      </c>
      <c r="D488" s="7"/>
      <c r="E488" t="str">
        <f>_xlfn.XLOOKUP(Table2[[#This Row],[RARC CODE]],'New Rarc Code'!A488:A1405,'New Rarc Code'!C488:C1405,"Not Active")</f>
        <v>Not Active</v>
      </c>
    </row>
    <row r="489" spans="1:5" x14ac:dyDescent="0.25">
      <c r="A489" s="5" t="s">
        <v>1211</v>
      </c>
      <c r="B489" s="7" t="s">
        <v>1212</v>
      </c>
      <c r="C489" s="7" t="s">
        <v>3007</v>
      </c>
      <c r="D489" s="7"/>
      <c r="E489" t="str">
        <f>_xlfn.XLOOKUP(Table2[[#This Row],[RARC CODE]],'New Rarc Code'!A489:A1406,'New Rarc Code'!C489:C1406,"Not Active")</f>
        <v>Not Active</v>
      </c>
    </row>
    <row r="490" spans="1:5" x14ac:dyDescent="0.25">
      <c r="A490" s="5" t="s">
        <v>1213</v>
      </c>
      <c r="B490" s="7" t="s">
        <v>1214</v>
      </c>
      <c r="C490" s="7" t="s">
        <v>3008</v>
      </c>
      <c r="D490" s="7"/>
      <c r="E490" t="str">
        <f>_xlfn.XLOOKUP(Table2[[#This Row],[RARC CODE]],'New Rarc Code'!A490:A1407,'New Rarc Code'!C490:C1407,"Not Active")</f>
        <v>Not Active</v>
      </c>
    </row>
    <row r="491" spans="1:5" x14ac:dyDescent="0.25">
      <c r="A491" s="5" t="s">
        <v>1215</v>
      </c>
      <c r="B491" s="7" t="s">
        <v>1216</v>
      </c>
      <c r="C491" s="7" t="s">
        <v>3009</v>
      </c>
      <c r="D491" s="7"/>
      <c r="E491" t="str">
        <f>_xlfn.XLOOKUP(Table2[[#This Row],[RARC CODE]],'New Rarc Code'!A491:A1408,'New Rarc Code'!C491:C1408,"Not Active")</f>
        <v>Not Active</v>
      </c>
    </row>
    <row r="492" spans="1:5" x14ac:dyDescent="0.25">
      <c r="A492" s="5" t="s">
        <v>1217</v>
      </c>
      <c r="B492" s="7" t="s">
        <v>1218</v>
      </c>
      <c r="C492" s="7" t="s">
        <v>3010</v>
      </c>
      <c r="D492" s="7"/>
      <c r="E492" t="str">
        <f>_xlfn.XLOOKUP(Table2[[#This Row],[RARC CODE]],'New Rarc Code'!A492:A1409,'New Rarc Code'!C492:C1409,"Not Active")</f>
        <v>Not Active</v>
      </c>
    </row>
    <row r="493" spans="1:5" x14ac:dyDescent="0.25">
      <c r="A493" s="5" t="s">
        <v>1219</v>
      </c>
      <c r="B493" s="7" t="s">
        <v>1220</v>
      </c>
      <c r="C493" s="7" t="s">
        <v>3011</v>
      </c>
      <c r="D493" s="7"/>
      <c r="E493" t="str">
        <f>_xlfn.XLOOKUP(Table2[[#This Row],[RARC CODE]],'New Rarc Code'!A493:A1410,'New Rarc Code'!C493:C1410,"Not Active")</f>
        <v>Not Active</v>
      </c>
    </row>
    <row r="494" spans="1:5" x14ac:dyDescent="0.25">
      <c r="A494" s="5" t="s">
        <v>1221</v>
      </c>
      <c r="B494" s="7" t="s">
        <v>1222</v>
      </c>
      <c r="C494" s="7" t="s">
        <v>3012</v>
      </c>
      <c r="D494" s="7"/>
      <c r="E494" t="str">
        <f>_xlfn.XLOOKUP(Table2[[#This Row],[RARC CODE]],'New Rarc Code'!A494:A1411,'New Rarc Code'!C494:C1411,"Not Active")</f>
        <v>Not Active</v>
      </c>
    </row>
    <row r="495" spans="1:5" x14ac:dyDescent="0.25">
      <c r="A495" s="5" t="s">
        <v>1223</v>
      </c>
      <c r="B495" s="7" t="s">
        <v>1224</v>
      </c>
      <c r="C495" s="7" t="s">
        <v>3013</v>
      </c>
      <c r="D495" s="7"/>
      <c r="E495" t="str">
        <f>_xlfn.XLOOKUP(Table2[[#This Row],[RARC CODE]],'New Rarc Code'!A495:A1412,'New Rarc Code'!C495:C1412,"Not Active")</f>
        <v>Not Active</v>
      </c>
    </row>
    <row r="496" spans="1:5" x14ac:dyDescent="0.25">
      <c r="A496" s="5" t="s">
        <v>1225</v>
      </c>
      <c r="B496" s="7" t="s">
        <v>1226</v>
      </c>
      <c r="C496" s="7" t="s">
        <v>3014</v>
      </c>
      <c r="D496" s="7"/>
      <c r="E496" t="str">
        <f>_xlfn.XLOOKUP(Table2[[#This Row],[RARC CODE]],'New Rarc Code'!A496:A1413,'New Rarc Code'!C496:C1413,"Not Active")</f>
        <v>Not Active</v>
      </c>
    </row>
    <row r="497" spans="1:5" x14ac:dyDescent="0.25">
      <c r="A497" s="5" t="s">
        <v>665</v>
      </c>
      <c r="B497" s="7" t="s">
        <v>666</v>
      </c>
      <c r="C497" s="7" t="s">
        <v>3015</v>
      </c>
      <c r="D497" s="7"/>
      <c r="E497" t="str">
        <f>_xlfn.XLOOKUP(Table2[[#This Row],[RARC CODE]],'New Rarc Code'!A497:A1414,'New Rarc Code'!C497:C1414,"Not Active")</f>
        <v>Not Active</v>
      </c>
    </row>
    <row r="498" spans="1:5" x14ac:dyDescent="0.25">
      <c r="A498" s="5" t="s">
        <v>1227</v>
      </c>
      <c r="B498" s="7" t="s">
        <v>1228</v>
      </c>
      <c r="C498" s="7" t="s">
        <v>3016</v>
      </c>
      <c r="D498" s="7"/>
      <c r="E498" t="str">
        <f>_xlfn.XLOOKUP(Table2[[#This Row],[RARC CODE]],'New Rarc Code'!A498:A1415,'New Rarc Code'!C498:C1415,"Not Active")</f>
        <v>Not Active</v>
      </c>
    </row>
    <row r="499" spans="1:5" x14ac:dyDescent="0.25">
      <c r="A499" s="5" t="s">
        <v>1229</v>
      </c>
      <c r="B499" s="7" t="s">
        <v>1230</v>
      </c>
      <c r="C499" s="7" t="s">
        <v>3017</v>
      </c>
      <c r="D499" s="7"/>
      <c r="E499" t="str">
        <f>_xlfn.XLOOKUP(Table2[[#This Row],[RARC CODE]],'New Rarc Code'!A499:A1416,'New Rarc Code'!C499:C1416,"Not Active")</f>
        <v>Not Active</v>
      </c>
    </row>
    <row r="500" spans="1:5" x14ac:dyDescent="0.25">
      <c r="A500" s="5" t="s">
        <v>1231</v>
      </c>
      <c r="B500" s="8" t="s">
        <v>2296</v>
      </c>
      <c r="C500" s="8" t="s">
        <v>3018</v>
      </c>
      <c r="D500" s="8"/>
      <c r="E500" t="str">
        <f>_xlfn.XLOOKUP(Table2[[#This Row],[RARC CODE]],'New Rarc Code'!A500:A1417,'New Rarc Code'!C500:C1417,"Not Active")</f>
        <v>Not Active</v>
      </c>
    </row>
    <row r="501" spans="1:5" x14ac:dyDescent="0.25">
      <c r="A501" s="5" t="s">
        <v>1232</v>
      </c>
      <c r="B501" s="8" t="s">
        <v>2297</v>
      </c>
      <c r="C501" s="8" t="s">
        <v>3019</v>
      </c>
      <c r="D501" s="8"/>
      <c r="E501" t="str">
        <f>_xlfn.XLOOKUP(Table2[[#This Row],[RARC CODE]],'New Rarc Code'!A501:A1418,'New Rarc Code'!C501:C1418,"Not Active")</f>
        <v>Not Active</v>
      </c>
    </row>
    <row r="502" spans="1:5" x14ac:dyDescent="0.25">
      <c r="A502" s="5" t="s">
        <v>1233</v>
      </c>
      <c r="B502" s="7" t="s">
        <v>1234</v>
      </c>
      <c r="C502" s="7" t="s">
        <v>3020</v>
      </c>
      <c r="D502" s="7"/>
      <c r="E502" t="str">
        <f>_xlfn.XLOOKUP(Table2[[#This Row],[RARC CODE]],'New Rarc Code'!A502:A1419,'New Rarc Code'!C502:C1419,"Not Active")</f>
        <v>Not Active</v>
      </c>
    </row>
    <row r="503" spans="1:5" x14ac:dyDescent="0.25">
      <c r="A503" s="5" t="s">
        <v>1235</v>
      </c>
      <c r="B503" s="8" t="s">
        <v>2298</v>
      </c>
      <c r="C503" s="8" t="s">
        <v>3021</v>
      </c>
      <c r="D503" s="8"/>
      <c r="E503" t="str">
        <f>_xlfn.XLOOKUP(Table2[[#This Row],[RARC CODE]],'New Rarc Code'!A503:A1420,'New Rarc Code'!C503:C1420,"Not Active")</f>
        <v>Not Active</v>
      </c>
    </row>
    <row r="504" spans="1:5" x14ac:dyDescent="0.25">
      <c r="A504" s="5" t="s">
        <v>1236</v>
      </c>
      <c r="B504" s="7" t="s">
        <v>1237</v>
      </c>
      <c r="C504" s="7" t="s">
        <v>3022</v>
      </c>
      <c r="D504" s="7"/>
      <c r="E504" t="str">
        <f>_xlfn.XLOOKUP(Table2[[#This Row],[RARC CODE]],'New Rarc Code'!A504:A1421,'New Rarc Code'!C504:C1421,"Not Active")</f>
        <v>Not Active</v>
      </c>
    </row>
    <row r="505" spans="1:5" x14ac:dyDescent="0.25">
      <c r="A505" s="5" t="s">
        <v>1238</v>
      </c>
      <c r="B505" s="7" t="s">
        <v>1239</v>
      </c>
      <c r="C505" s="7" t="s">
        <v>3023</v>
      </c>
      <c r="D505" s="7"/>
      <c r="E505" t="str">
        <f>_xlfn.XLOOKUP(Table2[[#This Row],[RARC CODE]],'New Rarc Code'!A505:A1422,'New Rarc Code'!C505:C1422,"Not Active")</f>
        <v>Not Active</v>
      </c>
    </row>
    <row r="506" spans="1:5" x14ac:dyDescent="0.25">
      <c r="A506" s="5" t="s">
        <v>1240</v>
      </c>
      <c r="B506" s="8" t="s">
        <v>2299</v>
      </c>
      <c r="C506" s="8" t="s">
        <v>3024</v>
      </c>
      <c r="D506" s="8"/>
      <c r="E506" t="str">
        <f>_xlfn.XLOOKUP(Table2[[#This Row],[RARC CODE]],'New Rarc Code'!A506:A1423,'New Rarc Code'!C506:C1423,"Not Active")</f>
        <v>Not Active</v>
      </c>
    </row>
    <row r="507" spans="1:5" x14ac:dyDescent="0.25">
      <c r="A507" s="5" t="s">
        <v>1241</v>
      </c>
      <c r="B507" s="7" t="s">
        <v>1242</v>
      </c>
      <c r="C507" s="7" t="s">
        <v>3025</v>
      </c>
      <c r="D507" s="7"/>
      <c r="E507" t="str">
        <f>_xlfn.XLOOKUP(Table2[[#This Row],[RARC CODE]],'New Rarc Code'!A507:A1424,'New Rarc Code'!C507:C1424,"Not Active")</f>
        <v>Not Active</v>
      </c>
    </row>
    <row r="508" spans="1:5" x14ac:dyDescent="0.25">
      <c r="A508" s="5" t="s">
        <v>667</v>
      </c>
      <c r="B508" s="7" t="s">
        <v>668</v>
      </c>
      <c r="C508" s="7" t="s">
        <v>3026</v>
      </c>
      <c r="D508" s="7"/>
      <c r="E508" t="str">
        <f>_xlfn.XLOOKUP(Table2[[#This Row],[RARC CODE]],'New Rarc Code'!A508:A1425,'New Rarc Code'!C508:C1425,"Not Active")</f>
        <v>Not Active</v>
      </c>
    </row>
    <row r="509" spans="1:5" x14ac:dyDescent="0.25">
      <c r="A509" s="5" t="s">
        <v>1243</v>
      </c>
      <c r="B509" s="8" t="s">
        <v>2300</v>
      </c>
      <c r="C509" s="8" t="s">
        <v>3027</v>
      </c>
      <c r="D509" s="8"/>
      <c r="E509" t="str">
        <f>_xlfn.XLOOKUP(Table2[[#This Row],[RARC CODE]],'New Rarc Code'!A509:A1426,'New Rarc Code'!C509:C1426,"Not Active")</f>
        <v>Not Active</v>
      </c>
    </row>
    <row r="510" spans="1:5" x14ac:dyDescent="0.25">
      <c r="A510" s="5" t="s">
        <v>1244</v>
      </c>
      <c r="B510" s="7" t="s">
        <v>1245</v>
      </c>
      <c r="C510" s="7" t="s">
        <v>3028</v>
      </c>
      <c r="D510" s="7" t="s">
        <v>3694</v>
      </c>
      <c r="E510" t="str">
        <f>_xlfn.XLOOKUP(Table2[[#This Row],[RARC CODE]],'New Rarc Code'!A510:A1427,'New Rarc Code'!C510:C1427,"Not Active")</f>
        <v>Not Active</v>
      </c>
    </row>
    <row r="511" spans="1:5" x14ac:dyDescent="0.25">
      <c r="A511" s="5" t="s">
        <v>1246</v>
      </c>
      <c r="B511" s="8" t="s">
        <v>2301</v>
      </c>
      <c r="C511" s="8" t="s">
        <v>3029</v>
      </c>
      <c r="D511" s="8"/>
      <c r="E511" t="str">
        <f>_xlfn.XLOOKUP(Table2[[#This Row],[RARC CODE]],'New Rarc Code'!A511:A1428,'New Rarc Code'!C511:C1428,"Not Active")</f>
        <v>Not Active</v>
      </c>
    </row>
    <row r="512" spans="1:5" x14ac:dyDescent="0.25">
      <c r="A512" s="5" t="s">
        <v>1247</v>
      </c>
      <c r="B512" s="8" t="s">
        <v>2302</v>
      </c>
      <c r="C512" s="8" t="s">
        <v>3030</v>
      </c>
      <c r="D512" s="8"/>
      <c r="E512" t="str">
        <f>_xlfn.XLOOKUP(Table2[[#This Row],[RARC CODE]],'New Rarc Code'!A512:A1429,'New Rarc Code'!C512:C1429,"Not Active")</f>
        <v>Not Active</v>
      </c>
    </row>
    <row r="513" spans="1:5" x14ac:dyDescent="0.25">
      <c r="A513" s="5" t="s">
        <v>1248</v>
      </c>
      <c r="B513" s="7" t="s">
        <v>1249</v>
      </c>
      <c r="C513" s="7" t="s">
        <v>3031</v>
      </c>
      <c r="D513" s="7"/>
      <c r="E513" t="str">
        <f>_xlfn.XLOOKUP(Table2[[#This Row],[RARC CODE]],'New Rarc Code'!A513:A1430,'New Rarc Code'!C513:C1430,"Not Active")</f>
        <v>Not Active</v>
      </c>
    </row>
    <row r="514" spans="1:5" x14ac:dyDescent="0.25">
      <c r="A514" s="5" t="s">
        <v>1250</v>
      </c>
      <c r="B514" s="8" t="s">
        <v>2303</v>
      </c>
      <c r="C514" s="8" t="s">
        <v>3032</v>
      </c>
      <c r="D514" s="8"/>
      <c r="E514" t="str">
        <f>_xlfn.XLOOKUP(Table2[[#This Row],[RARC CODE]],'New Rarc Code'!A514:A1431,'New Rarc Code'!C514:C1431,"Not Active")</f>
        <v>Not Active</v>
      </c>
    </row>
    <row r="515" spans="1:5" x14ac:dyDescent="0.25">
      <c r="A515" s="5" t="s">
        <v>1251</v>
      </c>
      <c r="B515" s="7" t="s">
        <v>1252</v>
      </c>
      <c r="C515" s="7" t="s">
        <v>3033</v>
      </c>
      <c r="D515" s="7"/>
      <c r="E515" t="str">
        <f>_xlfn.XLOOKUP(Table2[[#This Row],[RARC CODE]],'New Rarc Code'!A515:A1432,'New Rarc Code'!C515:C1432,"Not Active")</f>
        <v>Not Active</v>
      </c>
    </row>
    <row r="516" spans="1:5" x14ac:dyDescent="0.25">
      <c r="A516" s="5" t="s">
        <v>1253</v>
      </c>
      <c r="B516" s="8" t="s">
        <v>2304</v>
      </c>
      <c r="C516" s="8" t="s">
        <v>3034</v>
      </c>
      <c r="D516" s="8"/>
      <c r="E516" t="str">
        <f>_xlfn.XLOOKUP(Table2[[#This Row],[RARC CODE]],'New Rarc Code'!A516:A1433,'New Rarc Code'!C516:C1433,"Not Active")</f>
        <v>Not Active</v>
      </c>
    </row>
    <row r="517" spans="1:5" x14ac:dyDescent="0.25">
      <c r="A517" s="5" t="s">
        <v>669</v>
      </c>
      <c r="B517" s="7" t="s">
        <v>670</v>
      </c>
      <c r="C517" s="7" t="s">
        <v>3035</v>
      </c>
      <c r="D517" s="7"/>
      <c r="E517" t="str">
        <f>_xlfn.XLOOKUP(Table2[[#This Row],[RARC CODE]],'New Rarc Code'!A517:A1434,'New Rarc Code'!C517:C1434,"Not Active")</f>
        <v>Not Active</v>
      </c>
    </row>
    <row r="518" spans="1:5" x14ac:dyDescent="0.25">
      <c r="A518" s="5" t="s">
        <v>1254</v>
      </c>
      <c r="B518" s="7" t="s">
        <v>1255</v>
      </c>
      <c r="C518" s="7" t="s">
        <v>3036</v>
      </c>
      <c r="D518" s="7"/>
      <c r="E518" t="str">
        <f>_xlfn.XLOOKUP(Table2[[#This Row],[RARC CODE]],'New Rarc Code'!A518:A1435,'New Rarc Code'!C518:C1435,"Not Active")</f>
        <v>Not Active</v>
      </c>
    </row>
    <row r="519" spans="1:5" x14ac:dyDescent="0.25">
      <c r="A519" s="5" t="s">
        <v>1256</v>
      </c>
      <c r="B519" s="8" t="s">
        <v>2305</v>
      </c>
      <c r="C519" s="8" t="s">
        <v>3037</v>
      </c>
      <c r="D519" s="8"/>
      <c r="E519" t="str">
        <f>_xlfn.XLOOKUP(Table2[[#This Row],[RARC CODE]],'New Rarc Code'!A519:A1436,'New Rarc Code'!C519:C1436,"Not Active")</f>
        <v>Not Active</v>
      </c>
    </row>
    <row r="520" spans="1:5" x14ac:dyDescent="0.25">
      <c r="A520" s="5" t="s">
        <v>1257</v>
      </c>
      <c r="B520" s="7" t="s">
        <v>1258</v>
      </c>
      <c r="C520" s="7" t="s">
        <v>3038</v>
      </c>
      <c r="D520" s="7"/>
      <c r="E520" t="str">
        <f>_xlfn.XLOOKUP(Table2[[#This Row],[RARC CODE]],'New Rarc Code'!A520:A1437,'New Rarc Code'!C520:C1437,"Not Active")</f>
        <v>Not Active</v>
      </c>
    </row>
    <row r="521" spans="1:5" x14ac:dyDescent="0.25">
      <c r="A521" s="5" t="s">
        <v>1259</v>
      </c>
      <c r="B521" s="7" t="s">
        <v>1260</v>
      </c>
      <c r="C521" s="7" t="s">
        <v>3039</v>
      </c>
      <c r="D521" s="7"/>
      <c r="E521" t="str">
        <f>_xlfn.XLOOKUP(Table2[[#This Row],[RARC CODE]],'New Rarc Code'!A521:A1438,'New Rarc Code'!C521:C1438,"Not Active")</f>
        <v>Not Active</v>
      </c>
    </row>
    <row r="522" spans="1:5" x14ac:dyDescent="0.25">
      <c r="A522" s="5" t="s">
        <v>1261</v>
      </c>
      <c r="B522" s="7" t="s">
        <v>1262</v>
      </c>
      <c r="C522" s="7" t="s">
        <v>3040</v>
      </c>
      <c r="D522" s="7"/>
      <c r="E522" t="str">
        <f>_xlfn.XLOOKUP(Table2[[#This Row],[RARC CODE]],'New Rarc Code'!A522:A1439,'New Rarc Code'!C522:C1439,"Not Active")</f>
        <v>Not Active</v>
      </c>
    </row>
    <row r="523" spans="1:5" x14ac:dyDescent="0.25">
      <c r="A523" s="5" t="s">
        <v>1263</v>
      </c>
      <c r="B523" s="7" t="s">
        <v>1264</v>
      </c>
      <c r="C523" s="7" t="s">
        <v>3041</v>
      </c>
      <c r="D523" s="7"/>
      <c r="E523" t="str">
        <f>_xlfn.XLOOKUP(Table2[[#This Row],[RARC CODE]],'New Rarc Code'!A523:A1440,'New Rarc Code'!C523:C1440,"Not Active")</f>
        <v>Not Active</v>
      </c>
    </row>
    <row r="524" spans="1:5" x14ac:dyDescent="0.25">
      <c r="A524" s="5" t="s">
        <v>1265</v>
      </c>
      <c r="B524" s="7" t="s">
        <v>1266</v>
      </c>
      <c r="C524" s="7" t="s">
        <v>3042</v>
      </c>
      <c r="D524" s="7"/>
      <c r="E524" t="str">
        <f>_xlfn.XLOOKUP(Table2[[#This Row],[RARC CODE]],'New Rarc Code'!A524:A1441,'New Rarc Code'!C524:C1441,"Not Active")</f>
        <v>Not Active</v>
      </c>
    </row>
    <row r="525" spans="1:5" x14ac:dyDescent="0.25">
      <c r="A525" s="5" t="s">
        <v>1267</v>
      </c>
      <c r="B525" s="7" t="s">
        <v>1268</v>
      </c>
      <c r="C525" s="7" t="s">
        <v>3043</v>
      </c>
      <c r="D525" s="7"/>
      <c r="E525" t="str">
        <f>_xlfn.XLOOKUP(Table2[[#This Row],[RARC CODE]],'New Rarc Code'!A525:A1442,'New Rarc Code'!C525:C1442,"Not Active")</f>
        <v>Not Active</v>
      </c>
    </row>
    <row r="526" spans="1:5" x14ac:dyDescent="0.25">
      <c r="A526" s="5" t="s">
        <v>1269</v>
      </c>
      <c r="B526" s="7" t="s">
        <v>1270</v>
      </c>
      <c r="C526" s="7" t="s">
        <v>3044</v>
      </c>
      <c r="D526" s="7"/>
      <c r="E526" t="str">
        <f>_xlfn.XLOOKUP(Table2[[#This Row],[RARC CODE]],'New Rarc Code'!A526:A1443,'New Rarc Code'!C526:C1443,"Not Active")</f>
        <v>Not Active</v>
      </c>
    </row>
    <row r="527" spans="1:5" x14ac:dyDescent="0.25">
      <c r="A527" s="5" t="s">
        <v>1271</v>
      </c>
      <c r="B527" s="7" t="s">
        <v>1272</v>
      </c>
      <c r="C527" s="7" t="s">
        <v>3045</v>
      </c>
      <c r="D527" s="7"/>
      <c r="E527" t="str">
        <f>_xlfn.XLOOKUP(Table2[[#This Row],[RARC CODE]],'New Rarc Code'!A527:A1444,'New Rarc Code'!C527:C1444,"Not Active")</f>
        <v>Not Active</v>
      </c>
    </row>
    <row r="528" spans="1:5" x14ac:dyDescent="0.25">
      <c r="A528" s="5" t="s">
        <v>1273</v>
      </c>
      <c r="B528" s="7" t="s">
        <v>1274</v>
      </c>
      <c r="C528" s="7" t="s">
        <v>3046</v>
      </c>
      <c r="D528" s="7"/>
      <c r="E528" t="str">
        <f>_xlfn.XLOOKUP(Table2[[#This Row],[RARC CODE]],'New Rarc Code'!A528:A1445,'New Rarc Code'!C528:C1445,"Not Active")</f>
        <v>Not Active</v>
      </c>
    </row>
    <row r="529" spans="1:5" x14ac:dyDescent="0.25">
      <c r="A529" s="5" t="s">
        <v>1275</v>
      </c>
      <c r="B529" s="8" t="s">
        <v>2306</v>
      </c>
      <c r="C529" s="8" t="s">
        <v>3047</v>
      </c>
      <c r="D529" s="8"/>
      <c r="E529" t="str">
        <f>_xlfn.XLOOKUP(Table2[[#This Row],[RARC CODE]],'New Rarc Code'!A529:A1446,'New Rarc Code'!C529:C1446,"Not Active")</f>
        <v>Not Active</v>
      </c>
    </row>
    <row r="530" spans="1:5" x14ac:dyDescent="0.25">
      <c r="A530" s="5" t="s">
        <v>1276</v>
      </c>
      <c r="B530" s="7" t="s">
        <v>1277</v>
      </c>
      <c r="C530" s="7" t="s">
        <v>3048</v>
      </c>
      <c r="D530" s="7"/>
      <c r="E530" t="str">
        <f>_xlfn.XLOOKUP(Table2[[#This Row],[RARC CODE]],'New Rarc Code'!A530:A1447,'New Rarc Code'!C530:C1447,"Not Active")</f>
        <v>Not Active</v>
      </c>
    </row>
    <row r="531" spans="1:5" x14ac:dyDescent="0.25">
      <c r="A531" s="5" t="s">
        <v>1278</v>
      </c>
      <c r="B531" s="7" t="s">
        <v>1279</v>
      </c>
      <c r="C531" s="7" t="s">
        <v>3049</v>
      </c>
      <c r="D531" s="7"/>
      <c r="E531" t="str">
        <f>_xlfn.XLOOKUP(Table2[[#This Row],[RARC CODE]],'New Rarc Code'!A531:A1448,'New Rarc Code'!C531:C1448,"Not Active")</f>
        <v>Not Active</v>
      </c>
    </row>
    <row r="532" spans="1:5" x14ac:dyDescent="0.25">
      <c r="A532" s="5" t="s">
        <v>1280</v>
      </c>
      <c r="B532" s="7" t="s">
        <v>1281</v>
      </c>
      <c r="C532" s="7" t="s">
        <v>3050</v>
      </c>
      <c r="D532" s="7"/>
      <c r="E532" t="str">
        <f>_xlfn.XLOOKUP(Table2[[#This Row],[RARC CODE]],'New Rarc Code'!A532:A1449,'New Rarc Code'!C532:C1449,"Not Active")</f>
        <v>Not Active</v>
      </c>
    </row>
    <row r="533" spans="1:5" x14ac:dyDescent="0.25">
      <c r="A533" s="5" t="s">
        <v>1282</v>
      </c>
      <c r="B533" s="7" t="s">
        <v>1283</v>
      </c>
      <c r="C533" s="7" t="s">
        <v>3051</v>
      </c>
      <c r="D533" s="7"/>
      <c r="E533" t="str">
        <f>_xlfn.XLOOKUP(Table2[[#This Row],[RARC CODE]],'New Rarc Code'!A533:A1450,'New Rarc Code'!C533:C1450,"Not Active")</f>
        <v>Not Active</v>
      </c>
    </row>
    <row r="534" spans="1:5" x14ac:dyDescent="0.25">
      <c r="A534" s="5" t="s">
        <v>1284</v>
      </c>
      <c r="B534" s="7" t="s">
        <v>1285</v>
      </c>
      <c r="C534" s="7" t="s">
        <v>3052</v>
      </c>
      <c r="D534" s="7"/>
      <c r="E534" t="str">
        <f>_xlfn.XLOOKUP(Table2[[#This Row],[RARC CODE]],'New Rarc Code'!A534:A1451,'New Rarc Code'!C534:C1451,"Not Active")</f>
        <v>Not Active</v>
      </c>
    </row>
    <row r="535" spans="1:5" x14ac:dyDescent="0.25">
      <c r="A535" s="5" t="s">
        <v>1286</v>
      </c>
      <c r="B535" s="8" t="s">
        <v>2307</v>
      </c>
      <c r="C535" s="8" t="s">
        <v>3053</v>
      </c>
      <c r="D535" s="8"/>
      <c r="E535" t="str">
        <f>_xlfn.XLOOKUP(Table2[[#This Row],[RARC CODE]],'New Rarc Code'!A535:A1452,'New Rarc Code'!C535:C1452,"Not Active")</f>
        <v>Not Active</v>
      </c>
    </row>
    <row r="536" spans="1:5" x14ac:dyDescent="0.25">
      <c r="A536" s="5" t="s">
        <v>1287</v>
      </c>
      <c r="B536" s="7" t="s">
        <v>1288</v>
      </c>
      <c r="C536" s="7" t="s">
        <v>3054</v>
      </c>
      <c r="D536" s="7"/>
      <c r="E536" t="str">
        <f>_xlfn.XLOOKUP(Table2[[#This Row],[RARC CODE]],'New Rarc Code'!A536:A1453,'New Rarc Code'!C536:C1453,"Not Active")</f>
        <v>Not Active</v>
      </c>
    </row>
    <row r="537" spans="1:5" x14ac:dyDescent="0.25">
      <c r="A537" s="5" t="s">
        <v>1289</v>
      </c>
      <c r="B537" s="7" t="s">
        <v>1290</v>
      </c>
      <c r="C537" s="7" t="s">
        <v>3055</v>
      </c>
      <c r="D537" s="7"/>
      <c r="E537" t="str">
        <f>_xlfn.XLOOKUP(Table2[[#This Row],[RARC CODE]],'New Rarc Code'!A537:A1454,'New Rarc Code'!C537:C1454,"Not Active")</f>
        <v>Not Active</v>
      </c>
    </row>
    <row r="538" spans="1:5" x14ac:dyDescent="0.25">
      <c r="A538" s="5" t="s">
        <v>671</v>
      </c>
      <c r="B538" s="7" t="s">
        <v>672</v>
      </c>
      <c r="C538" s="7" t="s">
        <v>3056</v>
      </c>
      <c r="D538" s="7"/>
      <c r="E538" t="str">
        <f>_xlfn.XLOOKUP(Table2[[#This Row],[RARC CODE]],'New Rarc Code'!A538:A1455,'New Rarc Code'!C538:C1455,"Not Active")</f>
        <v>Not Active</v>
      </c>
    </row>
    <row r="539" spans="1:5" x14ac:dyDescent="0.25">
      <c r="A539" s="5" t="s">
        <v>1291</v>
      </c>
      <c r="B539" s="7" t="s">
        <v>1292</v>
      </c>
      <c r="C539" s="7" t="s">
        <v>3057</v>
      </c>
      <c r="D539" s="7"/>
      <c r="E539" t="str">
        <f>_xlfn.XLOOKUP(Table2[[#This Row],[RARC CODE]],'New Rarc Code'!A539:A1456,'New Rarc Code'!C539:C1456,"Not Active")</f>
        <v>Not Active</v>
      </c>
    </row>
    <row r="540" spans="1:5" x14ac:dyDescent="0.25">
      <c r="A540" s="5" t="s">
        <v>1293</v>
      </c>
      <c r="B540" s="7" t="s">
        <v>1294</v>
      </c>
      <c r="C540" s="7" t="s">
        <v>3058</v>
      </c>
      <c r="D540" s="7"/>
      <c r="E540" t="str">
        <f>_xlfn.XLOOKUP(Table2[[#This Row],[RARC CODE]],'New Rarc Code'!A540:A1457,'New Rarc Code'!C540:C1457,"Not Active")</f>
        <v>Not Active</v>
      </c>
    </row>
    <row r="541" spans="1:5" x14ac:dyDescent="0.25">
      <c r="A541" s="5" t="s">
        <v>1295</v>
      </c>
      <c r="B541" s="7" t="s">
        <v>1296</v>
      </c>
      <c r="C541" s="7" t="s">
        <v>3059</v>
      </c>
      <c r="D541" s="7"/>
      <c r="E541" t="str">
        <f>_xlfn.XLOOKUP(Table2[[#This Row],[RARC CODE]],'New Rarc Code'!A541:A1458,'New Rarc Code'!C541:C1458,"Not Active")</f>
        <v>Not Active</v>
      </c>
    </row>
    <row r="542" spans="1:5" x14ac:dyDescent="0.25">
      <c r="A542" s="5" t="s">
        <v>1297</v>
      </c>
      <c r="B542" s="7" t="s">
        <v>1298</v>
      </c>
      <c r="C542" s="7" t="s">
        <v>3060</v>
      </c>
      <c r="D542" s="7"/>
      <c r="E542" t="str">
        <f>_xlfn.XLOOKUP(Table2[[#This Row],[RARC CODE]],'New Rarc Code'!A542:A1459,'New Rarc Code'!C542:C1459,"Not Active")</f>
        <v>Not Active</v>
      </c>
    </row>
    <row r="543" spans="1:5" x14ac:dyDescent="0.25">
      <c r="A543" s="5" t="s">
        <v>1299</v>
      </c>
      <c r="B543" s="7" t="s">
        <v>1300</v>
      </c>
      <c r="C543" s="7" t="s">
        <v>3061</v>
      </c>
      <c r="D543" s="7"/>
      <c r="E543" t="str">
        <f>_xlfn.XLOOKUP(Table2[[#This Row],[RARC CODE]],'New Rarc Code'!A543:A1460,'New Rarc Code'!C543:C1460,"Not Active")</f>
        <v>Not Active</v>
      </c>
    </row>
    <row r="544" spans="1:5" x14ac:dyDescent="0.25">
      <c r="A544" s="5" t="s">
        <v>1301</v>
      </c>
      <c r="B544" s="7" t="s">
        <v>1302</v>
      </c>
      <c r="C544" s="7" t="s">
        <v>3062</v>
      </c>
      <c r="D544" s="7"/>
      <c r="E544" t="str">
        <f>_xlfn.XLOOKUP(Table2[[#This Row],[RARC CODE]],'New Rarc Code'!A544:A1461,'New Rarc Code'!C544:C1461,"Not Active")</f>
        <v>Not Active</v>
      </c>
    </row>
    <row r="545" spans="1:5" x14ac:dyDescent="0.25">
      <c r="A545" s="5" t="s">
        <v>1303</v>
      </c>
      <c r="B545" s="7" t="s">
        <v>1304</v>
      </c>
      <c r="C545" s="7" t="s">
        <v>3063</v>
      </c>
      <c r="D545" s="7"/>
      <c r="E545" t="str">
        <f>_xlfn.XLOOKUP(Table2[[#This Row],[RARC CODE]],'New Rarc Code'!A545:A1462,'New Rarc Code'!C545:C1462,"Not Active")</f>
        <v>Not Active</v>
      </c>
    </row>
    <row r="546" spans="1:5" x14ac:dyDescent="0.25">
      <c r="A546" s="5" t="s">
        <v>1305</v>
      </c>
      <c r="B546" s="7" t="s">
        <v>1306</v>
      </c>
      <c r="C546" s="7" t="s">
        <v>3064</v>
      </c>
      <c r="D546" s="7"/>
      <c r="E546" t="str">
        <f>_xlfn.XLOOKUP(Table2[[#This Row],[RARC CODE]],'New Rarc Code'!A546:A1463,'New Rarc Code'!C546:C1463,"Not Active")</f>
        <v>Not Active</v>
      </c>
    </row>
    <row r="547" spans="1:5" x14ac:dyDescent="0.25">
      <c r="A547" s="5" t="s">
        <v>1307</v>
      </c>
      <c r="B547" s="7" t="s">
        <v>1308</v>
      </c>
      <c r="C547" s="7" t="s">
        <v>3065</v>
      </c>
      <c r="D547" s="7"/>
      <c r="E547" t="str">
        <f>_xlfn.XLOOKUP(Table2[[#This Row],[RARC CODE]],'New Rarc Code'!A547:A1464,'New Rarc Code'!C547:C1464,"Not Active")</f>
        <v>Not Active</v>
      </c>
    </row>
    <row r="548" spans="1:5" x14ac:dyDescent="0.25">
      <c r="A548" s="5" t="s">
        <v>1309</v>
      </c>
      <c r="B548" s="7" t="s">
        <v>1310</v>
      </c>
      <c r="C548" s="7" t="s">
        <v>3066</v>
      </c>
      <c r="D548" s="7"/>
      <c r="E548" t="str">
        <f>_xlfn.XLOOKUP(Table2[[#This Row],[RARC CODE]],'New Rarc Code'!A548:A1465,'New Rarc Code'!C548:C1465,"Not Active")</f>
        <v>Not Active</v>
      </c>
    </row>
    <row r="549" spans="1:5" x14ac:dyDescent="0.25">
      <c r="A549" s="5" t="s">
        <v>615</v>
      </c>
      <c r="B549" s="7" t="s">
        <v>616</v>
      </c>
      <c r="C549" s="7" t="s">
        <v>3067</v>
      </c>
      <c r="D549" s="7"/>
      <c r="E549" t="str">
        <f>_xlfn.XLOOKUP(Table2[[#This Row],[RARC CODE]],'New Rarc Code'!A549:A1466,'New Rarc Code'!C549:C1466,"Not Active")</f>
        <v>Not Active</v>
      </c>
    </row>
    <row r="550" spans="1:5" x14ac:dyDescent="0.25">
      <c r="A550" s="5" t="s">
        <v>673</v>
      </c>
      <c r="B550" s="7" t="s">
        <v>674</v>
      </c>
      <c r="C550" s="7" t="s">
        <v>3068</v>
      </c>
      <c r="D550" s="7"/>
      <c r="E550" t="str">
        <f>_xlfn.XLOOKUP(Table2[[#This Row],[RARC CODE]],'New Rarc Code'!A550:A1467,'New Rarc Code'!C550:C1467,"Not Active")</f>
        <v>Not Active</v>
      </c>
    </row>
    <row r="551" spans="1:5" x14ac:dyDescent="0.25">
      <c r="A551" s="5" t="s">
        <v>1311</v>
      </c>
      <c r="B551" s="8" t="s">
        <v>2308</v>
      </c>
      <c r="C551" s="8" t="s">
        <v>3069</v>
      </c>
      <c r="D551" s="8"/>
      <c r="E551" t="str">
        <f>_xlfn.XLOOKUP(Table2[[#This Row],[RARC CODE]],'New Rarc Code'!A551:A1468,'New Rarc Code'!C551:C1468,"Not Active")</f>
        <v>Not Active</v>
      </c>
    </row>
    <row r="552" spans="1:5" x14ac:dyDescent="0.25">
      <c r="A552" s="5" t="s">
        <v>1312</v>
      </c>
      <c r="B552" s="7" t="s">
        <v>1313</v>
      </c>
      <c r="C552" s="7" t="s">
        <v>3070</v>
      </c>
      <c r="D552" s="7"/>
      <c r="E552" t="str">
        <f>_xlfn.XLOOKUP(Table2[[#This Row],[RARC CODE]],'New Rarc Code'!A552:A1469,'New Rarc Code'!C552:C1469,"Not Active")</f>
        <v>Not Active</v>
      </c>
    </row>
    <row r="553" spans="1:5" x14ac:dyDescent="0.25">
      <c r="A553" s="5" t="s">
        <v>1314</v>
      </c>
      <c r="B553" s="7" t="s">
        <v>1315</v>
      </c>
      <c r="C553" s="7" t="s">
        <v>3071</v>
      </c>
      <c r="D553" s="7"/>
      <c r="E553" t="str">
        <f>_xlfn.XLOOKUP(Table2[[#This Row],[RARC CODE]],'New Rarc Code'!A553:A1470,'New Rarc Code'!C553:C1470,"Not Active")</f>
        <v>Not Active</v>
      </c>
    </row>
    <row r="554" spans="1:5" x14ac:dyDescent="0.25">
      <c r="A554" s="5" t="s">
        <v>1316</v>
      </c>
      <c r="B554" s="7" t="s">
        <v>1317</v>
      </c>
      <c r="C554" s="7" t="s">
        <v>3072</v>
      </c>
      <c r="D554" s="7"/>
      <c r="E554" t="str">
        <f>_xlfn.XLOOKUP(Table2[[#This Row],[RARC CODE]],'New Rarc Code'!A554:A1471,'New Rarc Code'!C554:C1471,"Not Active")</f>
        <v>Not Active</v>
      </c>
    </row>
    <row r="555" spans="1:5" x14ac:dyDescent="0.25">
      <c r="A555" s="5" t="s">
        <v>1318</v>
      </c>
      <c r="B555" s="7" t="s">
        <v>1319</v>
      </c>
      <c r="C555" s="7" t="s">
        <v>3073</v>
      </c>
      <c r="D555" s="7"/>
      <c r="E555" t="str">
        <f>_xlfn.XLOOKUP(Table2[[#This Row],[RARC CODE]],'New Rarc Code'!A555:A1472,'New Rarc Code'!C555:C1472,"Not Active")</f>
        <v>Not Active</v>
      </c>
    </row>
    <row r="556" spans="1:5" x14ac:dyDescent="0.25">
      <c r="A556" s="5" t="s">
        <v>1320</v>
      </c>
      <c r="B556" s="7" t="s">
        <v>1321</v>
      </c>
      <c r="C556" s="7" t="s">
        <v>3074</v>
      </c>
      <c r="D556" s="7"/>
      <c r="E556" t="str">
        <f>_xlfn.XLOOKUP(Table2[[#This Row],[RARC CODE]],'New Rarc Code'!A556:A1473,'New Rarc Code'!C556:C1473,"Not Active")</f>
        <v>Not Active</v>
      </c>
    </row>
    <row r="557" spans="1:5" x14ac:dyDescent="0.25">
      <c r="A557" s="5" t="s">
        <v>1322</v>
      </c>
      <c r="B557" s="7" t="s">
        <v>1323</v>
      </c>
      <c r="C557" s="7" t="s">
        <v>3075</v>
      </c>
      <c r="D557" s="7"/>
      <c r="E557" t="str">
        <f>_xlfn.XLOOKUP(Table2[[#This Row],[RARC CODE]],'New Rarc Code'!A557:A1474,'New Rarc Code'!C557:C1474,"Not Active")</f>
        <v>Not Active</v>
      </c>
    </row>
    <row r="558" spans="1:5" x14ac:dyDescent="0.25">
      <c r="A558" s="5" t="s">
        <v>1324</v>
      </c>
      <c r="B558" s="7" t="s">
        <v>1325</v>
      </c>
      <c r="C558" s="7" t="s">
        <v>3076</v>
      </c>
      <c r="D558" s="7"/>
      <c r="E558" t="str">
        <f>_xlfn.XLOOKUP(Table2[[#This Row],[RARC CODE]],'New Rarc Code'!A558:A1475,'New Rarc Code'!C558:C1475,"Not Active")</f>
        <v>Not Active</v>
      </c>
    </row>
    <row r="559" spans="1:5" x14ac:dyDescent="0.25">
      <c r="A559" s="5" t="s">
        <v>1326</v>
      </c>
      <c r="B559" s="7" t="s">
        <v>1327</v>
      </c>
      <c r="C559" s="7" t="s">
        <v>3077</v>
      </c>
      <c r="D559" s="7"/>
      <c r="E559" t="str">
        <f>_xlfn.XLOOKUP(Table2[[#This Row],[RARC CODE]],'New Rarc Code'!A559:A1476,'New Rarc Code'!C559:C1476,"Not Active")</f>
        <v>Not Active</v>
      </c>
    </row>
    <row r="560" spans="1:5" x14ac:dyDescent="0.25">
      <c r="A560" s="5" t="s">
        <v>1328</v>
      </c>
      <c r="B560" s="7" t="s">
        <v>1329</v>
      </c>
      <c r="C560" s="7" t="s">
        <v>3078</v>
      </c>
      <c r="D560" s="7"/>
      <c r="E560" t="str">
        <f>_xlfn.XLOOKUP(Table2[[#This Row],[RARC CODE]],'New Rarc Code'!A560:A1477,'New Rarc Code'!C560:C1477,"Not Active")</f>
        <v>Not Active</v>
      </c>
    </row>
    <row r="561" spans="1:5" x14ac:dyDescent="0.25">
      <c r="A561" s="5" t="s">
        <v>1330</v>
      </c>
      <c r="B561" s="7" t="s">
        <v>1331</v>
      </c>
      <c r="C561" s="7" t="s">
        <v>3079</v>
      </c>
      <c r="D561" s="7"/>
      <c r="E561" t="str">
        <f>_xlfn.XLOOKUP(Table2[[#This Row],[RARC CODE]],'New Rarc Code'!A561:A1478,'New Rarc Code'!C561:C1478,"Not Active")</f>
        <v>Not Active</v>
      </c>
    </row>
    <row r="562" spans="1:5" x14ac:dyDescent="0.25">
      <c r="A562" s="5" t="s">
        <v>1332</v>
      </c>
      <c r="B562" s="7" t="s">
        <v>1333</v>
      </c>
      <c r="C562" s="7" t="s">
        <v>3080</v>
      </c>
      <c r="D562" s="7"/>
      <c r="E562" t="str">
        <f>_xlfn.XLOOKUP(Table2[[#This Row],[RARC CODE]],'New Rarc Code'!A562:A1479,'New Rarc Code'!C562:C1479,"Not Active")</f>
        <v>Not Active</v>
      </c>
    </row>
    <row r="563" spans="1:5" x14ac:dyDescent="0.25">
      <c r="A563" s="5" t="s">
        <v>1334</v>
      </c>
      <c r="B563" s="7" t="s">
        <v>1335</v>
      </c>
      <c r="C563" s="7" t="s">
        <v>3081</v>
      </c>
      <c r="D563" s="7"/>
      <c r="E563" t="str">
        <f>_xlfn.XLOOKUP(Table2[[#This Row],[RARC CODE]],'New Rarc Code'!A563:A1480,'New Rarc Code'!C563:C1480,"Not Active")</f>
        <v>Not Active</v>
      </c>
    </row>
    <row r="564" spans="1:5" x14ac:dyDescent="0.25">
      <c r="A564" s="5" t="s">
        <v>1336</v>
      </c>
      <c r="B564" s="7" t="s">
        <v>1337</v>
      </c>
      <c r="C564" s="7" t="s">
        <v>3082</v>
      </c>
      <c r="D564" s="7"/>
      <c r="E564" t="str">
        <f>_xlfn.XLOOKUP(Table2[[#This Row],[RARC CODE]],'New Rarc Code'!A564:A1481,'New Rarc Code'!C564:C1481,"Not Active")</f>
        <v>Not Active</v>
      </c>
    </row>
    <row r="565" spans="1:5" x14ac:dyDescent="0.25">
      <c r="A565" s="5" t="s">
        <v>1338</v>
      </c>
      <c r="B565" s="7" t="s">
        <v>1339</v>
      </c>
      <c r="C565" s="7" t="s">
        <v>3083</v>
      </c>
      <c r="D565" s="7"/>
      <c r="E565" t="str">
        <f>_xlfn.XLOOKUP(Table2[[#This Row],[RARC CODE]],'New Rarc Code'!A565:A1482,'New Rarc Code'!C565:C1482,"Not Active")</f>
        <v>Not Active</v>
      </c>
    </row>
    <row r="566" spans="1:5" x14ac:dyDescent="0.25">
      <c r="A566" s="5" t="s">
        <v>1340</v>
      </c>
      <c r="B566" s="7" t="s">
        <v>1341</v>
      </c>
      <c r="C566" s="7" t="s">
        <v>3084</v>
      </c>
      <c r="D566" s="7"/>
      <c r="E566" t="str">
        <f>_xlfn.XLOOKUP(Table2[[#This Row],[RARC CODE]],'New Rarc Code'!A566:A1483,'New Rarc Code'!C566:C1483,"Not Active")</f>
        <v>Not Active</v>
      </c>
    </row>
    <row r="567" spans="1:5" x14ac:dyDescent="0.25">
      <c r="A567" s="5" t="s">
        <v>1342</v>
      </c>
      <c r="B567" s="7" t="s">
        <v>1343</v>
      </c>
      <c r="C567" s="7" t="s">
        <v>3085</v>
      </c>
      <c r="D567" s="7"/>
      <c r="E567" t="str">
        <f>_xlfn.XLOOKUP(Table2[[#This Row],[RARC CODE]],'New Rarc Code'!A567:A1484,'New Rarc Code'!C567:C1484,"Not Active")</f>
        <v>Not Active</v>
      </c>
    </row>
    <row r="568" spans="1:5" x14ac:dyDescent="0.25">
      <c r="A568" s="5" t="s">
        <v>1344</v>
      </c>
      <c r="B568" s="7" t="s">
        <v>1345</v>
      </c>
      <c r="C568" s="7" t="s">
        <v>3086</v>
      </c>
      <c r="D568" s="7"/>
      <c r="E568" t="str">
        <f>_xlfn.XLOOKUP(Table2[[#This Row],[RARC CODE]],'New Rarc Code'!A568:A1485,'New Rarc Code'!C568:C1485,"Not Active")</f>
        <v>Not Active</v>
      </c>
    </row>
    <row r="569" spans="1:5" x14ac:dyDescent="0.25">
      <c r="A569" s="5" t="s">
        <v>1346</v>
      </c>
      <c r="B569" s="7" t="s">
        <v>1347</v>
      </c>
      <c r="C569" s="7" t="s">
        <v>3087</v>
      </c>
      <c r="D569" s="7"/>
      <c r="E569" t="str">
        <f>_xlfn.XLOOKUP(Table2[[#This Row],[RARC CODE]],'New Rarc Code'!A569:A1486,'New Rarc Code'!C569:C1486,"Not Active")</f>
        <v>Not Active</v>
      </c>
    </row>
    <row r="570" spans="1:5" x14ac:dyDescent="0.25">
      <c r="A570" s="5" t="s">
        <v>1348</v>
      </c>
      <c r="B570" s="7" t="s">
        <v>1349</v>
      </c>
      <c r="C570" s="7" t="s">
        <v>3088</v>
      </c>
      <c r="D570" s="7"/>
      <c r="E570" t="str">
        <f>_xlfn.XLOOKUP(Table2[[#This Row],[RARC CODE]],'New Rarc Code'!A570:A1487,'New Rarc Code'!C570:C1487,"Not Active")</f>
        <v>Not Active</v>
      </c>
    </row>
    <row r="571" spans="1:5" x14ac:dyDescent="0.25">
      <c r="A571" s="5" t="s">
        <v>675</v>
      </c>
      <c r="B571" s="7" t="s">
        <v>676</v>
      </c>
      <c r="C571" s="7" t="s">
        <v>3089</v>
      </c>
      <c r="D571" s="7"/>
      <c r="E571" t="str">
        <f>_xlfn.XLOOKUP(Table2[[#This Row],[RARC CODE]],'New Rarc Code'!A571:A1488,'New Rarc Code'!C571:C1488,"Not Active")</f>
        <v>Not Active</v>
      </c>
    </row>
    <row r="572" spans="1:5" x14ac:dyDescent="0.25">
      <c r="A572" s="5" t="s">
        <v>1350</v>
      </c>
      <c r="B572" s="7" t="s">
        <v>1351</v>
      </c>
      <c r="C572" s="7" t="s">
        <v>3090</v>
      </c>
      <c r="D572" s="7"/>
      <c r="E572" t="str">
        <f>_xlfn.XLOOKUP(Table2[[#This Row],[RARC CODE]],'New Rarc Code'!A572:A1489,'New Rarc Code'!C572:C1489,"Not Active")</f>
        <v>Not Active</v>
      </c>
    </row>
    <row r="573" spans="1:5" x14ac:dyDescent="0.25">
      <c r="A573" s="5" t="s">
        <v>1352</v>
      </c>
      <c r="B573" s="7" t="s">
        <v>1353</v>
      </c>
      <c r="C573" s="7" t="s">
        <v>3091</v>
      </c>
      <c r="D573" s="7"/>
      <c r="E573" t="str">
        <f>_xlfn.XLOOKUP(Table2[[#This Row],[RARC CODE]],'New Rarc Code'!A573:A1490,'New Rarc Code'!C573:C1490,"Not Active")</f>
        <v>Not Active</v>
      </c>
    </row>
    <row r="574" spans="1:5" x14ac:dyDescent="0.25">
      <c r="A574" s="5" t="s">
        <v>1354</v>
      </c>
      <c r="B574" s="7" t="s">
        <v>1355</v>
      </c>
      <c r="C574" s="7" t="s">
        <v>3092</v>
      </c>
      <c r="D574" s="7"/>
      <c r="E574" t="str">
        <f>_xlfn.XLOOKUP(Table2[[#This Row],[RARC CODE]],'New Rarc Code'!A574:A1491,'New Rarc Code'!C574:C1491,"Not Active")</f>
        <v>Not Active</v>
      </c>
    </row>
    <row r="575" spans="1:5" x14ac:dyDescent="0.25">
      <c r="A575" s="5" t="s">
        <v>1356</v>
      </c>
      <c r="B575" s="7" t="s">
        <v>1357</v>
      </c>
      <c r="C575" s="7" t="s">
        <v>3093</v>
      </c>
      <c r="D575" s="7"/>
      <c r="E575" t="str">
        <f>_xlfn.XLOOKUP(Table2[[#This Row],[RARC CODE]],'New Rarc Code'!A575:A1492,'New Rarc Code'!C575:C1492,"Not Active")</f>
        <v>Not Active</v>
      </c>
    </row>
    <row r="576" spans="1:5" x14ac:dyDescent="0.25">
      <c r="A576" s="5" t="s">
        <v>1358</v>
      </c>
      <c r="B576" s="7" t="s">
        <v>1359</v>
      </c>
      <c r="C576" s="7" t="s">
        <v>3094</v>
      </c>
      <c r="D576" s="7"/>
      <c r="E576" t="str">
        <f>_xlfn.XLOOKUP(Table2[[#This Row],[RARC CODE]],'New Rarc Code'!A576:A1493,'New Rarc Code'!C576:C1493,"Not Active")</f>
        <v>Not Active</v>
      </c>
    </row>
    <row r="577" spans="1:5" x14ac:dyDescent="0.25">
      <c r="A577" s="5" t="s">
        <v>1360</v>
      </c>
      <c r="B577" s="7" t="s">
        <v>1361</v>
      </c>
      <c r="C577" s="7" t="s">
        <v>3095</v>
      </c>
      <c r="D577" s="7"/>
      <c r="E577" t="str">
        <f>_xlfn.XLOOKUP(Table2[[#This Row],[RARC CODE]],'New Rarc Code'!A577:A1494,'New Rarc Code'!C577:C1494,"Not Active")</f>
        <v>Not Active</v>
      </c>
    </row>
    <row r="578" spans="1:5" x14ac:dyDescent="0.25">
      <c r="A578" s="5" t="s">
        <v>1362</v>
      </c>
      <c r="B578" s="7" t="s">
        <v>1363</v>
      </c>
      <c r="C578" s="7" t="s">
        <v>3096</v>
      </c>
      <c r="D578" s="7"/>
      <c r="E578" t="str">
        <f>_xlfn.XLOOKUP(Table2[[#This Row],[RARC CODE]],'New Rarc Code'!A578:A1495,'New Rarc Code'!C578:C1495,"Not Active")</f>
        <v>Not Active</v>
      </c>
    </row>
    <row r="579" spans="1:5" x14ac:dyDescent="0.25">
      <c r="A579" s="5" t="s">
        <v>1364</v>
      </c>
      <c r="B579" s="7" t="s">
        <v>1365</v>
      </c>
      <c r="C579" s="7" t="s">
        <v>3097</v>
      </c>
      <c r="D579" s="7"/>
      <c r="E579" t="str">
        <f>_xlfn.XLOOKUP(Table2[[#This Row],[RARC CODE]],'New Rarc Code'!A579:A1496,'New Rarc Code'!C579:C1496,"Not Active")</f>
        <v>Not Active</v>
      </c>
    </row>
    <row r="580" spans="1:5" x14ac:dyDescent="0.25">
      <c r="A580" s="5" t="s">
        <v>1366</v>
      </c>
      <c r="B580" s="7" t="s">
        <v>1367</v>
      </c>
      <c r="C580" s="7" t="s">
        <v>3098</v>
      </c>
      <c r="D580" s="7" t="s">
        <v>3694</v>
      </c>
      <c r="E580" t="str">
        <f>_xlfn.XLOOKUP(Table2[[#This Row],[RARC CODE]],'New Rarc Code'!A580:A1497,'New Rarc Code'!C580:C1497,"Not Active")</f>
        <v>Not Active</v>
      </c>
    </row>
    <row r="581" spans="1:5" x14ac:dyDescent="0.25">
      <c r="A581" s="5" t="s">
        <v>1368</v>
      </c>
      <c r="B581" s="7" t="s">
        <v>1369</v>
      </c>
      <c r="C581" s="7" t="s">
        <v>3099</v>
      </c>
      <c r="D581" s="7"/>
      <c r="E581" t="str">
        <f>_xlfn.XLOOKUP(Table2[[#This Row],[RARC CODE]],'New Rarc Code'!A581:A1498,'New Rarc Code'!C581:C1498,"Not Active")</f>
        <v>Not Active</v>
      </c>
    </row>
    <row r="582" spans="1:5" x14ac:dyDescent="0.25">
      <c r="A582" s="5" t="s">
        <v>677</v>
      </c>
      <c r="B582" s="7" t="s">
        <v>678</v>
      </c>
      <c r="C582" s="7" t="s">
        <v>3100</v>
      </c>
      <c r="D582" s="7"/>
      <c r="E582" t="str">
        <f>_xlfn.XLOOKUP(Table2[[#This Row],[RARC CODE]],'New Rarc Code'!A582:A1499,'New Rarc Code'!C582:C1499,"Not Active")</f>
        <v>Not Active</v>
      </c>
    </row>
    <row r="583" spans="1:5" x14ac:dyDescent="0.25">
      <c r="A583" s="5" t="s">
        <v>1370</v>
      </c>
      <c r="B583" s="7" t="s">
        <v>1371</v>
      </c>
      <c r="C583" s="7" t="s">
        <v>3101</v>
      </c>
      <c r="D583" s="7"/>
      <c r="E583" t="str">
        <f>_xlfn.XLOOKUP(Table2[[#This Row],[RARC CODE]],'New Rarc Code'!A583:A1500,'New Rarc Code'!C583:C1500,"Not Active")</f>
        <v>Not Active</v>
      </c>
    </row>
    <row r="584" spans="1:5" x14ac:dyDescent="0.25">
      <c r="A584" s="5" t="s">
        <v>1372</v>
      </c>
      <c r="B584" s="7" t="s">
        <v>1373</v>
      </c>
      <c r="C584" s="7" t="s">
        <v>3102</v>
      </c>
      <c r="D584" s="7" t="s">
        <v>3694</v>
      </c>
      <c r="E584" t="str">
        <f>_xlfn.XLOOKUP(Table2[[#This Row],[RARC CODE]],'New Rarc Code'!A584:A1501,'New Rarc Code'!C584:C1501,"Not Active")</f>
        <v>Not Active</v>
      </c>
    </row>
    <row r="585" spans="1:5" x14ac:dyDescent="0.25">
      <c r="A585" s="5" t="s">
        <v>1374</v>
      </c>
      <c r="B585" s="8" t="s">
        <v>2309</v>
      </c>
      <c r="C585" s="8" t="s">
        <v>3103</v>
      </c>
      <c r="D585" s="8"/>
      <c r="E585" t="str">
        <f>_xlfn.XLOOKUP(Table2[[#This Row],[RARC CODE]],'New Rarc Code'!A585:A1502,'New Rarc Code'!C585:C1502,"Not Active")</f>
        <v>Not Active</v>
      </c>
    </row>
    <row r="586" spans="1:5" x14ac:dyDescent="0.25">
      <c r="A586" s="5" t="s">
        <v>1375</v>
      </c>
      <c r="B586" s="7" t="s">
        <v>1376</v>
      </c>
      <c r="C586" s="7" t="s">
        <v>3104</v>
      </c>
      <c r="D586" s="7"/>
      <c r="E586" t="str">
        <f>_xlfn.XLOOKUP(Table2[[#This Row],[RARC CODE]],'New Rarc Code'!A586:A1503,'New Rarc Code'!C586:C1503,"Not Active")</f>
        <v>Not Active</v>
      </c>
    </row>
    <row r="587" spans="1:5" x14ac:dyDescent="0.25">
      <c r="A587" s="5" t="s">
        <v>1377</v>
      </c>
      <c r="B587" s="7" t="s">
        <v>1378</v>
      </c>
      <c r="C587" s="7" t="s">
        <v>3105</v>
      </c>
      <c r="D587" s="7"/>
      <c r="E587" t="str">
        <f>_xlfn.XLOOKUP(Table2[[#This Row],[RARC CODE]],'New Rarc Code'!A587:A1504,'New Rarc Code'!C587:C1504,"Not Active")</f>
        <v>Not Active</v>
      </c>
    </row>
    <row r="588" spans="1:5" x14ac:dyDescent="0.25">
      <c r="A588" s="5" t="s">
        <v>1379</v>
      </c>
      <c r="B588" s="7" t="s">
        <v>1380</v>
      </c>
      <c r="C588" s="7" t="s">
        <v>3106</v>
      </c>
      <c r="D588" s="7"/>
      <c r="E588" t="str">
        <f>_xlfn.XLOOKUP(Table2[[#This Row],[RARC CODE]],'New Rarc Code'!A588:A1505,'New Rarc Code'!C588:C1505,"Not Active")</f>
        <v>Not Active</v>
      </c>
    </row>
    <row r="589" spans="1:5" x14ac:dyDescent="0.25">
      <c r="A589" s="5" t="s">
        <v>1381</v>
      </c>
      <c r="B589" s="7" t="s">
        <v>1382</v>
      </c>
      <c r="C589" s="7" t="s">
        <v>3107</v>
      </c>
      <c r="D589" s="7"/>
      <c r="E589" t="str">
        <f>_xlfn.XLOOKUP(Table2[[#This Row],[RARC CODE]],'New Rarc Code'!A589:A1506,'New Rarc Code'!C589:C1506,"Not Active")</f>
        <v>Not Active</v>
      </c>
    </row>
    <row r="590" spans="1:5" x14ac:dyDescent="0.25">
      <c r="A590" s="5" t="s">
        <v>1383</v>
      </c>
      <c r="B590" s="8" t="s">
        <v>2310</v>
      </c>
      <c r="C590" s="8" t="s">
        <v>3108</v>
      </c>
      <c r="D590" s="8"/>
      <c r="E590" t="str">
        <f>_xlfn.XLOOKUP(Table2[[#This Row],[RARC CODE]],'New Rarc Code'!A590:A1507,'New Rarc Code'!C590:C1507,"Not Active")</f>
        <v>Not Active</v>
      </c>
    </row>
    <row r="591" spans="1:5" x14ac:dyDescent="0.25">
      <c r="A591" s="5" t="s">
        <v>1384</v>
      </c>
      <c r="B591" s="7" t="s">
        <v>1385</v>
      </c>
      <c r="C591" s="7" t="s">
        <v>3109</v>
      </c>
      <c r="D591" s="7"/>
      <c r="E591" t="str">
        <f>_xlfn.XLOOKUP(Table2[[#This Row],[RARC CODE]],'New Rarc Code'!A591:A1508,'New Rarc Code'!C591:C1508,"Not Active")</f>
        <v>Not Active</v>
      </c>
    </row>
    <row r="592" spans="1:5" x14ac:dyDescent="0.25">
      <c r="A592" s="5" t="s">
        <v>1386</v>
      </c>
      <c r="B592" s="7" t="s">
        <v>1387</v>
      </c>
      <c r="C592" s="7" t="s">
        <v>3110</v>
      </c>
      <c r="D592" s="7"/>
      <c r="E592" t="str">
        <f>_xlfn.XLOOKUP(Table2[[#This Row],[RARC CODE]],'New Rarc Code'!A592:A1509,'New Rarc Code'!C592:C1509,"Not Active")</f>
        <v>Not Active</v>
      </c>
    </row>
    <row r="593" spans="1:5" x14ac:dyDescent="0.25">
      <c r="A593" s="5" t="s">
        <v>1388</v>
      </c>
      <c r="B593" s="7" t="s">
        <v>1389</v>
      </c>
      <c r="C593" s="7" t="s">
        <v>3111</v>
      </c>
      <c r="D593" s="7"/>
      <c r="E593" t="str">
        <f>_xlfn.XLOOKUP(Table2[[#This Row],[RARC CODE]],'New Rarc Code'!A593:A1510,'New Rarc Code'!C593:C1510,"Not Active")</f>
        <v>Not Active</v>
      </c>
    </row>
    <row r="594" spans="1:5" x14ac:dyDescent="0.25">
      <c r="A594" s="5" t="s">
        <v>1390</v>
      </c>
      <c r="B594" s="7" t="s">
        <v>1391</v>
      </c>
      <c r="C594" s="7" t="s">
        <v>3112</v>
      </c>
      <c r="D594" s="7"/>
      <c r="E594" t="str">
        <f>_xlfn.XLOOKUP(Table2[[#This Row],[RARC CODE]],'New Rarc Code'!A594:A1511,'New Rarc Code'!C594:C1511,"Not Active")</f>
        <v>Not Active</v>
      </c>
    </row>
    <row r="595" spans="1:5" x14ac:dyDescent="0.25">
      <c r="A595" s="5" t="s">
        <v>1392</v>
      </c>
      <c r="B595" s="7" t="s">
        <v>1393</v>
      </c>
      <c r="C595" s="7" t="s">
        <v>3113</v>
      </c>
      <c r="D595" s="7"/>
      <c r="E595" t="str">
        <f>_xlfn.XLOOKUP(Table2[[#This Row],[RARC CODE]],'New Rarc Code'!A595:A1512,'New Rarc Code'!C595:C1512,"Not Active")</f>
        <v>Not Active</v>
      </c>
    </row>
    <row r="596" spans="1:5" x14ac:dyDescent="0.25">
      <c r="A596" s="5" t="s">
        <v>1394</v>
      </c>
      <c r="B596" s="7" t="s">
        <v>1395</v>
      </c>
      <c r="C596" s="7" t="s">
        <v>3114</v>
      </c>
      <c r="D596" s="7"/>
      <c r="E596" t="str">
        <f>_xlfn.XLOOKUP(Table2[[#This Row],[RARC CODE]],'New Rarc Code'!A596:A1513,'New Rarc Code'!C596:C1513,"Not Active")</f>
        <v>Not Active</v>
      </c>
    </row>
    <row r="597" spans="1:5" x14ac:dyDescent="0.25">
      <c r="A597" s="5" t="s">
        <v>1396</v>
      </c>
      <c r="B597" s="8" t="s">
        <v>2311</v>
      </c>
      <c r="C597" s="8" t="s">
        <v>3115</v>
      </c>
      <c r="D597" s="8"/>
      <c r="E597" t="str">
        <f>_xlfn.XLOOKUP(Table2[[#This Row],[RARC CODE]],'New Rarc Code'!A597:A1514,'New Rarc Code'!C597:C1514,"Not Active")</f>
        <v>Not Active</v>
      </c>
    </row>
    <row r="598" spans="1:5" x14ac:dyDescent="0.25">
      <c r="A598" s="5" t="s">
        <v>1397</v>
      </c>
      <c r="B598" s="7" t="s">
        <v>1398</v>
      </c>
      <c r="C598" s="7" t="s">
        <v>3116</v>
      </c>
      <c r="D598" s="7"/>
      <c r="E598" t="str">
        <f>_xlfn.XLOOKUP(Table2[[#This Row],[RARC CODE]],'New Rarc Code'!A598:A1515,'New Rarc Code'!C598:C1515,"Not Active")</f>
        <v>Not Active</v>
      </c>
    </row>
    <row r="599" spans="1:5" x14ac:dyDescent="0.25">
      <c r="A599" s="5" t="s">
        <v>1399</v>
      </c>
      <c r="B599" s="7" t="s">
        <v>1400</v>
      </c>
      <c r="C599" s="7" t="s">
        <v>3117</v>
      </c>
      <c r="D599" s="7"/>
      <c r="E599" t="str">
        <f>_xlfn.XLOOKUP(Table2[[#This Row],[RARC CODE]],'New Rarc Code'!A599:A1516,'New Rarc Code'!C599:C1516,"Not Active")</f>
        <v>Not Active</v>
      </c>
    </row>
    <row r="600" spans="1:5" x14ac:dyDescent="0.25">
      <c r="A600" s="5" t="s">
        <v>1401</v>
      </c>
      <c r="B600" s="7" t="s">
        <v>1402</v>
      </c>
      <c r="C600" s="7" t="s">
        <v>3118</v>
      </c>
      <c r="D600" s="7"/>
      <c r="E600" t="str">
        <f>_xlfn.XLOOKUP(Table2[[#This Row],[RARC CODE]],'New Rarc Code'!A600:A1517,'New Rarc Code'!C600:C1517,"Not Active")</f>
        <v>Not Active</v>
      </c>
    </row>
    <row r="601" spans="1:5" x14ac:dyDescent="0.25">
      <c r="A601" s="5" t="s">
        <v>1403</v>
      </c>
      <c r="B601" s="7" t="s">
        <v>1404</v>
      </c>
      <c r="C601" s="7" t="s">
        <v>3119</v>
      </c>
      <c r="D601" s="7"/>
      <c r="E601" t="str">
        <f>_xlfn.XLOOKUP(Table2[[#This Row],[RARC CODE]],'New Rarc Code'!A601:A1518,'New Rarc Code'!C601:C1518,"Not Active")</f>
        <v>Not Active</v>
      </c>
    </row>
    <row r="602" spans="1:5" x14ac:dyDescent="0.25">
      <c r="A602" s="5" t="s">
        <v>1405</v>
      </c>
      <c r="B602" s="7" t="s">
        <v>1406</v>
      </c>
      <c r="C602" s="7" t="s">
        <v>3120</v>
      </c>
      <c r="D602" s="7"/>
      <c r="E602" t="str">
        <f>_xlfn.XLOOKUP(Table2[[#This Row],[RARC CODE]],'New Rarc Code'!A602:A1519,'New Rarc Code'!C602:C1519,"Not Active")</f>
        <v>Not Active</v>
      </c>
    </row>
    <row r="603" spans="1:5" x14ac:dyDescent="0.25">
      <c r="A603" s="5" t="s">
        <v>679</v>
      </c>
      <c r="B603" s="7" t="s">
        <v>680</v>
      </c>
      <c r="C603" s="7" t="s">
        <v>3121</v>
      </c>
      <c r="D603" s="7" t="s">
        <v>3709</v>
      </c>
      <c r="E603" t="str">
        <f>_xlfn.XLOOKUP(Table2[[#This Row],[RARC CODE]],'New Rarc Code'!A603:A1520,'New Rarc Code'!C603:C1520,"Not Active")</f>
        <v>Not Active</v>
      </c>
    </row>
    <row r="604" spans="1:5" x14ac:dyDescent="0.25">
      <c r="A604" s="5" t="s">
        <v>1407</v>
      </c>
      <c r="B604" s="7" t="s">
        <v>1408</v>
      </c>
      <c r="C604" s="7" t="s">
        <v>3122</v>
      </c>
      <c r="D604" s="7"/>
      <c r="E604" t="str">
        <f>_xlfn.XLOOKUP(Table2[[#This Row],[RARC CODE]],'New Rarc Code'!A604:A1521,'New Rarc Code'!C604:C1521,"Not Active")</f>
        <v>Not Active</v>
      </c>
    </row>
    <row r="605" spans="1:5" x14ac:dyDescent="0.25">
      <c r="A605" s="5" t="s">
        <v>1409</v>
      </c>
      <c r="B605" s="7" t="s">
        <v>1410</v>
      </c>
      <c r="C605" s="7" t="s">
        <v>3123</v>
      </c>
      <c r="D605" s="7"/>
      <c r="E605" t="str">
        <f>_xlfn.XLOOKUP(Table2[[#This Row],[RARC CODE]],'New Rarc Code'!A605:A1522,'New Rarc Code'!C605:C1522,"Not Active")</f>
        <v>Not Active</v>
      </c>
    </row>
    <row r="606" spans="1:5" x14ac:dyDescent="0.25">
      <c r="A606" s="5" t="s">
        <v>1411</v>
      </c>
      <c r="B606" s="7" t="s">
        <v>1412</v>
      </c>
      <c r="C606" s="7" t="s">
        <v>3124</v>
      </c>
      <c r="D606" s="7"/>
      <c r="E606" t="str">
        <f>_xlfn.XLOOKUP(Table2[[#This Row],[RARC CODE]],'New Rarc Code'!A606:A1523,'New Rarc Code'!C606:C1523,"Not Active")</f>
        <v>Not Active</v>
      </c>
    </row>
    <row r="607" spans="1:5" x14ac:dyDescent="0.25">
      <c r="A607" s="5" t="s">
        <v>1413</v>
      </c>
      <c r="B607" s="7" t="s">
        <v>1414</v>
      </c>
      <c r="C607" s="7" t="s">
        <v>3125</v>
      </c>
      <c r="D607" s="7"/>
      <c r="E607" t="str">
        <f>_xlfn.XLOOKUP(Table2[[#This Row],[RARC CODE]],'New Rarc Code'!A607:A1524,'New Rarc Code'!C607:C1524,"Not Active")</f>
        <v>Not Active</v>
      </c>
    </row>
    <row r="608" spans="1:5" x14ac:dyDescent="0.25">
      <c r="A608" s="5" t="s">
        <v>1415</v>
      </c>
      <c r="B608" s="7" t="s">
        <v>1416</v>
      </c>
      <c r="C608" s="7" t="s">
        <v>3126</v>
      </c>
      <c r="D608" s="7"/>
      <c r="E608" t="str">
        <f>_xlfn.XLOOKUP(Table2[[#This Row],[RARC CODE]],'New Rarc Code'!A608:A1525,'New Rarc Code'!C608:C1525,"Not Active")</f>
        <v>Not Active</v>
      </c>
    </row>
    <row r="609" spans="1:5" x14ac:dyDescent="0.25">
      <c r="A609" s="5" t="s">
        <v>1417</v>
      </c>
      <c r="B609" s="7" t="s">
        <v>1418</v>
      </c>
      <c r="C609" s="7" t="s">
        <v>3127</v>
      </c>
      <c r="D609" s="7"/>
      <c r="E609" t="str">
        <f>_xlfn.XLOOKUP(Table2[[#This Row],[RARC CODE]],'New Rarc Code'!A609:A1526,'New Rarc Code'!C609:C1526,"Not Active")</f>
        <v>Not Active</v>
      </c>
    </row>
    <row r="610" spans="1:5" x14ac:dyDescent="0.25">
      <c r="A610" s="5" t="s">
        <v>1419</v>
      </c>
      <c r="B610" s="7" t="s">
        <v>1420</v>
      </c>
      <c r="C610" s="7" t="s">
        <v>3128</v>
      </c>
      <c r="D610" s="7"/>
      <c r="E610" t="str">
        <f>_xlfn.XLOOKUP(Table2[[#This Row],[RARC CODE]],'New Rarc Code'!A610:A1527,'New Rarc Code'!C610:C1527,"Not Active")</f>
        <v>Not Active</v>
      </c>
    </row>
    <row r="611" spans="1:5" x14ac:dyDescent="0.25">
      <c r="A611" s="5" t="s">
        <v>1421</v>
      </c>
      <c r="B611" s="7" t="s">
        <v>1422</v>
      </c>
      <c r="C611" s="7" t="s">
        <v>3129</v>
      </c>
      <c r="D611" s="7"/>
      <c r="E611" t="str">
        <f>_xlfn.XLOOKUP(Table2[[#This Row],[RARC CODE]],'New Rarc Code'!A611:A1528,'New Rarc Code'!C611:C1528,"Not Active")</f>
        <v>Not Active</v>
      </c>
    </row>
    <row r="612" spans="1:5" x14ac:dyDescent="0.25">
      <c r="A612" s="5" t="s">
        <v>1423</v>
      </c>
      <c r="B612" s="7" t="s">
        <v>1424</v>
      </c>
      <c r="C612" s="7" t="s">
        <v>3130</v>
      </c>
      <c r="D612" s="7"/>
      <c r="E612" t="str">
        <f>_xlfn.XLOOKUP(Table2[[#This Row],[RARC CODE]],'New Rarc Code'!A612:A1529,'New Rarc Code'!C612:C1529,"Not Active")</f>
        <v>Not Active</v>
      </c>
    </row>
    <row r="613" spans="1:5" x14ac:dyDescent="0.25">
      <c r="A613" s="5" t="s">
        <v>1425</v>
      </c>
      <c r="B613" s="7" t="s">
        <v>1426</v>
      </c>
      <c r="C613" s="7" t="s">
        <v>3131</v>
      </c>
      <c r="D613" s="7"/>
      <c r="E613" t="str">
        <f>_xlfn.XLOOKUP(Table2[[#This Row],[RARC CODE]],'New Rarc Code'!A613:A1530,'New Rarc Code'!C613:C1530,"Not Active")</f>
        <v>Not Active</v>
      </c>
    </row>
    <row r="614" spans="1:5" x14ac:dyDescent="0.25">
      <c r="A614" s="5" t="s">
        <v>681</v>
      </c>
      <c r="B614" s="7" t="s">
        <v>682</v>
      </c>
      <c r="C614" s="7" t="s">
        <v>3132</v>
      </c>
      <c r="D614" s="7"/>
      <c r="E614" t="str">
        <f>_xlfn.XLOOKUP(Table2[[#This Row],[RARC CODE]],'New Rarc Code'!A614:A1531,'New Rarc Code'!C614:C1531,"Not Active")</f>
        <v>Not Active</v>
      </c>
    </row>
    <row r="615" spans="1:5" x14ac:dyDescent="0.25">
      <c r="A615" s="5" t="s">
        <v>1427</v>
      </c>
      <c r="B615" s="7" t="s">
        <v>1428</v>
      </c>
      <c r="C615" s="7" t="s">
        <v>3133</v>
      </c>
      <c r="D615" s="7"/>
      <c r="E615" t="str">
        <f>_xlfn.XLOOKUP(Table2[[#This Row],[RARC CODE]],'New Rarc Code'!A615:A1532,'New Rarc Code'!C615:C1532,"Not Active")</f>
        <v>Not Active</v>
      </c>
    </row>
    <row r="616" spans="1:5" x14ac:dyDescent="0.25">
      <c r="A616" s="5" t="s">
        <v>1429</v>
      </c>
      <c r="B616" s="7" t="s">
        <v>1430</v>
      </c>
      <c r="C616" s="7" t="s">
        <v>3134</v>
      </c>
      <c r="D616" s="7"/>
      <c r="E616" t="str">
        <f>_xlfn.XLOOKUP(Table2[[#This Row],[RARC CODE]],'New Rarc Code'!A616:A1533,'New Rarc Code'!C616:C1533,"Not Active")</f>
        <v>Not Active</v>
      </c>
    </row>
    <row r="617" spans="1:5" x14ac:dyDescent="0.25">
      <c r="A617" s="5" t="s">
        <v>1431</v>
      </c>
      <c r="B617" s="7" t="s">
        <v>1432</v>
      </c>
      <c r="C617" s="7" t="s">
        <v>3135</v>
      </c>
      <c r="D617" s="7"/>
      <c r="E617" t="str">
        <f>_xlfn.XLOOKUP(Table2[[#This Row],[RARC CODE]],'New Rarc Code'!A617:A1534,'New Rarc Code'!C617:C1534,"Not Active")</f>
        <v>Not Active</v>
      </c>
    </row>
    <row r="618" spans="1:5" x14ac:dyDescent="0.25">
      <c r="A618" s="5" t="s">
        <v>1433</v>
      </c>
      <c r="B618" s="7" t="s">
        <v>1434</v>
      </c>
      <c r="C618" s="7" t="s">
        <v>3136</v>
      </c>
      <c r="D618" s="7"/>
      <c r="E618" t="str">
        <f>_xlfn.XLOOKUP(Table2[[#This Row],[RARC CODE]],'New Rarc Code'!A618:A1535,'New Rarc Code'!C618:C1535,"Not Active")</f>
        <v>Not Active</v>
      </c>
    </row>
    <row r="619" spans="1:5" x14ac:dyDescent="0.25">
      <c r="A619" s="5" t="s">
        <v>1435</v>
      </c>
      <c r="B619" s="7" t="s">
        <v>1436</v>
      </c>
      <c r="C619" s="7" t="s">
        <v>3137</v>
      </c>
      <c r="D619" s="7"/>
      <c r="E619" t="str">
        <f>_xlfn.XLOOKUP(Table2[[#This Row],[RARC CODE]],'New Rarc Code'!A619:A1536,'New Rarc Code'!C619:C1536,"Not Active")</f>
        <v>Not Active</v>
      </c>
    </row>
    <row r="620" spans="1:5" x14ac:dyDescent="0.25">
      <c r="A620" s="5" t="s">
        <v>1437</v>
      </c>
      <c r="B620" s="7" t="s">
        <v>1438</v>
      </c>
      <c r="C620" s="7" t="s">
        <v>3138</v>
      </c>
      <c r="D620" s="7"/>
      <c r="E620" t="str">
        <f>_xlfn.XLOOKUP(Table2[[#This Row],[RARC CODE]],'New Rarc Code'!A620:A1537,'New Rarc Code'!C620:C1537,"Not Active")</f>
        <v>Not Active</v>
      </c>
    </row>
    <row r="621" spans="1:5" x14ac:dyDescent="0.25">
      <c r="A621" s="5" t="s">
        <v>1439</v>
      </c>
      <c r="B621" s="7" t="s">
        <v>1440</v>
      </c>
      <c r="C621" s="7" t="s">
        <v>3139</v>
      </c>
      <c r="D621" s="7"/>
      <c r="E621" t="str">
        <f>_xlfn.XLOOKUP(Table2[[#This Row],[RARC CODE]],'New Rarc Code'!A621:A1538,'New Rarc Code'!C621:C1538,"Not Active")</f>
        <v>Not Active</v>
      </c>
    </row>
    <row r="622" spans="1:5" x14ac:dyDescent="0.25">
      <c r="A622" s="5" t="s">
        <v>1441</v>
      </c>
      <c r="B622" s="7" t="s">
        <v>1442</v>
      </c>
      <c r="C622" s="7" t="s">
        <v>3140</v>
      </c>
      <c r="D622" s="7"/>
      <c r="E622" t="str">
        <f>_xlfn.XLOOKUP(Table2[[#This Row],[RARC CODE]],'New Rarc Code'!A622:A1539,'New Rarc Code'!C622:C1539,"Not Active")</f>
        <v>Not Active</v>
      </c>
    </row>
    <row r="623" spans="1:5" x14ac:dyDescent="0.25">
      <c r="A623" s="5" t="s">
        <v>1443</v>
      </c>
      <c r="B623" s="7" t="s">
        <v>1444</v>
      </c>
      <c r="C623" s="7" t="s">
        <v>3141</v>
      </c>
      <c r="D623" s="7"/>
      <c r="E623" t="str">
        <f>_xlfn.XLOOKUP(Table2[[#This Row],[RARC CODE]],'New Rarc Code'!A623:A1540,'New Rarc Code'!C623:C1540,"Not Active")</f>
        <v>Not Active</v>
      </c>
    </row>
    <row r="624" spans="1:5" x14ac:dyDescent="0.25">
      <c r="A624" s="5" t="s">
        <v>1445</v>
      </c>
      <c r="B624" s="8" t="s">
        <v>2312</v>
      </c>
      <c r="C624" s="8" t="s">
        <v>3142</v>
      </c>
      <c r="D624" s="8"/>
      <c r="E624" t="str">
        <f>_xlfn.XLOOKUP(Table2[[#This Row],[RARC CODE]],'New Rarc Code'!A624:A1541,'New Rarc Code'!C624:C1541,"Not Active")</f>
        <v>Not Active</v>
      </c>
    </row>
    <row r="625" spans="1:5" x14ac:dyDescent="0.25">
      <c r="A625" s="5" t="s">
        <v>683</v>
      </c>
      <c r="B625" s="7" t="s">
        <v>684</v>
      </c>
      <c r="C625" s="7" t="s">
        <v>3143</v>
      </c>
      <c r="D625" s="7"/>
      <c r="E625" t="str">
        <f>_xlfn.XLOOKUP(Table2[[#This Row],[RARC CODE]],'New Rarc Code'!A625:A1542,'New Rarc Code'!C625:C1542,"Not Active")</f>
        <v>Not Active</v>
      </c>
    </row>
    <row r="626" spans="1:5" x14ac:dyDescent="0.25">
      <c r="A626" s="5" t="s">
        <v>1446</v>
      </c>
      <c r="B626" s="7" t="s">
        <v>1447</v>
      </c>
      <c r="C626" s="7" t="s">
        <v>3144</v>
      </c>
      <c r="D626" s="7"/>
      <c r="E626" t="str">
        <f>_xlfn.XLOOKUP(Table2[[#This Row],[RARC CODE]],'New Rarc Code'!A626:A1543,'New Rarc Code'!C626:C1543,"Not Active")</f>
        <v>Not Active</v>
      </c>
    </row>
    <row r="627" spans="1:5" x14ac:dyDescent="0.25">
      <c r="A627" s="5" t="s">
        <v>1448</v>
      </c>
      <c r="B627" s="7" t="s">
        <v>1449</v>
      </c>
      <c r="C627" s="7" t="s">
        <v>3145</v>
      </c>
      <c r="D627" s="7"/>
      <c r="E627" t="str">
        <f>_xlfn.XLOOKUP(Table2[[#This Row],[RARC CODE]],'New Rarc Code'!A627:A1544,'New Rarc Code'!C627:C1544,"Not Active")</f>
        <v>Not Active</v>
      </c>
    </row>
    <row r="628" spans="1:5" x14ac:dyDescent="0.25">
      <c r="A628" s="5" t="s">
        <v>1450</v>
      </c>
      <c r="B628" s="7" t="s">
        <v>1451</v>
      </c>
      <c r="C628" s="7" t="s">
        <v>3146</v>
      </c>
      <c r="D628" s="7"/>
      <c r="E628" t="str">
        <f>_xlfn.XLOOKUP(Table2[[#This Row],[RARC CODE]],'New Rarc Code'!A628:A1545,'New Rarc Code'!C628:C1545,"Not Active")</f>
        <v>Not Active</v>
      </c>
    </row>
    <row r="629" spans="1:5" x14ac:dyDescent="0.25">
      <c r="A629" s="5" t="s">
        <v>1452</v>
      </c>
      <c r="B629" s="7" t="s">
        <v>1453</v>
      </c>
      <c r="C629" s="7" t="s">
        <v>3147</v>
      </c>
      <c r="D629" s="7"/>
      <c r="E629" t="str">
        <f>_xlfn.XLOOKUP(Table2[[#This Row],[RARC CODE]],'New Rarc Code'!A629:A1546,'New Rarc Code'!C629:C1546,"Not Active")</f>
        <v>Not Active</v>
      </c>
    </row>
    <row r="630" spans="1:5" x14ac:dyDescent="0.25">
      <c r="A630" s="5" t="s">
        <v>1454</v>
      </c>
      <c r="B630" s="7" t="s">
        <v>1455</v>
      </c>
      <c r="C630" s="7" t="s">
        <v>3148</v>
      </c>
      <c r="D630" s="7"/>
      <c r="E630" t="str">
        <f>_xlfn.XLOOKUP(Table2[[#This Row],[RARC CODE]],'New Rarc Code'!A630:A1547,'New Rarc Code'!C630:C1547,"Not Active")</f>
        <v>Not Active</v>
      </c>
    </row>
    <row r="631" spans="1:5" x14ac:dyDescent="0.25">
      <c r="A631" s="5" t="s">
        <v>1456</v>
      </c>
      <c r="B631" s="7" t="s">
        <v>1457</v>
      </c>
      <c r="C631" s="7" t="s">
        <v>3149</v>
      </c>
      <c r="D631" s="7"/>
      <c r="E631" t="str">
        <f>_xlfn.XLOOKUP(Table2[[#This Row],[RARC CODE]],'New Rarc Code'!A631:A1548,'New Rarc Code'!C631:C1548,"Not Active")</f>
        <v>Not Active</v>
      </c>
    </row>
    <row r="632" spans="1:5" x14ac:dyDescent="0.25">
      <c r="A632" s="5" t="s">
        <v>1458</v>
      </c>
      <c r="B632" s="7" t="s">
        <v>1459</v>
      </c>
      <c r="C632" s="7" t="s">
        <v>3150</v>
      </c>
      <c r="D632" s="7"/>
      <c r="E632" t="str">
        <f>_xlfn.XLOOKUP(Table2[[#This Row],[RARC CODE]],'New Rarc Code'!A632:A1549,'New Rarc Code'!C632:C1549,"Not Active")</f>
        <v>Not Active</v>
      </c>
    </row>
    <row r="633" spans="1:5" x14ac:dyDescent="0.25">
      <c r="A633" s="5" t="s">
        <v>1460</v>
      </c>
      <c r="B633" s="7" t="s">
        <v>1461</v>
      </c>
      <c r="C633" s="7" t="s">
        <v>3151</v>
      </c>
      <c r="D633" s="7"/>
      <c r="E633" t="str">
        <f>_xlfn.XLOOKUP(Table2[[#This Row],[RARC CODE]],'New Rarc Code'!A633:A1550,'New Rarc Code'!C633:C1550,"Not Active")</f>
        <v>Not Active</v>
      </c>
    </row>
    <row r="634" spans="1:5" x14ac:dyDescent="0.25">
      <c r="A634" s="5" t="s">
        <v>1462</v>
      </c>
      <c r="B634" s="7" t="s">
        <v>1463</v>
      </c>
      <c r="C634" s="7" t="s">
        <v>3152</v>
      </c>
      <c r="D634" s="7"/>
      <c r="E634" t="str">
        <f>_xlfn.XLOOKUP(Table2[[#This Row],[RARC CODE]],'New Rarc Code'!A634:A1551,'New Rarc Code'!C634:C1551,"Not Active")</f>
        <v>Not Active</v>
      </c>
    </row>
    <row r="635" spans="1:5" x14ac:dyDescent="0.25">
      <c r="A635" s="5" t="s">
        <v>1464</v>
      </c>
      <c r="B635" s="7" t="s">
        <v>1465</v>
      </c>
      <c r="C635" s="7" t="s">
        <v>3153</v>
      </c>
      <c r="D635" s="7"/>
      <c r="E635" t="str">
        <f>_xlfn.XLOOKUP(Table2[[#This Row],[RARC CODE]],'New Rarc Code'!A635:A1552,'New Rarc Code'!C635:C1552,"Not Active")</f>
        <v>Not Active</v>
      </c>
    </row>
    <row r="636" spans="1:5" x14ac:dyDescent="0.25">
      <c r="A636" s="5" t="s">
        <v>685</v>
      </c>
      <c r="B636" s="7" t="s">
        <v>686</v>
      </c>
      <c r="C636" s="7" t="s">
        <v>3154</v>
      </c>
      <c r="D636" s="7"/>
      <c r="E636" t="str">
        <f>_xlfn.XLOOKUP(Table2[[#This Row],[RARC CODE]],'New Rarc Code'!A636:A1553,'New Rarc Code'!C636:C1553,"Not Active")</f>
        <v>Not Active</v>
      </c>
    </row>
    <row r="637" spans="1:5" x14ac:dyDescent="0.25">
      <c r="A637" s="5" t="s">
        <v>1466</v>
      </c>
      <c r="B637" s="7" t="s">
        <v>1467</v>
      </c>
      <c r="C637" s="7" t="s">
        <v>3155</v>
      </c>
      <c r="D637" s="7"/>
      <c r="E637" t="str">
        <f>_xlfn.XLOOKUP(Table2[[#This Row],[RARC CODE]],'New Rarc Code'!A637:A1554,'New Rarc Code'!C637:C1554,"Not Active")</f>
        <v>Not Active</v>
      </c>
    </row>
    <row r="638" spans="1:5" x14ac:dyDescent="0.25">
      <c r="A638" s="5" t="s">
        <v>1468</v>
      </c>
      <c r="B638" s="7" t="s">
        <v>1469</v>
      </c>
      <c r="C638" s="7" t="s">
        <v>3156</v>
      </c>
      <c r="D638" s="7"/>
      <c r="E638" t="str">
        <f>_xlfn.XLOOKUP(Table2[[#This Row],[RARC CODE]],'New Rarc Code'!A638:A1555,'New Rarc Code'!C638:C1555,"Not Active")</f>
        <v>Not Active</v>
      </c>
    </row>
    <row r="639" spans="1:5" x14ac:dyDescent="0.25">
      <c r="A639" s="5" t="s">
        <v>1470</v>
      </c>
      <c r="B639" s="7" t="s">
        <v>1471</v>
      </c>
      <c r="C639" s="7" t="s">
        <v>3157</v>
      </c>
      <c r="D639" s="7"/>
      <c r="E639" t="str">
        <f>_xlfn.XLOOKUP(Table2[[#This Row],[RARC CODE]],'New Rarc Code'!A639:A1556,'New Rarc Code'!C639:C1556,"Not Active")</f>
        <v>Not Active</v>
      </c>
    </row>
    <row r="640" spans="1:5" x14ac:dyDescent="0.25">
      <c r="A640" s="5" t="s">
        <v>1472</v>
      </c>
      <c r="B640" s="7" t="s">
        <v>1473</v>
      </c>
      <c r="C640" s="7" t="s">
        <v>3158</v>
      </c>
      <c r="D640" s="7"/>
      <c r="E640" t="str">
        <f>_xlfn.XLOOKUP(Table2[[#This Row],[RARC CODE]],'New Rarc Code'!A640:A1557,'New Rarc Code'!C640:C1557,"Not Active")</f>
        <v>Not Active</v>
      </c>
    </row>
    <row r="641" spans="1:5" x14ac:dyDescent="0.25">
      <c r="A641" s="5" t="s">
        <v>1474</v>
      </c>
      <c r="B641" s="7" t="s">
        <v>1475</v>
      </c>
      <c r="C641" s="7" t="s">
        <v>3159</v>
      </c>
      <c r="D641" s="7"/>
      <c r="E641" t="str">
        <f>_xlfn.XLOOKUP(Table2[[#This Row],[RARC CODE]],'New Rarc Code'!A641:A1558,'New Rarc Code'!C641:C1558,"Not Active")</f>
        <v>Not Active</v>
      </c>
    </row>
    <row r="642" spans="1:5" x14ac:dyDescent="0.25">
      <c r="A642" s="5" t="s">
        <v>1476</v>
      </c>
      <c r="B642" s="7" t="s">
        <v>1477</v>
      </c>
      <c r="C642" s="7" t="s">
        <v>3160</v>
      </c>
      <c r="D642" s="7"/>
      <c r="E642" t="str">
        <f>_xlfn.XLOOKUP(Table2[[#This Row],[RARC CODE]],'New Rarc Code'!A642:A1559,'New Rarc Code'!C642:C1559,"Not Active")</f>
        <v>Not Active</v>
      </c>
    </row>
    <row r="643" spans="1:5" x14ac:dyDescent="0.25">
      <c r="A643" s="5" t="s">
        <v>1478</v>
      </c>
      <c r="B643" s="7" t="s">
        <v>1479</v>
      </c>
      <c r="C643" s="7" t="s">
        <v>3161</v>
      </c>
      <c r="D643" s="7"/>
      <c r="E643" t="str">
        <f>_xlfn.XLOOKUP(Table2[[#This Row],[RARC CODE]],'New Rarc Code'!A643:A1560,'New Rarc Code'!C643:C1560,"Not Active")</f>
        <v>Not Active</v>
      </c>
    </row>
    <row r="644" spans="1:5" x14ac:dyDescent="0.25">
      <c r="A644" s="5" t="s">
        <v>1480</v>
      </c>
      <c r="B644" s="7" t="s">
        <v>1481</v>
      </c>
      <c r="C644" s="7" t="s">
        <v>3162</v>
      </c>
      <c r="D644" s="7"/>
      <c r="E644" t="str">
        <f>_xlfn.XLOOKUP(Table2[[#This Row],[RARC CODE]],'New Rarc Code'!A644:A1561,'New Rarc Code'!C644:C1561,"Not Active")</f>
        <v>Not Active</v>
      </c>
    </row>
    <row r="645" spans="1:5" x14ac:dyDescent="0.25">
      <c r="A645" s="5" t="s">
        <v>687</v>
      </c>
      <c r="B645" s="7" t="s">
        <v>688</v>
      </c>
      <c r="C645" s="7" t="s">
        <v>3163</v>
      </c>
      <c r="D645" s="7"/>
      <c r="E645" t="str">
        <f>_xlfn.XLOOKUP(Table2[[#This Row],[RARC CODE]],'New Rarc Code'!A645:A1562,'New Rarc Code'!C645:C1562,"Not Active")</f>
        <v>Not Active</v>
      </c>
    </row>
    <row r="646" spans="1:5" x14ac:dyDescent="0.25">
      <c r="A646" s="5" t="s">
        <v>1482</v>
      </c>
      <c r="B646" s="7" t="s">
        <v>1483</v>
      </c>
      <c r="C646" s="7" t="s">
        <v>3164</v>
      </c>
      <c r="D646" s="7"/>
      <c r="E646" t="str">
        <f>_xlfn.XLOOKUP(Table2[[#This Row],[RARC CODE]],'New Rarc Code'!A646:A1563,'New Rarc Code'!C646:C1563,"Not Active")</f>
        <v>Not Active</v>
      </c>
    </row>
    <row r="647" spans="1:5" x14ac:dyDescent="0.25">
      <c r="A647" s="5" t="s">
        <v>1484</v>
      </c>
      <c r="B647" s="7" t="s">
        <v>1485</v>
      </c>
      <c r="C647" s="7" t="s">
        <v>3165</v>
      </c>
      <c r="D647" s="7"/>
      <c r="E647" t="str">
        <f>_xlfn.XLOOKUP(Table2[[#This Row],[RARC CODE]],'New Rarc Code'!A647:A1564,'New Rarc Code'!C647:C1564,"Not Active")</f>
        <v>Not Active</v>
      </c>
    </row>
    <row r="648" spans="1:5" x14ac:dyDescent="0.25">
      <c r="A648" s="5" t="s">
        <v>1486</v>
      </c>
      <c r="B648" s="8" t="s">
        <v>2313</v>
      </c>
      <c r="C648" s="8" t="s">
        <v>3166</v>
      </c>
      <c r="D648" s="8"/>
      <c r="E648" t="str">
        <f>_xlfn.XLOOKUP(Table2[[#This Row],[RARC CODE]],'New Rarc Code'!A648:A1565,'New Rarc Code'!C648:C1565,"Not Active")</f>
        <v>Not Active</v>
      </c>
    </row>
    <row r="649" spans="1:5" x14ac:dyDescent="0.25">
      <c r="A649" s="5" t="s">
        <v>1487</v>
      </c>
      <c r="B649" s="7" t="s">
        <v>1488</v>
      </c>
      <c r="C649" s="7" t="s">
        <v>3167</v>
      </c>
      <c r="D649" s="7"/>
      <c r="E649" t="str">
        <f>_xlfn.XLOOKUP(Table2[[#This Row],[RARC CODE]],'New Rarc Code'!A649:A1566,'New Rarc Code'!C649:C1566,"Not Active")</f>
        <v>Not Active</v>
      </c>
    </row>
    <row r="650" spans="1:5" x14ac:dyDescent="0.25">
      <c r="A650" s="5" t="s">
        <v>1489</v>
      </c>
      <c r="B650" s="7" t="s">
        <v>1490</v>
      </c>
      <c r="C650" s="7" t="s">
        <v>3168</v>
      </c>
      <c r="D650" s="7"/>
      <c r="E650" t="str">
        <f>_xlfn.XLOOKUP(Table2[[#This Row],[RARC CODE]],'New Rarc Code'!A650:A1567,'New Rarc Code'!C650:C1567,"Not Active")</f>
        <v>Not Active</v>
      </c>
    </row>
    <row r="651" spans="1:5" x14ac:dyDescent="0.25">
      <c r="A651" s="5" t="s">
        <v>1491</v>
      </c>
      <c r="B651" s="7" t="s">
        <v>1492</v>
      </c>
      <c r="C651" s="7" t="s">
        <v>3169</v>
      </c>
      <c r="D651" s="7"/>
      <c r="E651" t="str">
        <f>_xlfn.XLOOKUP(Table2[[#This Row],[RARC CODE]],'New Rarc Code'!A651:A1568,'New Rarc Code'!C651:C1568,"Not Active")</f>
        <v>Not Active</v>
      </c>
    </row>
    <row r="652" spans="1:5" x14ac:dyDescent="0.25">
      <c r="A652" s="5" t="s">
        <v>1493</v>
      </c>
      <c r="B652" s="7" t="s">
        <v>1494</v>
      </c>
      <c r="C652" s="7" t="s">
        <v>3170</v>
      </c>
      <c r="D652" s="7"/>
      <c r="E652" t="str">
        <f>_xlfn.XLOOKUP(Table2[[#This Row],[RARC CODE]],'New Rarc Code'!A652:A1569,'New Rarc Code'!C652:C1569,"Not Active")</f>
        <v>Not Active</v>
      </c>
    </row>
    <row r="653" spans="1:5" x14ac:dyDescent="0.25">
      <c r="A653" s="5" t="s">
        <v>1495</v>
      </c>
      <c r="B653" s="7" t="s">
        <v>1496</v>
      </c>
      <c r="C653" s="7" t="s">
        <v>3171</v>
      </c>
      <c r="D653" s="7"/>
      <c r="E653" t="str">
        <f>_xlfn.XLOOKUP(Table2[[#This Row],[RARC CODE]],'New Rarc Code'!A653:A1570,'New Rarc Code'!C653:C1570,"Not Active")</f>
        <v>Not Active</v>
      </c>
    </row>
    <row r="654" spans="1:5" x14ac:dyDescent="0.25">
      <c r="A654" s="5" t="s">
        <v>1497</v>
      </c>
      <c r="B654" s="7" t="s">
        <v>1498</v>
      </c>
      <c r="C654" s="7" t="s">
        <v>3172</v>
      </c>
      <c r="D654" s="7"/>
      <c r="E654" t="str">
        <f>_xlfn.XLOOKUP(Table2[[#This Row],[RARC CODE]],'New Rarc Code'!A654:A1571,'New Rarc Code'!C654:C1571,"Not Active")</f>
        <v>Not Active</v>
      </c>
    </row>
    <row r="655" spans="1:5" x14ac:dyDescent="0.25">
      <c r="A655" s="5" t="s">
        <v>1499</v>
      </c>
      <c r="B655" s="7" t="s">
        <v>1500</v>
      </c>
      <c r="C655" s="7" t="s">
        <v>3173</v>
      </c>
      <c r="D655" s="7"/>
      <c r="E655" t="str">
        <f>_xlfn.XLOOKUP(Table2[[#This Row],[RARC CODE]],'New Rarc Code'!A655:A1572,'New Rarc Code'!C655:C1572,"Not Active")</f>
        <v>Not Active</v>
      </c>
    </row>
    <row r="656" spans="1:5" x14ac:dyDescent="0.25">
      <c r="A656" s="5" t="s">
        <v>617</v>
      </c>
      <c r="B656" s="7" t="s">
        <v>618</v>
      </c>
      <c r="C656" s="7" t="s">
        <v>3174</v>
      </c>
      <c r="D656" s="7"/>
      <c r="E656" t="str">
        <f>_xlfn.XLOOKUP(Table2[[#This Row],[RARC CODE]],'New Rarc Code'!A656:A1573,'New Rarc Code'!C656:C1573,"Not Active")</f>
        <v>Not Active</v>
      </c>
    </row>
    <row r="657" spans="1:5" x14ac:dyDescent="0.25">
      <c r="A657" s="5" t="s">
        <v>689</v>
      </c>
      <c r="B657" s="7" t="s">
        <v>690</v>
      </c>
      <c r="C657" s="7" t="s">
        <v>3175</v>
      </c>
      <c r="D657" s="7"/>
      <c r="E657" t="str">
        <f>_xlfn.XLOOKUP(Table2[[#This Row],[RARC CODE]],'New Rarc Code'!A657:A1574,'New Rarc Code'!C657:C1574,"Not Active")</f>
        <v>Not Active</v>
      </c>
    </row>
    <row r="658" spans="1:5" x14ac:dyDescent="0.25">
      <c r="A658" s="5" t="s">
        <v>1501</v>
      </c>
      <c r="B658" s="7" t="s">
        <v>1502</v>
      </c>
      <c r="C658" s="7" t="s">
        <v>3176</v>
      </c>
      <c r="D658" s="7"/>
      <c r="E658" t="str">
        <f>_xlfn.XLOOKUP(Table2[[#This Row],[RARC CODE]],'New Rarc Code'!A658:A1575,'New Rarc Code'!C658:C1575,"Not Active")</f>
        <v>Not Active</v>
      </c>
    </row>
    <row r="659" spans="1:5" x14ac:dyDescent="0.25">
      <c r="A659" s="5" t="s">
        <v>1503</v>
      </c>
      <c r="B659" s="7" t="s">
        <v>1504</v>
      </c>
      <c r="C659" s="7" t="s">
        <v>3177</v>
      </c>
      <c r="D659" s="7"/>
      <c r="E659" t="str">
        <f>_xlfn.XLOOKUP(Table2[[#This Row],[RARC CODE]],'New Rarc Code'!A659:A1576,'New Rarc Code'!C659:C1576,"Not Active")</f>
        <v>Not Active</v>
      </c>
    </row>
    <row r="660" spans="1:5" x14ac:dyDescent="0.25">
      <c r="A660" s="5" t="s">
        <v>1505</v>
      </c>
      <c r="B660" s="7" t="s">
        <v>1506</v>
      </c>
      <c r="C660" s="7" t="s">
        <v>3178</v>
      </c>
      <c r="D660" s="7"/>
      <c r="E660" t="str">
        <f>_xlfn.XLOOKUP(Table2[[#This Row],[RARC CODE]],'New Rarc Code'!A660:A1577,'New Rarc Code'!C660:C1577,"Not Active")</f>
        <v>Not Active</v>
      </c>
    </row>
    <row r="661" spans="1:5" x14ac:dyDescent="0.25">
      <c r="A661" s="5" t="s">
        <v>1507</v>
      </c>
      <c r="B661" s="7" t="s">
        <v>1508</v>
      </c>
      <c r="C661" s="7" t="s">
        <v>3179</v>
      </c>
      <c r="D661" s="7"/>
      <c r="E661" t="str">
        <f>_xlfn.XLOOKUP(Table2[[#This Row],[RARC CODE]],'New Rarc Code'!A661:A1578,'New Rarc Code'!C661:C1578,"Not Active")</f>
        <v>Not Active</v>
      </c>
    </row>
    <row r="662" spans="1:5" x14ac:dyDescent="0.25">
      <c r="A662" s="5" t="s">
        <v>1509</v>
      </c>
      <c r="B662" s="7" t="s">
        <v>1510</v>
      </c>
      <c r="C662" s="7" t="s">
        <v>3180</v>
      </c>
      <c r="D662" s="7"/>
      <c r="E662" t="str">
        <f>_xlfn.XLOOKUP(Table2[[#This Row],[RARC CODE]],'New Rarc Code'!A662:A1579,'New Rarc Code'!C662:C1579,"Not Active")</f>
        <v>Not Active</v>
      </c>
    </row>
    <row r="663" spans="1:5" x14ac:dyDescent="0.25">
      <c r="A663" s="5" t="s">
        <v>1511</v>
      </c>
      <c r="B663" s="8" t="s">
        <v>2314</v>
      </c>
      <c r="C663" s="8" t="s">
        <v>3181</v>
      </c>
      <c r="D663" s="8"/>
      <c r="E663" t="str">
        <f>_xlfn.XLOOKUP(Table2[[#This Row],[RARC CODE]],'New Rarc Code'!A663:A1580,'New Rarc Code'!C663:C1580,"Not Active")</f>
        <v>Not Active</v>
      </c>
    </row>
    <row r="664" spans="1:5" x14ac:dyDescent="0.25">
      <c r="A664" s="5" t="s">
        <v>1512</v>
      </c>
      <c r="B664" s="8" t="s">
        <v>2315</v>
      </c>
      <c r="C664" s="8" t="s">
        <v>3182</v>
      </c>
      <c r="D664" s="7" t="s">
        <v>3709</v>
      </c>
      <c r="E664" t="str">
        <f>_xlfn.XLOOKUP(Table2[[#This Row],[RARC CODE]],'New Rarc Code'!A664:A1581,'New Rarc Code'!C664:C1581,"Not Active")</f>
        <v>Not Active</v>
      </c>
    </row>
    <row r="665" spans="1:5" x14ac:dyDescent="0.25">
      <c r="A665" s="5" t="s">
        <v>1513</v>
      </c>
      <c r="B665" s="7" t="s">
        <v>1514</v>
      </c>
      <c r="C665" s="7" t="s">
        <v>3183</v>
      </c>
      <c r="D665" s="7"/>
      <c r="E665" t="str">
        <f>_xlfn.XLOOKUP(Table2[[#This Row],[RARC CODE]],'New Rarc Code'!A665:A1582,'New Rarc Code'!C665:C1582,"Not Active")</f>
        <v>Not Active</v>
      </c>
    </row>
    <row r="666" spans="1:5" x14ac:dyDescent="0.25">
      <c r="A666" s="5" t="s">
        <v>1515</v>
      </c>
      <c r="B666" s="8" t="s">
        <v>2316</v>
      </c>
      <c r="C666" s="8" t="s">
        <v>3184</v>
      </c>
      <c r="D666" s="8"/>
      <c r="E666" t="str">
        <f>_xlfn.XLOOKUP(Table2[[#This Row],[RARC CODE]],'New Rarc Code'!A666:A1583,'New Rarc Code'!C666:C1583,"Not Active")</f>
        <v>Not Active</v>
      </c>
    </row>
    <row r="667" spans="1:5" x14ac:dyDescent="0.25">
      <c r="A667" s="5" t="s">
        <v>1516</v>
      </c>
      <c r="B667" s="8" t="s">
        <v>2317</v>
      </c>
      <c r="C667" s="8" t="s">
        <v>3185</v>
      </c>
      <c r="D667" s="8"/>
      <c r="E667" t="str">
        <f>_xlfn.XLOOKUP(Table2[[#This Row],[RARC CODE]],'New Rarc Code'!A667:A1584,'New Rarc Code'!C667:C1584,"Not Active")</f>
        <v>Not Active</v>
      </c>
    </row>
    <row r="668" spans="1:5" x14ac:dyDescent="0.25">
      <c r="A668" s="5" t="s">
        <v>691</v>
      </c>
      <c r="B668" s="7" t="s">
        <v>692</v>
      </c>
      <c r="C668" s="7" t="s">
        <v>3186</v>
      </c>
      <c r="D668" s="7"/>
      <c r="E668" t="str">
        <f>_xlfn.XLOOKUP(Table2[[#This Row],[RARC CODE]],'New Rarc Code'!A668:A1585,'New Rarc Code'!C668:C1585,"Not Active")</f>
        <v>Not Active</v>
      </c>
    </row>
    <row r="669" spans="1:5" x14ac:dyDescent="0.25">
      <c r="A669" s="5" t="s">
        <v>1517</v>
      </c>
      <c r="B669" s="8" t="s">
        <v>2318</v>
      </c>
      <c r="C669" s="8" t="s">
        <v>3187</v>
      </c>
      <c r="D669" s="8"/>
      <c r="E669" t="str">
        <f>_xlfn.XLOOKUP(Table2[[#This Row],[RARC CODE]],'New Rarc Code'!A669:A1586,'New Rarc Code'!C669:C1586,"Not Active")</f>
        <v>Not Active</v>
      </c>
    </row>
    <row r="670" spans="1:5" x14ac:dyDescent="0.25">
      <c r="A670" s="5" t="s">
        <v>1518</v>
      </c>
      <c r="B670" s="8" t="s">
        <v>2319</v>
      </c>
      <c r="C670" s="8" t="s">
        <v>3188</v>
      </c>
      <c r="D670" s="8"/>
      <c r="E670" t="str">
        <f>_xlfn.XLOOKUP(Table2[[#This Row],[RARC CODE]],'New Rarc Code'!A670:A1587,'New Rarc Code'!C670:C1587,"Not Active")</f>
        <v>Not Active</v>
      </c>
    </row>
    <row r="671" spans="1:5" x14ac:dyDescent="0.25">
      <c r="A671" s="5" t="s">
        <v>1519</v>
      </c>
      <c r="B671" s="8" t="s">
        <v>2320</v>
      </c>
      <c r="C671" s="8" t="s">
        <v>3189</v>
      </c>
      <c r="D671" s="8"/>
      <c r="E671" t="str">
        <f>_xlfn.XLOOKUP(Table2[[#This Row],[RARC CODE]],'New Rarc Code'!A671:A1588,'New Rarc Code'!C671:C1588,"Not Active")</f>
        <v>Not Active</v>
      </c>
    </row>
    <row r="672" spans="1:5" x14ac:dyDescent="0.25">
      <c r="A672" s="5" t="s">
        <v>1520</v>
      </c>
      <c r="B672" s="8" t="s">
        <v>2321</v>
      </c>
      <c r="C672" s="8" t="s">
        <v>3190</v>
      </c>
      <c r="D672" s="8"/>
      <c r="E672" t="str">
        <f>_xlfn.XLOOKUP(Table2[[#This Row],[RARC CODE]],'New Rarc Code'!A672:A1589,'New Rarc Code'!C672:C1589,"Not Active")</f>
        <v>Not Active</v>
      </c>
    </row>
    <row r="673" spans="1:5" x14ac:dyDescent="0.25">
      <c r="A673" s="5" t="s">
        <v>1521</v>
      </c>
      <c r="B673" s="7" t="s">
        <v>1522</v>
      </c>
      <c r="C673" s="7" t="s">
        <v>3191</v>
      </c>
      <c r="D673" s="7"/>
      <c r="E673" t="str">
        <f>_xlfn.XLOOKUP(Table2[[#This Row],[RARC CODE]],'New Rarc Code'!A673:A1590,'New Rarc Code'!C673:C1590,"Not Active")</f>
        <v>Not Active</v>
      </c>
    </row>
    <row r="674" spans="1:5" x14ac:dyDescent="0.25">
      <c r="A674" s="5" t="s">
        <v>1523</v>
      </c>
      <c r="B674" s="7" t="s">
        <v>1524</v>
      </c>
      <c r="C674" s="7" t="s">
        <v>3192</v>
      </c>
      <c r="D674" s="7"/>
      <c r="E674" t="str">
        <f>_xlfn.XLOOKUP(Table2[[#This Row],[RARC CODE]],'New Rarc Code'!A674:A1591,'New Rarc Code'!C674:C1591,"Not Active")</f>
        <v>Not Active</v>
      </c>
    </row>
    <row r="675" spans="1:5" x14ac:dyDescent="0.25">
      <c r="A675" s="5" t="s">
        <v>1525</v>
      </c>
      <c r="B675" s="7" t="s">
        <v>1526</v>
      </c>
      <c r="C675" s="7" t="s">
        <v>3193</v>
      </c>
      <c r="D675" s="7"/>
      <c r="E675" t="str">
        <f>_xlfn.XLOOKUP(Table2[[#This Row],[RARC CODE]],'New Rarc Code'!A675:A1592,'New Rarc Code'!C675:C1592,"Not Active")</f>
        <v>Not Active</v>
      </c>
    </row>
    <row r="676" spans="1:5" x14ac:dyDescent="0.25">
      <c r="A676" s="5" t="s">
        <v>1527</v>
      </c>
      <c r="B676" s="7" t="s">
        <v>1528</v>
      </c>
      <c r="C676" s="7" t="s">
        <v>3194</v>
      </c>
      <c r="D676" s="7" t="s">
        <v>3694</v>
      </c>
      <c r="E676" t="str">
        <f>_xlfn.XLOOKUP(Table2[[#This Row],[RARC CODE]],'New Rarc Code'!A676:A1593,'New Rarc Code'!C676:C1593,"Not Active")</f>
        <v>Not Active</v>
      </c>
    </row>
    <row r="677" spans="1:5" x14ac:dyDescent="0.25">
      <c r="A677" s="5" t="s">
        <v>693</v>
      </c>
      <c r="B677" s="7" t="s">
        <v>694</v>
      </c>
      <c r="C677" s="7" t="s">
        <v>3195</v>
      </c>
      <c r="D677" s="7" t="s">
        <v>3694</v>
      </c>
      <c r="E677" t="str">
        <f>_xlfn.XLOOKUP(Table2[[#This Row],[RARC CODE]],'New Rarc Code'!A677:A1594,'New Rarc Code'!C677:C1594,"Not Active")</f>
        <v>Not Active</v>
      </c>
    </row>
    <row r="678" spans="1:5" x14ac:dyDescent="0.25">
      <c r="A678" s="5" t="s">
        <v>1529</v>
      </c>
      <c r="B678" s="8" t="s">
        <v>2322</v>
      </c>
      <c r="C678" s="8" t="s">
        <v>3196</v>
      </c>
      <c r="D678" s="8"/>
      <c r="E678" t="str">
        <f>_xlfn.XLOOKUP(Table2[[#This Row],[RARC CODE]],'New Rarc Code'!A678:A1595,'New Rarc Code'!C678:C1595,"Not Active")</f>
        <v>Not Active</v>
      </c>
    </row>
    <row r="679" spans="1:5" x14ac:dyDescent="0.25">
      <c r="A679" s="5" t="s">
        <v>1530</v>
      </c>
      <c r="B679" s="7" t="s">
        <v>1531</v>
      </c>
      <c r="C679" s="7" t="s">
        <v>3197</v>
      </c>
      <c r="D679" s="7"/>
      <c r="E679" t="str">
        <f>_xlfn.XLOOKUP(Table2[[#This Row],[RARC CODE]],'New Rarc Code'!A679:A1596,'New Rarc Code'!C679:C1596,"Not Active")</f>
        <v>Not Active</v>
      </c>
    </row>
    <row r="680" spans="1:5" x14ac:dyDescent="0.25">
      <c r="A680" s="5" t="s">
        <v>1532</v>
      </c>
      <c r="B680" s="7" t="s">
        <v>1533</v>
      </c>
      <c r="C680" s="7" t="s">
        <v>2520</v>
      </c>
      <c r="D680" s="7" t="s">
        <v>3694</v>
      </c>
      <c r="E680" t="str">
        <f>_xlfn.XLOOKUP(Table2[[#This Row],[RARC CODE]],'New Rarc Code'!A680:A1597,'New Rarc Code'!C680:C1597,"Not Active")</f>
        <v>Not Active</v>
      </c>
    </row>
    <row r="681" spans="1:5" x14ac:dyDescent="0.25">
      <c r="A681" s="5" t="s">
        <v>1534</v>
      </c>
      <c r="B681" s="7" t="s">
        <v>1535</v>
      </c>
      <c r="C681" s="7" t="s">
        <v>3198</v>
      </c>
      <c r="D681" s="7"/>
      <c r="E681" t="str">
        <f>_xlfn.XLOOKUP(Table2[[#This Row],[RARC CODE]],'New Rarc Code'!A681:A1598,'New Rarc Code'!C681:C1598,"Not Active")</f>
        <v>Not Active</v>
      </c>
    </row>
    <row r="682" spans="1:5" x14ac:dyDescent="0.25">
      <c r="A682" s="5" t="s">
        <v>1536</v>
      </c>
      <c r="B682" s="7" t="s">
        <v>1537</v>
      </c>
      <c r="C682" s="7" t="s">
        <v>3199</v>
      </c>
      <c r="D682" s="7"/>
      <c r="E682" t="str">
        <f>_xlfn.XLOOKUP(Table2[[#This Row],[RARC CODE]],'New Rarc Code'!A682:A1599,'New Rarc Code'!C682:C1599,"Not Active")</f>
        <v>Not Active</v>
      </c>
    </row>
    <row r="683" spans="1:5" x14ac:dyDescent="0.25">
      <c r="A683" s="5" t="s">
        <v>1538</v>
      </c>
      <c r="B683" s="7" t="s">
        <v>1539</v>
      </c>
      <c r="C683" s="7" t="s">
        <v>3200</v>
      </c>
      <c r="D683" s="7"/>
      <c r="E683" t="str">
        <f>_xlfn.XLOOKUP(Table2[[#This Row],[RARC CODE]],'New Rarc Code'!A683:A1600,'New Rarc Code'!C683:C1600,"Not Active")</f>
        <v>Not Active</v>
      </c>
    </row>
    <row r="684" spans="1:5" x14ac:dyDescent="0.25">
      <c r="A684" s="5" t="s">
        <v>1540</v>
      </c>
      <c r="B684" s="7" t="s">
        <v>1541</v>
      </c>
      <c r="C684" s="7" t="s">
        <v>3201</v>
      </c>
      <c r="D684" s="7"/>
      <c r="E684" t="str">
        <f>_xlfn.XLOOKUP(Table2[[#This Row],[RARC CODE]],'New Rarc Code'!A684:A1601,'New Rarc Code'!C684:C1601,"Not Active")</f>
        <v>Not Active</v>
      </c>
    </row>
    <row r="685" spans="1:5" x14ac:dyDescent="0.25">
      <c r="A685" s="5" t="s">
        <v>1542</v>
      </c>
      <c r="B685" s="7" t="s">
        <v>1543</v>
      </c>
      <c r="C685" s="7" t="s">
        <v>3202</v>
      </c>
      <c r="D685" s="7"/>
      <c r="E685" t="str">
        <f>_xlfn.XLOOKUP(Table2[[#This Row],[RARC CODE]],'New Rarc Code'!A685:A1602,'New Rarc Code'!C685:C1602,"Not Active")</f>
        <v>Not Active</v>
      </c>
    </row>
    <row r="686" spans="1:5" x14ac:dyDescent="0.25">
      <c r="A686" s="5" t="s">
        <v>1544</v>
      </c>
      <c r="B686" s="7" t="s">
        <v>1545</v>
      </c>
      <c r="C686" s="7" t="s">
        <v>3203</v>
      </c>
      <c r="D686" s="7"/>
      <c r="E686" t="str">
        <f>_xlfn.XLOOKUP(Table2[[#This Row],[RARC CODE]],'New Rarc Code'!A686:A1603,'New Rarc Code'!C686:C1603,"Not Active")</f>
        <v>Not Active</v>
      </c>
    </row>
    <row r="687" spans="1:5" x14ac:dyDescent="0.25">
      <c r="A687" s="5" t="s">
        <v>1546</v>
      </c>
      <c r="B687" s="7" t="s">
        <v>1547</v>
      </c>
      <c r="C687" s="7" t="s">
        <v>3204</v>
      </c>
      <c r="D687" s="7"/>
      <c r="E687" t="str">
        <f>_xlfn.XLOOKUP(Table2[[#This Row],[RARC CODE]],'New Rarc Code'!A687:A1604,'New Rarc Code'!C687:C1604,"Not Active")</f>
        <v>Not Active</v>
      </c>
    </row>
    <row r="688" spans="1:5" x14ac:dyDescent="0.25">
      <c r="A688" s="5" t="s">
        <v>695</v>
      </c>
      <c r="B688" s="7" t="s">
        <v>696</v>
      </c>
      <c r="C688" s="7" t="s">
        <v>3205</v>
      </c>
      <c r="D688" s="7"/>
      <c r="E688" t="str">
        <f>_xlfn.XLOOKUP(Table2[[#This Row],[RARC CODE]],'New Rarc Code'!A688:A1605,'New Rarc Code'!C688:C1605,"Not Active")</f>
        <v>Not Active</v>
      </c>
    </row>
    <row r="689" spans="1:5" x14ac:dyDescent="0.25">
      <c r="A689" s="5" t="s">
        <v>1548</v>
      </c>
      <c r="B689" s="7" t="s">
        <v>1549</v>
      </c>
      <c r="C689" s="7" t="s">
        <v>3206</v>
      </c>
      <c r="D689" s="7"/>
      <c r="E689" t="str">
        <f>_xlfn.XLOOKUP(Table2[[#This Row],[RARC CODE]],'New Rarc Code'!A689:A1606,'New Rarc Code'!C689:C1606,"Not Active")</f>
        <v>Not Active</v>
      </c>
    </row>
    <row r="690" spans="1:5" x14ac:dyDescent="0.25">
      <c r="A690" s="5" t="s">
        <v>1550</v>
      </c>
      <c r="B690" s="7" t="s">
        <v>1551</v>
      </c>
      <c r="C690" s="7" t="s">
        <v>3207</v>
      </c>
      <c r="D690" s="7"/>
      <c r="E690" t="str">
        <f>_xlfn.XLOOKUP(Table2[[#This Row],[RARC CODE]],'New Rarc Code'!A690:A1607,'New Rarc Code'!C690:C1607,"Not Active")</f>
        <v>Not Active</v>
      </c>
    </row>
    <row r="691" spans="1:5" x14ac:dyDescent="0.25">
      <c r="A691" s="5" t="s">
        <v>1552</v>
      </c>
      <c r="B691" s="7" t="s">
        <v>1553</v>
      </c>
      <c r="C691" s="7" t="s">
        <v>3208</v>
      </c>
      <c r="D691" s="7"/>
      <c r="E691" t="str">
        <f>_xlfn.XLOOKUP(Table2[[#This Row],[RARC CODE]],'New Rarc Code'!A691:A1608,'New Rarc Code'!C691:C1608,"Not Active")</f>
        <v>Not Active</v>
      </c>
    </row>
    <row r="692" spans="1:5" x14ac:dyDescent="0.25">
      <c r="A692" s="5" t="s">
        <v>1554</v>
      </c>
      <c r="B692" s="7" t="s">
        <v>1555</v>
      </c>
      <c r="C692" s="7" t="s">
        <v>3209</v>
      </c>
      <c r="D692" s="7"/>
      <c r="E692" t="str">
        <f>_xlfn.XLOOKUP(Table2[[#This Row],[RARC CODE]],'New Rarc Code'!A692:A1609,'New Rarc Code'!C692:C1609,"Not Active")</f>
        <v>Not Active</v>
      </c>
    </row>
    <row r="693" spans="1:5" x14ac:dyDescent="0.25">
      <c r="A693" s="5" t="s">
        <v>1556</v>
      </c>
      <c r="B693" s="7" t="s">
        <v>1557</v>
      </c>
      <c r="C693" s="7" t="s">
        <v>3210</v>
      </c>
      <c r="D693" s="7"/>
      <c r="E693" t="str">
        <f>_xlfn.XLOOKUP(Table2[[#This Row],[RARC CODE]],'New Rarc Code'!A693:A1610,'New Rarc Code'!C693:C1610,"Not Active")</f>
        <v>Not Active</v>
      </c>
    </row>
    <row r="694" spans="1:5" x14ac:dyDescent="0.25">
      <c r="A694" s="5" t="s">
        <v>1558</v>
      </c>
      <c r="B694" s="7" t="s">
        <v>1559</v>
      </c>
      <c r="C694" s="7" t="s">
        <v>3211</v>
      </c>
      <c r="D694" s="7"/>
      <c r="E694" t="str">
        <f>_xlfn.XLOOKUP(Table2[[#This Row],[RARC CODE]],'New Rarc Code'!A694:A1611,'New Rarc Code'!C694:C1611,"Not Active")</f>
        <v>Not Active</v>
      </c>
    </row>
    <row r="695" spans="1:5" x14ac:dyDescent="0.25">
      <c r="A695" s="5" t="s">
        <v>1560</v>
      </c>
      <c r="B695" s="7" t="s">
        <v>1561</v>
      </c>
      <c r="C695" s="7" t="s">
        <v>3212</v>
      </c>
      <c r="D695" s="7"/>
      <c r="E695" t="str">
        <f>_xlfn.XLOOKUP(Table2[[#This Row],[RARC CODE]],'New Rarc Code'!A695:A1612,'New Rarc Code'!C695:C1612,"Not Active")</f>
        <v>Not Active</v>
      </c>
    </row>
    <row r="696" spans="1:5" x14ac:dyDescent="0.25">
      <c r="A696" s="5" t="s">
        <v>1562</v>
      </c>
      <c r="B696" s="7" t="s">
        <v>1563</v>
      </c>
      <c r="C696" s="7" t="s">
        <v>3213</v>
      </c>
      <c r="D696" s="7"/>
      <c r="E696" t="str">
        <f>_xlfn.XLOOKUP(Table2[[#This Row],[RARC CODE]],'New Rarc Code'!A696:A1613,'New Rarc Code'!C696:C1613,"Not Active")</f>
        <v>Not Active</v>
      </c>
    </row>
    <row r="697" spans="1:5" x14ac:dyDescent="0.25">
      <c r="A697" s="5" t="s">
        <v>1564</v>
      </c>
      <c r="B697" s="7" t="s">
        <v>1565</v>
      </c>
      <c r="C697" s="7" t="s">
        <v>3214</v>
      </c>
      <c r="D697" s="7"/>
      <c r="E697" t="str">
        <f>_xlfn.XLOOKUP(Table2[[#This Row],[RARC CODE]],'New Rarc Code'!A697:A1614,'New Rarc Code'!C697:C1614,"Not Active")</f>
        <v>Not Active</v>
      </c>
    </row>
    <row r="698" spans="1:5" x14ac:dyDescent="0.25">
      <c r="A698" s="5" t="s">
        <v>1566</v>
      </c>
      <c r="B698" s="8" t="s">
        <v>2323</v>
      </c>
      <c r="C698" s="8" t="s">
        <v>3215</v>
      </c>
      <c r="D698" s="8"/>
      <c r="E698" t="str">
        <f>_xlfn.XLOOKUP(Table2[[#This Row],[RARC CODE]],'New Rarc Code'!A698:A1615,'New Rarc Code'!C698:C1615,"Not Active")</f>
        <v>Not Active</v>
      </c>
    </row>
    <row r="699" spans="1:5" x14ac:dyDescent="0.25">
      <c r="A699" s="5" t="s">
        <v>697</v>
      </c>
      <c r="B699" s="7" t="s">
        <v>698</v>
      </c>
      <c r="C699" s="7" t="s">
        <v>3216</v>
      </c>
      <c r="D699" s="7" t="s">
        <v>3694</v>
      </c>
      <c r="E699" t="str">
        <f>_xlfn.XLOOKUP(Table2[[#This Row],[RARC CODE]],'New Rarc Code'!A699:A1616,'New Rarc Code'!C699:C1616,"Not Active")</f>
        <v>Not Active</v>
      </c>
    </row>
    <row r="700" spans="1:5" x14ac:dyDescent="0.25">
      <c r="A700" s="5" t="s">
        <v>1567</v>
      </c>
      <c r="B700" s="7" t="s">
        <v>1568</v>
      </c>
      <c r="C700" s="7" t="s">
        <v>3217</v>
      </c>
      <c r="D700" s="7"/>
      <c r="E700" t="str">
        <f>_xlfn.XLOOKUP(Table2[[#This Row],[RARC CODE]],'New Rarc Code'!A700:A1617,'New Rarc Code'!C700:C1617,"Not Active")</f>
        <v>Not Active</v>
      </c>
    </row>
    <row r="701" spans="1:5" x14ac:dyDescent="0.25">
      <c r="A701" s="5" t="s">
        <v>1569</v>
      </c>
      <c r="B701" s="7" t="s">
        <v>1570</v>
      </c>
      <c r="C701" s="7" t="s">
        <v>3218</v>
      </c>
      <c r="D701" s="7"/>
      <c r="E701" t="str">
        <f>_xlfn.XLOOKUP(Table2[[#This Row],[RARC CODE]],'New Rarc Code'!A701:A1618,'New Rarc Code'!C701:C1618,"Not Active")</f>
        <v>Not Active</v>
      </c>
    </row>
    <row r="702" spans="1:5" x14ac:dyDescent="0.25">
      <c r="A702" s="5" t="s">
        <v>1571</v>
      </c>
      <c r="B702" s="7" t="s">
        <v>1572</v>
      </c>
      <c r="C702" s="7" t="s">
        <v>3219</v>
      </c>
      <c r="D702" s="7"/>
      <c r="E702" t="str">
        <f>_xlfn.XLOOKUP(Table2[[#This Row],[RARC CODE]],'New Rarc Code'!A702:A1619,'New Rarc Code'!C702:C1619,"Not Active")</f>
        <v>Not Active</v>
      </c>
    </row>
    <row r="703" spans="1:5" x14ac:dyDescent="0.25">
      <c r="A703" s="5" t="s">
        <v>1573</v>
      </c>
      <c r="B703" s="7" t="s">
        <v>1574</v>
      </c>
      <c r="C703" s="7" t="s">
        <v>3220</v>
      </c>
      <c r="D703" s="7"/>
      <c r="E703" t="str">
        <f>_xlfn.XLOOKUP(Table2[[#This Row],[RARC CODE]],'New Rarc Code'!A703:A1620,'New Rarc Code'!C703:C1620,"Not Active")</f>
        <v>Not Active</v>
      </c>
    </row>
    <row r="704" spans="1:5" x14ac:dyDescent="0.25">
      <c r="A704" s="5" t="s">
        <v>1575</v>
      </c>
      <c r="B704" s="8" t="s">
        <v>2324</v>
      </c>
      <c r="C704" s="8" t="s">
        <v>3221</v>
      </c>
      <c r="D704" s="8"/>
      <c r="E704" t="str">
        <f>_xlfn.XLOOKUP(Table2[[#This Row],[RARC CODE]],'New Rarc Code'!A704:A1621,'New Rarc Code'!C704:C1621,"Not Active")</f>
        <v>Not Active</v>
      </c>
    </row>
    <row r="705" spans="1:5" x14ac:dyDescent="0.25">
      <c r="A705" s="5" t="s">
        <v>1576</v>
      </c>
      <c r="B705" s="7" t="s">
        <v>1577</v>
      </c>
      <c r="C705" s="7" t="s">
        <v>3222</v>
      </c>
      <c r="D705" s="7"/>
      <c r="E705" t="str">
        <f>_xlfn.XLOOKUP(Table2[[#This Row],[RARC CODE]],'New Rarc Code'!A705:A1622,'New Rarc Code'!C705:C1622,"Not Active")</f>
        <v>Not Active</v>
      </c>
    </row>
    <row r="706" spans="1:5" x14ac:dyDescent="0.25">
      <c r="A706" s="5" t="s">
        <v>1578</v>
      </c>
      <c r="B706" s="7" t="s">
        <v>1579</v>
      </c>
      <c r="C706" s="7" t="s">
        <v>3223</v>
      </c>
      <c r="D706" s="7"/>
      <c r="E706" t="str">
        <f>_xlfn.XLOOKUP(Table2[[#This Row],[RARC CODE]],'New Rarc Code'!A706:A1623,'New Rarc Code'!C706:C1623,"Not Active")</f>
        <v>Not Active</v>
      </c>
    </row>
    <row r="707" spans="1:5" x14ac:dyDescent="0.25">
      <c r="A707" s="5" t="s">
        <v>1580</v>
      </c>
      <c r="B707" s="7" t="s">
        <v>1581</v>
      </c>
      <c r="C707" s="7" t="s">
        <v>3224</v>
      </c>
      <c r="D707" s="7"/>
      <c r="E707" t="str">
        <f>_xlfn.XLOOKUP(Table2[[#This Row],[RARC CODE]],'New Rarc Code'!A707:A1624,'New Rarc Code'!C707:C1624,"Not Active")</f>
        <v>Not Active</v>
      </c>
    </row>
    <row r="708" spans="1:5" x14ac:dyDescent="0.25">
      <c r="A708" s="5" t="s">
        <v>1582</v>
      </c>
      <c r="B708" s="8" t="s">
        <v>2325</v>
      </c>
      <c r="C708" s="8" t="s">
        <v>3225</v>
      </c>
      <c r="D708" s="8"/>
      <c r="E708" t="str">
        <f>_xlfn.XLOOKUP(Table2[[#This Row],[RARC CODE]],'New Rarc Code'!A708:A1625,'New Rarc Code'!C708:C1625,"Not Active")</f>
        <v>Not Active</v>
      </c>
    </row>
    <row r="709" spans="1:5" x14ac:dyDescent="0.25">
      <c r="A709" s="5" t="s">
        <v>1583</v>
      </c>
      <c r="B709" s="8" t="s">
        <v>2326</v>
      </c>
      <c r="C709" s="8" t="s">
        <v>3226</v>
      </c>
      <c r="D709" s="8"/>
      <c r="E709" t="str">
        <f>_xlfn.XLOOKUP(Table2[[#This Row],[RARC CODE]],'New Rarc Code'!A709:A1626,'New Rarc Code'!C709:C1626,"Not Active")</f>
        <v>Not Active</v>
      </c>
    </row>
    <row r="710" spans="1:5" x14ac:dyDescent="0.25">
      <c r="A710" s="5" t="s">
        <v>699</v>
      </c>
      <c r="B710" s="7" t="s">
        <v>700</v>
      </c>
      <c r="C710" s="7" t="s">
        <v>3227</v>
      </c>
      <c r="D710" s="7"/>
      <c r="E710" t="str">
        <f>_xlfn.XLOOKUP(Table2[[#This Row],[RARC CODE]],'New Rarc Code'!A710:A1627,'New Rarc Code'!C710:C1627,"Not Active")</f>
        <v>Not Active</v>
      </c>
    </row>
    <row r="711" spans="1:5" x14ac:dyDescent="0.25">
      <c r="A711" s="5" t="s">
        <v>1584</v>
      </c>
      <c r="B711" s="8" t="s">
        <v>2327</v>
      </c>
      <c r="C711" s="8" t="s">
        <v>3228</v>
      </c>
      <c r="D711" s="8"/>
      <c r="E711" t="str">
        <f>_xlfn.XLOOKUP(Table2[[#This Row],[RARC CODE]],'New Rarc Code'!A711:A1628,'New Rarc Code'!C711:C1628,"Not Active")</f>
        <v>Not Active</v>
      </c>
    </row>
    <row r="712" spans="1:5" x14ac:dyDescent="0.25">
      <c r="A712" s="5" t="s">
        <v>1585</v>
      </c>
      <c r="B712" s="7" t="s">
        <v>1586</v>
      </c>
      <c r="C712" s="7" t="s">
        <v>3229</v>
      </c>
      <c r="D712" s="7"/>
      <c r="E712" t="str">
        <f>_xlfn.XLOOKUP(Table2[[#This Row],[RARC CODE]],'New Rarc Code'!A712:A1629,'New Rarc Code'!C712:C1629,"Not Active")</f>
        <v>Not Active</v>
      </c>
    </row>
    <row r="713" spans="1:5" x14ac:dyDescent="0.25">
      <c r="A713" s="5" t="s">
        <v>1587</v>
      </c>
      <c r="B713" s="7" t="s">
        <v>1588</v>
      </c>
      <c r="C713" s="7" t="s">
        <v>3230</v>
      </c>
      <c r="D713" s="7"/>
      <c r="E713" t="str">
        <f>_xlfn.XLOOKUP(Table2[[#This Row],[RARC CODE]],'New Rarc Code'!A713:A1630,'New Rarc Code'!C713:C1630,"Not Active")</f>
        <v>Not Active</v>
      </c>
    </row>
    <row r="714" spans="1:5" x14ac:dyDescent="0.25">
      <c r="A714" s="5" t="s">
        <v>1589</v>
      </c>
      <c r="B714" s="7" t="s">
        <v>1590</v>
      </c>
      <c r="C714" s="7" t="s">
        <v>3231</v>
      </c>
      <c r="D714" s="7"/>
      <c r="E714" t="str">
        <f>_xlfn.XLOOKUP(Table2[[#This Row],[RARC CODE]],'New Rarc Code'!A714:A1631,'New Rarc Code'!C714:C1631,"Not Active")</f>
        <v>Not Active</v>
      </c>
    </row>
    <row r="715" spans="1:5" x14ac:dyDescent="0.25">
      <c r="A715" s="5" t="s">
        <v>1591</v>
      </c>
      <c r="B715" s="7" t="s">
        <v>1592</v>
      </c>
      <c r="C715" s="7" t="s">
        <v>3232</v>
      </c>
      <c r="D715" s="7"/>
      <c r="E715" t="str">
        <f>_xlfn.XLOOKUP(Table2[[#This Row],[RARC CODE]],'New Rarc Code'!A715:A1632,'New Rarc Code'!C715:C1632,"Not Active")</f>
        <v>Not Active</v>
      </c>
    </row>
    <row r="716" spans="1:5" x14ac:dyDescent="0.25">
      <c r="A716" s="5" t="s">
        <v>1593</v>
      </c>
      <c r="B716" s="7" t="s">
        <v>1594</v>
      </c>
      <c r="C716" s="7" t="s">
        <v>3233</v>
      </c>
      <c r="D716" s="7"/>
      <c r="E716" t="str">
        <f>_xlfn.XLOOKUP(Table2[[#This Row],[RARC CODE]],'New Rarc Code'!A716:A1633,'New Rarc Code'!C716:C1633,"Not Active")</f>
        <v>Not Active</v>
      </c>
    </row>
    <row r="717" spans="1:5" x14ac:dyDescent="0.25">
      <c r="A717" s="5" t="s">
        <v>1595</v>
      </c>
      <c r="B717" s="7" t="s">
        <v>1596</v>
      </c>
      <c r="C717" s="7" t="s">
        <v>3234</v>
      </c>
      <c r="D717" s="7"/>
      <c r="E717" t="str">
        <f>_xlfn.XLOOKUP(Table2[[#This Row],[RARC CODE]],'New Rarc Code'!A717:A1634,'New Rarc Code'!C717:C1634,"Not Active")</f>
        <v>Not Active</v>
      </c>
    </row>
    <row r="718" spans="1:5" x14ac:dyDescent="0.25">
      <c r="A718" s="5" t="s">
        <v>1597</v>
      </c>
      <c r="B718" s="7" t="s">
        <v>1598</v>
      </c>
      <c r="C718" s="7" t="s">
        <v>3235</v>
      </c>
      <c r="D718" s="7"/>
      <c r="E718" t="str">
        <f>_xlfn.XLOOKUP(Table2[[#This Row],[RARC CODE]],'New Rarc Code'!A718:A1635,'New Rarc Code'!C718:C1635,"Not Active")</f>
        <v>Not Active</v>
      </c>
    </row>
    <row r="719" spans="1:5" x14ac:dyDescent="0.25">
      <c r="A719" s="5" t="s">
        <v>1599</v>
      </c>
      <c r="B719" s="7" t="s">
        <v>1600</v>
      </c>
      <c r="C719" s="7" t="s">
        <v>3236</v>
      </c>
      <c r="D719" s="7"/>
      <c r="E719" t="str">
        <f>_xlfn.XLOOKUP(Table2[[#This Row],[RARC CODE]],'New Rarc Code'!A719:A1636,'New Rarc Code'!C719:C1636,"Not Active")</f>
        <v>Not Active</v>
      </c>
    </row>
    <row r="720" spans="1:5" x14ac:dyDescent="0.25">
      <c r="A720" s="5" t="s">
        <v>701</v>
      </c>
      <c r="B720" s="7" t="s">
        <v>702</v>
      </c>
      <c r="C720" s="7" t="s">
        <v>3237</v>
      </c>
      <c r="D720" s="7"/>
      <c r="E720" t="str">
        <f>_xlfn.XLOOKUP(Table2[[#This Row],[RARC CODE]],'New Rarc Code'!A720:A1637,'New Rarc Code'!C720:C1637,"Not Active")</f>
        <v>Not Active</v>
      </c>
    </row>
    <row r="721" spans="1:5" x14ac:dyDescent="0.25">
      <c r="A721" s="5" t="s">
        <v>1601</v>
      </c>
      <c r="B721" s="7" t="s">
        <v>1602</v>
      </c>
      <c r="C721" s="7" t="s">
        <v>3238</v>
      </c>
      <c r="D721" s="7"/>
      <c r="E721" t="str">
        <f>_xlfn.XLOOKUP(Table2[[#This Row],[RARC CODE]],'New Rarc Code'!A721:A1638,'New Rarc Code'!C721:C1638,"Not Active")</f>
        <v>Not Active</v>
      </c>
    </row>
    <row r="722" spans="1:5" x14ac:dyDescent="0.25">
      <c r="A722" s="5" t="s">
        <v>1603</v>
      </c>
      <c r="B722" s="7" t="s">
        <v>1604</v>
      </c>
      <c r="C722" s="7" t="s">
        <v>3239</v>
      </c>
      <c r="D722" s="7"/>
      <c r="E722" t="str">
        <f>_xlfn.XLOOKUP(Table2[[#This Row],[RARC CODE]],'New Rarc Code'!A722:A1639,'New Rarc Code'!C722:C1639,"Not Active")</f>
        <v>Not Active</v>
      </c>
    </row>
    <row r="723" spans="1:5" x14ac:dyDescent="0.25">
      <c r="A723" s="5" t="s">
        <v>1605</v>
      </c>
      <c r="B723" s="7" t="s">
        <v>1606</v>
      </c>
      <c r="C723" s="7" t="s">
        <v>3240</v>
      </c>
      <c r="D723" s="7"/>
      <c r="E723" t="str">
        <f>_xlfn.XLOOKUP(Table2[[#This Row],[RARC CODE]],'New Rarc Code'!A723:A1640,'New Rarc Code'!C723:C1640,"Not Active")</f>
        <v>Not Active</v>
      </c>
    </row>
    <row r="724" spans="1:5" x14ac:dyDescent="0.25">
      <c r="A724" s="5" t="s">
        <v>1607</v>
      </c>
      <c r="B724" s="8" t="s">
        <v>2328</v>
      </c>
      <c r="C724" s="8" t="s">
        <v>3241</v>
      </c>
      <c r="D724" s="8"/>
      <c r="E724" t="str">
        <f>_xlfn.XLOOKUP(Table2[[#This Row],[RARC CODE]],'New Rarc Code'!A724:A1641,'New Rarc Code'!C724:C1641,"Not Active")</f>
        <v>Not Active</v>
      </c>
    </row>
    <row r="725" spans="1:5" x14ac:dyDescent="0.25">
      <c r="A725" s="5" t="s">
        <v>1608</v>
      </c>
      <c r="B725" s="7" t="s">
        <v>1609</v>
      </c>
      <c r="C725" s="7" t="s">
        <v>3242</v>
      </c>
      <c r="D725" s="7"/>
      <c r="E725" t="str">
        <f>_xlfn.XLOOKUP(Table2[[#This Row],[RARC CODE]],'New Rarc Code'!A725:A1642,'New Rarc Code'!C725:C1642,"Not Active")</f>
        <v>Not Active</v>
      </c>
    </row>
    <row r="726" spans="1:5" x14ac:dyDescent="0.25">
      <c r="A726" s="5" t="s">
        <v>1610</v>
      </c>
      <c r="B726" s="8" t="s">
        <v>2329</v>
      </c>
      <c r="C726" s="8" t="s">
        <v>3243</v>
      </c>
      <c r="D726" s="8" t="s">
        <v>3694</v>
      </c>
      <c r="E726" t="str">
        <f>_xlfn.XLOOKUP(Table2[[#This Row],[RARC CODE]],'New Rarc Code'!A726:A1643,'New Rarc Code'!C726:C1643,"Not Active")</f>
        <v>Not Active</v>
      </c>
    </row>
    <row r="727" spans="1:5" x14ac:dyDescent="0.25">
      <c r="A727" s="5" t="s">
        <v>1611</v>
      </c>
      <c r="B727" s="8" t="s">
        <v>2330</v>
      </c>
      <c r="C727" s="8" t="s">
        <v>3244</v>
      </c>
      <c r="D727" s="8" t="s">
        <v>3694</v>
      </c>
      <c r="E727" t="str">
        <f>_xlfn.XLOOKUP(Table2[[#This Row],[RARC CODE]],'New Rarc Code'!A727:A1644,'New Rarc Code'!C727:C1644,"Not Active")</f>
        <v>Not Active</v>
      </c>
    </row>
    <row r="728" spans="1:5" x14ac:dyDescent="0.25">
      <c r="A728" s="5" t="s">
        <v>1612</v>
      </c>
      <c r="B728" s="7" t="s">
        <v>1613</v>
      </c>
      <c r="C728" s="7" t="s">
        <v>3245</v>
      </c>
      <c r="D728" s="7"/>
      <c r="E728" t="str">
        <f>_xlfn.XLOOKUP(Table2[[#This Row],[RARC CODE]],'New Rarc Code'!A728:A1645,'New Rarc Code'!C728:C1645,"Not Active")</f>
        <v>Not Active</v>
      </c>
    </row>
    <row r="729" spans="1:5" x14ac:dyDescent="0.25">
      <c r="A729" s="5" t="s">
        <v>1614</v>
      </c>
      <c r="B729" s="8" t="s">
        <v>2331</v>
      </c>
      <c r="C729" s="8" t="s">
        <v>3246</v>
      </c>
      <c r="D729" s="8"/>
      <c r="E729" t="str">
        <f>_xlfn.XLOOKUP(Table2[[#This Row],[RARC CODE]],'New Rarc Code'!A729:A1646,'New Rarc Code'!C729:C1646,"Not Active")</f>
        <v>Not Active</v>
      </c>
    </row>
    <row r="730" spans="1:5" x14ac:dyDescent="0.25">
      <c r="A730" s="5" t="s">
        <v>1615</v>
      </c>
      <c r="B730" s="7" t="s">
        <v>1616</v>
      </c>
      <c r="C730" s="7" t="s">
        <v>3247</v>
      </c>
      <c r="D730" s="7" t="s">
        <v>3694</v>
      </c>
      <c r="E730" t="str">
        <f>_xlfn.XLOOKUP(Table2[[#This Row],[RARC CODE]],'New Rarc Code'!A730:A1647,'New Rarc Code'!C730:C1647,"Not Active")</f>
        <v>Not Active</v>
      </c>
    </row>
    <row r="731" spans="1:5" x14ac:dyDescent="0.25">
      <c r="A731" s="5" t="s">
        <v>703</v>
      </c>
      <c r="B731" s="7" t="s">
        <v>704</v>
      </c>
      <c r="C731" s="7" t="s">
        <v>3248</v>
      </c>
      <c r="D731" s="7"/>
      <c r="E731" t="str">
        <f>_xlfn.XLOOKUP(Table2[[#This Row],[RARC CODE]],'New Rarc Code'!A731:A1648,'New Rarc Code'!C731:C1648,"Not Active")</f>
        <v>Not Active</v>
      </c>
    </row>
    <row r="732" spans="1:5" x14ac:dyDescent="0.25">
      <c r="A732" s="5" t="s">
        <v>1617</v>
      </c>
      <c r="B732" s="7" t="s">
        <v>1618</v>
      </c>
      <c r="C732" s="7" t="s">
        <v>3249</v>
      </c>
      <c r="D732" s="7"/>
      <c r="E732" t="str">
        <f>_xlfn.XLOOKUP(Table2[[#This Row],[RARC CODE]],'New Rarc Code'!A732:A1649,'New Rarc Code'!C732:C1649,"Not Active")</f>
        <v>Not Active</v>
      </c>
    </row>
    <row r="733" spans="1:5" x14ac:dyDescent="0.25">
      <c r="A733" s="5" t="s">
        <v>1619</v>
      </c>
      <c r="B733" s="8" t="s">
        <v>2332</v>
      </c>
      <c r="C733" s="8" t="s">
        <v>3250</v>
      </c>
      <c r="D733" s="8"/>
      <c r="E733" t="str">
        <f>_xlfn.XLOOKUP(Table2[[#This Row],[RARC CODE]],'New Rarc Code'!A733:A1650,'New Rarc Code'!C733:C1650,"Not Active")</f>
        <v>Not Active</v>
      </c>
    </row>
    <row r="734" spans="1:5" x14ac:dyDescent="0.25">
      <c r="A734" s="5" t="s">
        <v>1620</v>
      </c>
      <c r="B734" s="7" t="s">
        <v>1621</v>
      </c>
      <c r="C734" s="7" t="s">
        <v>3251</v>
      </c>
      <c r="D734" s="7" t="s">
        <v>3694</v>
      </c>
      <c r="E734" t="str">
        <f>_xlfn.XLOOKUP(Table2[[#This Row],[RARC CODE]],'New Rarc Code'!A734:A1651,'New Rarc Code'!C734:C1651,"Not Active")</f>
        <v>Not Active</v>
      </c>
    </row>
    <row r="735" spans="1:5" x14ac:dyDescent="0.25">
      <c r="A735" s="5" t="s">
        <v>1622</v>
      </c>
      <c r="B735" s="8" t="s">
        <v>2333</v>
      </c>
      <c r="C735" s="8" t="s">
        <v>3252</v>
      </c>
      <c r="D735" s="8"/>
      <c r="E735" t="str">
        <f>_xlfn.XLOOKUP(Table2[[#This Row],[RARC CODE]],'New Rarc Code'!A735:A1652,'New Rarc Code'!C735:C1652,"Not Active")</f>
        <v>Not Active</v>
      </c>
    </row>
    <row r="736" spans="1:5" x14ac:dyDescent="0.25">
      <c r="A736" s="5" t="s">
        <v>1623</v>
      </c>
      <c r="B736" s="7" t="s">
        <v>1624</v>
      </c>
      <c r="C736" s="7" t="s">
        <v>3253</v>
      </c>
      <c r="D736" s="7"/>
      <c r="E736" t="str">
        <f>_xlfn.XLOOKUP(Table2[[#This Row],[RARC CODE]],'New Rarc Code'!A736:A1653,'New Rarc Code'!C736:C1653,"Not Active")</f>
        <v>Not Active</v>
      </c>
    </row>
    <row r="737" spans="1:5" x14ac:dyDescent="0.25">
      <c r="A737" s="5" t="s">
        <v>1625</v>
      </c>
      <c r="B737" s="7" t="s">
        <v>1626</v>
      </c>
      <c r="C737" s="7" t="s">
        <v>3254</v>
      </c>
      <c r="D737" s="7"/>
      <c r="E737" t="str">
        <f>_xlfn.XLOOKUP(Table2[[#This Row],[RARC CODE]],'New Rarc Code'!A737:A1654,'New Rarc Code'!C737:C1654,"Not Active")</f>
        <v>Not Active</v>
      </c>
    </row>
    <row r="738" spans="1:5" x14ac:dyDescent="0.25">
      <c r="A738" s="5" t="s">
        <v>1627</v>
      </c>
      <c r="B738" s="7" t="s">
        <v>1628</v>
      </c>
      <c r="C738" s="7" t="s">
        <v>3255</v>
      </c>
      <c r="D738" s="7"/>
      <c r="E738" t="str">
        <f>_xlfn.XLOOKUP(Table2[[#This Row],[RARC CODE]],'New Rarc Code'!A738:A1655,'New Rarc Code'!C738:C1655,"Not Active")</f>
        <v>Not Active</v>
      </c>
    </row>
    <row r="739" spans="1:5" x14ac:dyDescent="0.25">
      <c r="A739" s="5" t="s">
        <v>1629</v>
      </c>
      <c r="B739" s="7" t="s">
        <v>1630</v>
      </c>
      <c r="C739" s="7" t="s">
        <v>3256</v>
      </c>
      <c r="D739" s="7"/>
      <c r="E739" t="str">
        <f>_xlfn.XLOOKUP(Table2[[#This Row],[RARC CODE]],'New Rarc Code'!A739:A1656,'New Rarc Code'!C739:C1656,"Not Active")</f>
        <v>Not Active</v>
      </c>
    </row>
    <row r="740" spans="1:5" x14ac:dyDescent="0.25">
      <c r="A740" s="5" t="s">
        <v>1631</v>
      </c>
      <c r="B740" s="7" t="s">
        <v>1632</v>
      </c>
      <c r="C740" s="7" t="s">
        <v>3257</v>
      </c>
      <c r="D740" s="7"/>
      <c r="E740" t="str">
        <f>_xlfn.XLOOKUP(Table2[[#This Row],[RARC CODE]],'New Rarc Code'!A740:A1657,'New Rarc Code'!C740:C1657,"Not Active")</f>
        <v>Not Active</v>
      </c>
    </row>
    <row r="741" spans="1:5" x14ac:dyDescent="0.25">
      <c r="A741" s="5" t="s">
        <v>1633</v>
      </c>
      <c r="B741" s="7" t="s">
        <v>1634</v>
      </c>
      <c r="C741" s="7" t="s">
        <v>3258</v>
      </c>
      <c r="D741" s="7"/>
      <c r="E741" t="str">
        <f>_xlfn.XLOOKUP(Table2[[#This Row],[RARC CODE]],'New Rarc Code'!A741:A1658,'New Rarc Code'!C741:C1658,"Not Active")</f>
        <v>Not Active</v>
      </c>
    </row>
    <row r="742" spans="1:5" x14ac:dyDescent="0.25">
      <c r="A742" s="5" t="s">
        <v>705</v>
      </c>
      <c r="B742" s="7" t="s">
        <v>706</v>
      </c>
      <c r="C742" s="7" t="s">
        <v>3259</v>
      </c>
      <c r="D742" s="7"/>
      <c r="E742" t="str">
        <f>_xlfn.XLOOKUP(Table2[[#This Row],[RARC CODE]],'New Rarc Code'!A742:A1659,'New Rarc Code'!C742:C1659,"Not Active")</f>
        <v>Not Active</v>
      </c>
    </row>
    <row r="743" spans="1:5" x14ac:dyDescent="0.25">
      <c r="A743" s="5" t="s">
        <v>1635</v>
      </c>
      <c r="B743" s="7" t="s">
        <v>1636</v>
      </c>
      <c r="C743" s="7" t="s">
        <v>3260</v>
      </c>
      <c r="D743" s="7"/>
      <c r="E743" t="str">
        <f>_xlfn.XLOOKUP(Table2[[#This Row],[RARC CODE]],'New Rarc Code'!A743:A1660,'New Rarc Code'!C743:C1660,"Not Active")</f>
        <v>Not Active</v>
      </c>
    </row>
    <row r="744" spans="1:5" x14ac:dyDescent="0.25">
      <c r="A744" s="5" t="s">
        <v>1637</v>
      </c>
      <c r="B744" s="7" t="s">
        <v>1638</v>
      </c>
      <c r="C744" s="7" t="s">
        <v>3261</v>
      </c>
      <c r="D744" s="7"/>
      <c r="E744" t="str">
        <f>_xlfn.XLOOKUP(Table2[[#This Row],[RARC CODE]],'New Rarc Code'!A744:A1661,'New Rarc Code'!C744:C1661,"Not Active")</f>
        <v>Not Active</v>
      </c>
    </row>
    <row r="745" spans="1:5" x14ac:dyDescent="0.25">
      <c r="A745" s="5" t="s">
        <v>1639</v>
      </c>
      <c r="B745" s="7" t="s">
        <v>1640</v>
      </c>
      <c r="C745" s="7" t="s">
        <v>3262</v>
      </c>
      <c r="D745" s="7"/>
      <c r="E745" t="str">
        <f>_xlfn.XLOOKUP(Table2[[#This Row],[RARC CODE]],'New Rarc Code'!A745:A1662,'New Rarc Code'!C745:C1662,"Not Active")</f>
        <v>Not Active</v>
      </c>
    </row>
    <row r="746" spans="1:5" x14ac:dyDescent="0.25">
      <c r="A746" s="5" t="s">
        <v>1641</v>
      </c>
      <c r="B746" s="7" t="s">
        <v>1642</v>
      </c>
      <c r="C746" s="7" t="s">
        <v>3263</v>
      </c>
      <c r="D746" s="7"/>
      <c r="E746" t="str">
        <f>_xlfn.XLOOKUP(Table2[[#This Row],[RARC CODE]],'New Rarc Code'!A746:A1663,'New Rarc Code'!C746:C1663,"Not Active")</f>
        <v>Not Active</v>
      </c>
    </row>
    <row r="747" spans="1:5" x14ac:dyDescent="0.25">
      <c r="A747" s="5" t="s">
        <v>1643</v>
      </c>
      <c r="B747" s="7" t="s">
        <v>1644</v>
      </c>
      <c r="C747" s="7" t="s">
        <v>3264</v>
      </c>
      <c r="D747" s="7"/>
      <c r="E747" t="str">
        <f>_xlfn.XLOOKUP(Table2[[#This Row],[RARC CODE]],'New Rarc Code'!A747:A1664,'New Rarc Code'!C747:C1664,"Not Active")</f>
        <v>Not Active</v>
      </c>
    </row>
    <row r="748" spans="1:5" x14ac:dyDescent="0.25">
      <c r="A748" s="5" t="s">
        <v>1645</v>
      </c>
      <c r="B748" s="7" t="s">
        <v>1646</v>
      </c>
      <c r="C748" s="7" t="s">
        <v>3265</v>
      </c>
      <c r="D748" s="7"/>
      <c r="E748" t="str">
        <f>_xlfn.XLOOKUP(Table2[[#This Row],[RARC CODE]],'New Rarc Code'!A748:A1665,'New Rarc Code'!C748:C1665,"Not Active")</f>
        <v>Not Active</v>
      </c>
    </row>
    <row r="749" spans="1:5" x14ac:dyDescent="0.25">
      <c r="A749" s="5" t="s">
        <v>1647</v>
      </c>
      <c r="B749" s="7" t="s">
        <v>1648</v>
      </c>
      <c r="C749" s="7" t="s">
        <v>3266</v>
      </c>
      <c r="D749" s="7"/>
      <c r="E749" t="str">
        <f>_xlfn.XLOOKUP(Table2[[#This Row],[RARC CODE]],'New Rarc Code'!A749:A1666,'New Rarc Code'!C749:C1666,"Not Active")</f>
        <v>Not Active</v>
      </c>
    </row>
    <row r="750" spans="1:5" x14ac:dyDescent="0.25">
      <c r="A750" s="5" t="s">
        <v>1649</v>
      </c>
      <c r="B750" s="7" t="s">
        <v>1650</v>
      </c>
      <c r="C750" s="7" t="s">
        <v>3267</v>
      </c>
      <c r="D750" s="7"/>
      <c r="E750" t="str">
        <f>_xlfn.XLOOKUP(Table2[[#This Row],[RARC CODE]],'New Rarc Code'!A750:A1667,'New Rarc Code'!C750:C1667,"Not Active")</f>
        <v>Not Active</v>
      </c>
    </row>
    <row r="751" spans="1:5" x14ac:dyDescent="0.25">
      <c r="A751" s="5" t="s">
        <v>1651</v>
      </c>
      <c r="B751" s="7" t="s">
        <v>1652</v>
      </c>
      <c r="C751" s="7" t="s">
        <v>3268</v>
      </c>
      <c r="D751" s="7"/>
      <c r="E751" t="str">
        <f>_xlfn.XLOOKUP(Table2[[#This Row],[RARC CODE]],'New Rarc Code'!A751:A1668,'New Rarc Code'!C751:C1668,"Not Active")</f>
        <v>Not Active</v>
      </c>
    </row>
    <row r="752" spans="1:5" x14ac:dyDescent="0.25">
      <c r="A752" s="5" t="s">
        <v>1653</v>
      </c>
      <c r="B752" s="7" t="s">
        <v>1654</v>
      </c>
      <c r="C752" s="7" t="s">
        <v>3269</v>
      </c>
      <c r="D752" s="7"/>
      <c r="E752" t="str">
        <f>_xlfn.XLOOKUP(Table2[[#This Row],[RARC CODE]],'New Rarc Code'!A752:A1669,'New Rarc Code'!C752:C1669,"Not Active")</f>
        <v>Not Active</v>
      </c>
    </row>
    <row r="753" spans="1:5" x14ac:dyDescent="0.25">
      <c r="A753" s="5" t="s">
        <v>707</v>
      </c>
      <c r="B753" s="8" t="s">
        <v>2262</v>
      </c>
      <c r="C753" s="8" t="s">
        <v>3270</v>
      </c>
      <c r="D753" s="8"/>
      <c r="E753" t="str">
        <f>_xlfn.XLOOKUP(Table2[[#This Row],[RARC CODE]],'New Rarc Code'!A753:A1670,'New Rarc Code'!C753:C1670,"Not Active")</f>
        <v>Not Active</v>
      </c>
    </row>
    <row r="754" spans="1:5" x14ac:dyDescent="0.25">
      <c r="A754" s="5" t="s">
        <v>1655</v>
      </c>
      <c r="B754" s="7" t="s">
        <v>1656</v>
      </c>
      <c r="C754" s="7" t="s">
        <v>3271</v>
      </c>
      <c r="D754" s="7"/>
      <c r="E754" t="str">
        <f>_xlfn.XLOOKUP(Table2[[#This Row],[RARC CODE]],'New Rarc Code'!A754:A1671,'New Rarc Code'!C754:C1671,"Not Active")</f>
        <v>Not Active</v>
      </c>
    </row>
    <row r="755" spans="1:5" x14ac:dyDescent="0.25">
      <c r="A755" s="5" t="s">
        <v>1657</v>
      </c>
      <c r="B755" s="7" t="s">
        <v>1658</v>
      </c>
      <c r="C755" s="7" t="s">
        <v>3272</v>
      </c>
      <c r="D755" s="7"/>
      <c r="E755" t="str">
        <f>_xlfn.XLOOKUP(Table2[[#This Row],[RARC CODE]],'New Rarc Code'!A755:A1672,'New Rarc Code'!C755:C1672,"Not Active")</f>
        <v>Not Active</v>
      </c>
    </row>
    <row r="756" spans="1:5" x14ac:dyDescent="0.25">
      <c r="A756" s="5" t="s">
        <v>1659</v>
      </c>
      <c r="B756" s="7" t="s">
        <v>1660</v>
      </c>
      <c r="C756" s="7" t="s">
        <v>3273</v>
      </c>
      <c r="D756" s="7"/>
      <c r="E756" t="str">
        <f>_xlfn.XLOOKUP(Table2[[#This Row],[RARC CODE]],'New Rarc Code'!A756:A1673,'New Rarc Code'!C756:C1673,"Not Active")</f>
        <v>Not Active</v>
      </c>
    </row>
    <row r="757" spans="1:5" x14ac:dyDescent="0.25">
      <c r="A757" s="5" t="s">
        <v>1661</v>
      </c>
      <c r="B757" s="7" t="s">
        <v>1662</v>
      </c>
      <c r="C757" s="7" t="s">
        <v>3274</v>
      </c>
      <c r="D757" s="7"/>
      <c r="E757" t="str">
        <f>_xlfn.XLOOKUP(Table2[[#This Row],[RARC CODE]],'New Rarc Code'!A757:A1674,'New Rarc Code'!C757:C1674,"Not Active")</f>
        <v>Not Active</v>
      </c>
    </row>
    <row r="758" spans="1:5" x14ac:dyDescent="0.25">
      <c r="A758" s="5" t="s">
        <v>1663</v>
      </c>
      <c r="B758" s="7" t="s">
        <v>1664</v>
      </c>
      <c r="C758" s="7" t="s">
        <v>3275</v>
      </c>
      <c r="D758" s="7"/>
      <c r="E758" t="str">
        <f>_xlfn.XLOOKUP(Table2[[#This Row],[RARC CODE]],'New Rarc Code'!A758:A1675,'New Rarc Code'!C758:C1675,"Not Active")</f>
        <v>Not Active</v>
      </c>
    </row>
    <row r="759" spans="1:5" x14ac:dyDescent="0.25">
      <c r="A759" s="5" t="s">
        <v>1665</v>
      </c>
      <c r="B759" s="7" t="s">
        <v>1666</v>
      </c>
      <c r="C759" s="7" t="s">
        <v>3276</v>
      </c>
      <c r="D759" s="7"/>
      <c r="E759" t="str">
        <f>_xlfn.XLOOKUP(Table2[[#This Row],[RARC CODE]],'New Rarc Code'!A759:A1676,'New Rarc Code'!C759:C1676,"Not Active")</f>
        <v>Not Active</v>
      </c>
    </row>
    <row r="760" spans="1:5" x14ac:dyDescent="0.25">
      <c r="A760" s="5" t="s">
        <v>1667</v>
      </c>
      <c r="B760" s="7" t="s">
        <v>1668</v>
      </c>
      <c r="C760" s="7" t="s">
        <v>3277</v>
      </c>
      <c r="D760" s="7" t="s">
        <v>3694</v>
      </c>
      <c r="E760" t="str">
        <f>_xlfn.XLOOKUP(Table2[[#This Row],[RARC CODE]],'New Rarc Code'!A760:A1677,'New Rarc Code'!C760:C1677,"Not Active")</f>
        <v>Not Active</v>
      </c>
    </row>
    <row r="761" spans="1:5" x14ac:dyDescent="0.25">
      <c r="A761" s="5" t="s">
        <v>1669</v>
      </c>
      <c r="B761" s="7" t="s">
        <v>1670</v>
      </c>
      <c r="C761" s="7" t="s">
        <v>3278</v>
      </c>
      <c r="D761" s="7"/>
      <c r="E761" t="str">
        <f>_xlfn.XLOOKUP(Table2[[#This Row],[RARC CODE]],'New Rarc Code'!A761:A1678,'New Rarc Code'!C761:C1678,"Not Active")</f>
        <v>Not Active</v>
      </c>
    </row>
    <row r="762" spans="1:5" x14ac:dyDescent="0.25">
      <c r="A762" s="5" t="s">
        <v>1671</v>
      </c>
      <c r="B762" s="7" t="s">
        <v>1672</v>
      </c>
      <c r="C762" s="7" t="s">
        <v>3279</v>
      </c>
      <c r="D762" s="7"/>
      <c r="E762" t="str">
        <f>_xlfn.XLOOKUP(Table2[[#This Row],[RARC CODE]],'New Rarc Code'!A762:A1679,'New Rarc Code'!C762:C1679,"Not Active")</f>
        <v>Not Active</v>
      </c>
    </row>
    <row r="763" spans="1:5" x14ac:dyDescent="0.25">
      <c r="A763" s="5" t="s">
        <v>1673</v>
      </c>
      <c r="B763" s="7" t="s">
        <v>1674</v>
      </c>
      <c r="C763" s="7" t="s">
        <v>3280</v>
      </c>
      <c r="D763" s="7"/>
      <c r="E763" t="str">
        <f>_xlfn.XLOOKUP(Table2[[#This Row],[RARC CODE]],'New Rarc Code'!A763:A1680,'New Rarc Code'!C763:C1680,"Not Active")</f>
        <v>Not Active</v>
      </c>
    </row>
    <row r="764" spans="1:5" x14ac:dyDescent="0.25">
      <c r="A764" s="5" t="s">
        <v>619</v>
      </c>
      <c r="B764" s="7" t="s">
        <v>620</v>
      </c>
      <c r="C764" s="7" t="s">
        <v>3281</v>
      </c>
      <c r="D764" s="7"/>
      <c r="E764" t="str">
        <f>_xlfn.XLOOKUP(Table2[[#This Row],[RARC CODE]],'New Rarc Code'!A764:A1681,'New Rarc Code'!C764:C1681,"Not Active")</f>
        <v>Not Active</v>
      </c>
    </row>
    <row r="765" spans="1:5" x14ac:dyDescent="0.25">
      <c r="A765" s="5" t="s">
        <v>1675</v>
      </c>
      <c r="B765" s="7" t="s">
        <v>1676</v>
      </c>
      <c r="C765" s="7" t="s">
        <v>3282</v>
      </c>
      <c r="D765" s="7"/>
      <c r="E765" t="str">
        <f>_xlfn.XLOOKUP(Table2[[#This Row],[RARC CODE]],'New Rarc Code'!A765:A1682,'New Rarc Code'!C765:C1682,"Not Active")</f>
        <v>Not Active</v>
      </c>
    </row>
    <row r="766" spans="1:5" x14ac:dyDescent="0.25">
      <c r="A766" s="5" t="s">
        <v>1677</v>
      </c>
      <c r="B766" s="7" t="s">
        <v>1678</v>
      </c>
      <c r="C766" s="7" t="s">
        <v>3283</v>
      </c>
      <c r="D766" s="7"/>
      <c r="E766" t="str">
        <f>_xlfn.XLOOKUP(Table2[[#This Row],[RARC CODE]],'New Rarc Code'!A766:A1683,'New Rarc Code'!C766:C1683,"Not Active")</f>
        <v>Not Active</v>
      </c>
    </row>
    <row r="767" spans="1:5" x14ac:dyDescent="0.25">
      <c r="A767" s="5" t="s">
        <v>1679</v>
      </c>
      <c r="B767" s="7" t="s">
        <v>1680</v>
      </c>
      <c r="C767" s="7" t="s">
        <v>3284</v>
      </c>
      <c r="D767" s="7"/>
      <c r="E767" t="str">
        <f>_xlfn.XLOOKUP(Table2[[#This Row],[RARC CODE]],'New Rarc Code'!A767:A1684,'New Rarc Code'!C767:C1684,"Not Active")</f>
        <v>Not Active</v>
      </c>
    </row>
    <row r="768" spans="1:5" x14ac:dyDescent="0.25">
      <c r="A768" s="5" t="s">
        <v>1681</v>
      </c>
      <c r="B768" s="7" t="s">
        <v>1682</v>
      </c>
      <c r="C768" s="7" t="s">
        <v>3285</v>
      </c>
      <c r="D768" s="7"/>
      <c r="E768" t="str">
        <f>_xlfn.XLOOKUP(Table2[[#This Row],[RARC CODE]],'New Rarc Code'!A768:A1685,'New Rarc Code'!C768:C1685,"Not Active")</f>
        <v>Not Active</v>
      </c>
    </row>
    <row r="769" spans="1:5" x14ac:dyDescent="0.25">
      <c r="A769" s="5" t="s">
        <v>1683</v>
      </c>
      <c r="B769" s="7" t="s">
        <v>1684</v>
      </c>
      <c r="C769" s="7" t="s">
        <v>3286</v>
      </c>
      <c r="D769" s="7"/>
      <c r="E769" t="str">
        <f>_xlfn.XLOOKUP(Table2[[#This Row],[RARC CODE]],'New Rarc Code'!A769:A1686,'New Rarc Code'!C769:C1686,"Not Active")</f>
        <v>Not Active</v>
      </c>
    </row>
    <row r="770" spans="1:5" x14ac:dyDescent="0.25">
      <c r="A770" s="5" t="s">
        <v>1685</v>
      </c>
      <c r="B770" s="7" t="s">
        <v>1686</v>
      </c>
      <c r="C770" s="7" t="s">
        <v>3287</v>
      </c>
      <c r="D770" s="7" t="s">
        <v>3694</v>
      </c>
      <c r="E770" t="str">
        <f>_xlfn.XLOOKUP(Table2[[#This Row],[RARC CODE]],'New Rarc Code'!A770:A1687,'New Rarc Code'!C770:C1687,"Not Active")</f>
        <v>Not Active</v>
      </c>
    </row>
    <row r="771" spans="1:5" x14ac:dyDescent="0.25">
      <c r="A771" s="5" t="s">
        <v>1687</v>
      </c>
      <c r="B771" s="7" t="s">
        <v>1688</v>
      </c>
      <c r="C771" s="7" t="s">
        <v>3288</v>
      </c>
      <c r="D771" s="7"/>
      <c r="E771" t="str">
        <f>_xlfn.XLOOKUP(Table2[[#This Row],[RARC CODE]],'New Rarc Code'!A771:A1688,'New Rarc Code'!C771:C1688,"Not Active")</f>
        <v>Not Active</v>
      </c>
    </row>
    <row r="772" spans="1:5" x14ac:dyDescent="0.25">
      <c r="A772" s="5" t="s">
        <v>1689</v>
      </c>
      <c r="B772" s="7" t="s">
        <v>1690</v>
      </c>
      <c r="C772" s="7" t="s">
        <v>3289</v>
      </c>
      <c r="D772" s="7"/>
      <c r="E772" t="str">
        <f>_xlfn.XLOOKUP(Table2[[#This Row],[RARC CODE]],'New Rarc Code'!A772:A1689,'New Rarc Code'!C772:C1689,"Not Active")</f>
        <v>Not Active</v>
      </c>
    </row>
    <row r="773" spans="1:5" x14ac:dyDescent="0.25">
      <c r="A773" s="5" t="s">
        <v>1691</v>
      </c>
      <c r="B773" s="7" t="s">
        <v>1692</v>
      </c>
      <c r="C773" s="7" t="s">
        <v>3290</v>
      </c>
      <c r="D773" s="7"/>
      <c r="E773" t="str">
        <f>_xlfn.XLOOKUP(Table2[[#This Row],[RARC CODE]],'New Rarc Code'!A773:A1690,'New Rarc Code'!C773:C1690,"Not Active")</f>
        <v>Not Active</v>
      </c>
    </row>
    <row r="774" spans="1:5" x14ac:dyDescent="0.25">
      <c r="A774" s="5" t="s">
        <v>1693</v>
      </c>
      <c r="B774" s="7" t="s">
        <v>1694</v>
      </c>
      <c r="C774" s="7" t="s">
        <v>3291</v>
      </c>
      <c r="D774" s="7"/>
      <c r="E774" t="str">
        <f>_xlfn.XLOOKUP(Table2[[#This Row],[RARC CODE]],'New Rarc Code'!A774:A1691,'New Rarc Code'!C774:C1691,"Not Active")</f>
        <v>Not Active</v>
      </c>
    </row>
    <row r="775" spans="1:5" x14ac:dyDescent="0.25">
      <c r="A775" s="5" t="s">
        <v>708</v>
      </c>
      <c r="B775" s="7" t="s">
        <v>709</v>
      </c>
      <c r="C775" s="7" t="s">
        <v>3292</v>
      </c>
      <c r="D775" s="7"/>
      <c r="E775" t="str">
        <f>_xlfn.XLOOKUP(Table2[[#This Row],[RARC CODE]],'New Rarc Code'!A775:A1692,'New Rarc Code'!C775:C1692,"Not Active")</f>
        <v>Not Active</v>
      </c>
    </row>
    <row r="776" spans="1:5" x14ac:dyDescent="0.25">
      <c r="A776" s="5" t="s">
        <v>1695</v>
      </c>
      <c r="B776" s="8" t="s">
        <v>2334</v>
      </c>
      <c r="C776" s="8" t="s">
        <v>3293</v>
      </c>
      <c r="D776" s="8"/>
      <c r="E776" t="str">
        <f>_xlfn.XLOOKUP(Table2[[#This Row],[RARC CODE]],'New Rarc Code'!A776:A1693,'New Rarc Code'!C776:C1693,"Not Active")</f>
        <v>Not Active</v>
      </c>
    </row>
    <row r="777" spans="1:5" x14ac:dyDescent="0.25">
      <c r="A777" s="5" t="s">
        <v>1696</v>
      </c>
      <c r="B777" s="7" t="s">
        <v>1697</v>
      </c>
      <c r="C777" s="7" t="s">
        <v>3294</v>
      </c>
      <c r="D777" s="7"/>
      <c r="E777" t="str">
        <f>_xlfn.XLOOKUP(Table2[[#This Row],[RARC CODE]],'New Rarc Code'!A777:A1694,'New Rarc Code'!C777:C1694,"Not Active")</f>
        <v>Not Active</v>
      </c>
    </row>
    <row r="778" spans="1:5" x14ac:dyDescent="0.25">
      <c r="A778" s="5" t="s">
        <v>1698</v>
      </c>
      <c r="B778" s="7" t="s">
        <v>1699</v>
      </c>
      <c r="C778" s="7" t="s">
        <v>3295</v>
      </c>
      <c r="D778" s="7" t="s">
        <v>3694</v>
      </c>
      <c r="E778" t="str">
        <f>_xlfn.XLOOKUP(Table2[[#This Row],[RARC CODE]],'New Rarc Code'!A778:A1695,'New Rarc Code'!C778:C1695,"Not Active")</f>
        <v>Not Active</v>
      </c>
    </row>
    <row r="779" spans="1:5" x14ac:dyDescent="0.25">
      <c r="A779" s="5" t="s">
        <v>1700</v>
      </c>
      <c r="B779" s="8" t="s">
        <v>2335</v>
      </c>
      <c r="C779" s="8" t="s">
        <v>3296</v>
      </c>
      <c r="D779" s="8"/>
      <c r="E779" t="str">
        <f>_xlfn.XLOOKUP(Table2[[#This Row],[RARC CODE]],'New Rarc Code'!A779:A1696,'New Rarc Code'!C779:C1696,"Not Active")</f>
        <v>Not Active</v>
      </c>
    </row>
    <row r="780" spans="1:5" x14ac:dyDescent="0.25">
      <c r="A780" s="5" t="s">
        <v>1701</v>
      </c>
      <c r="B780" s="8" t="s">
        <v>2336</v>
      </c>
      <c r="C780" s="8" t="s">
        <v>3297</v>
      </c>
      <c r="D780" s="8"/>
      <c r="E780" t="str">
        <f>_xlfn.XLOOKUP(Table2[[#This Row],[RARC CODE]],'New Rarc Code'!A780:A1697,'New Rarc Code'!C780:C1697,"Not Active")</f>
        <v>Not Active</v>
      </c>
    </row>
    <row r="781" spans="1:5" x14ac:dyDescent="0.25">
      <c r="A781" s="5" t="s">
        <v>1702</v>
      </c>
      <c r="B781" s="8" t="s">
        <v>2337</v>
      </c>
      <c r="C781" s="8" t="s">
        <v>3298</v>
      </c>
      <c r="D781" s="8"/>
      <c r="E781" t="str">
        <f>_xlfn.XLOOKUP(Table2[[#This Row],[RARC CODE]],'New Rarc Code'!A781:A1698,'New Rarc Code'!C781:C1698,"Not Active")</f>
        <v>Not Active</v>
      </c>
    </row>
    <row r="782" spans="1:5" x14ac:dyDescent="0.25">
      <c r="A782" s="5" t="s">
        <v>1703</v>
      </c>
      <c r="B782" s="8" t="s">
        <v>2338</v>
      </c>
      <c r="C782" s="8" t="s">
        <v>3299</v>
      </c>
      <c r="D782" s="8"/>
      <c r="E782" t="str">
        <f>_xlfn.XLOOKUP(Table2[[#This Row],[RARC CODE]],'New Rarc Code'!A782:A1699,'New Rarc Code'!C782:C1699,"Not Active")</f>
        <v>Not Active</v>
      </c>
    </row>
    <row r="783" spans="1:5" x14ac:dyDescent="0.25">
      <c r="A783" s="5" t="s">
        <v>1704</v>
      </c>
      <c r="B783" s="7" t="s">
        <v>1705</v>
      </c>
      <c r="C783" s="7" t="s">
        <v>3300</v>
      </c>
      <c r="D783" s="7"/>
      <c r="E783" t="str">
        <f>_xlfn.XLOOKUP(Table2[[#This Row],[RARC CODE]],'New Rarc Code'!A783:A1700,'New Rarc Code'!C783:C1700,"Not Active")</f>
        <v>Not Active</v>
      </c>
    </row>
    <row r="784" spans="1:5" x14ac:dyDescent="0.25">
      <c r="A784" s="5" t="s">
        <v>1706</v>
      </c>
      <c r="B784" s="8" t="s">
        <v>2339</v>
      </c>
      <c r="C784" s="8" t="s">
        <v>3301</v>
      </c>
      <c r="D784" s="8"/>
      <c r="E784" t="str">
        <f>_xlfn.XLOOKUP(Table2[[#This Row],[RARC CODE]],'New Rarc Code'!A784:A1701,'New Rarc Code'!C784:C1701,"Not Active")</f>
        <v>Not Active</v>
      </c>
    </row>
    <row r="785" spans="1:5" x14ac:dyDescent="0.25">
      <c r="A785" s="5" t="s">
        <v>1707</v>
      </c>
      <c r="B785" s="7" t="s">
        <v>1708</v>
      </c>
      <c r="C785" s="7" t="s">
        <v>3302</v>
      </c>
      <c r="D785" s="7"/>
      <c r="E785" t="str">
        <f>_xlfn.XLOOKUP(Table2[[#This Row],[RARC CODE]],'New Rarc Code'!A785:A1702,'New Rarc Code'!C785:C1702,"Not Active")</f>
        <v>Not Active</v>
      </c>
    </row>
    <row r="786" spans="1:5" x14ac:dyDescent="0.25">
      <c r="A786" s="5" t="s">
        <v>710</v>
      </c>
      <c r="B786" s="7" t="s">
        <v>711</v>
      </c>
      <c r="C786" s="7" t="s">
        <v>3303</v>
      </c>
      <c r="D786" s="7"/>
      <c r="E786" t="str">
        <f>_xlfn.XLOOKUP(Table2[[#This Row],[RARC CODE]],'New Rarc Code'!A786:A1703,'New Rarc Code'!C786:C1703,"Not Active")</f>
        <v>Not Active</v>
      </c>
    </row>
    <row r="787" spans="1:5" x14ac:dyDescent="0.25">
      <c r="A787" s="5" t="s">
        <v>1709</v>
      </c>
      <c r="B787" s="8" t="s">
        <v>2340</v>
      </c>
      <c r="C787" s="8" t="s">
        <v>3304</v>
      </c>
      <c r="D787" s="8"/>
      <c r="E787" t="str">
        <f>_xlfn.XLOOKUP(Table2[[#This Row],[RARC CODE]],'New Rarc Code'!A787:A1704,'New Rarc Code'!C787:C1704,"Not Active")</f>
        <v>Not Active</v>
      </c>
    </row>
    <row r="788" spans="1:5" x14ac:dyDescent="0.25">
      <c r="A788" s="5" t="s">
        <v>1710</v>
      </c>
      <c r="B788" s="7" t="s">
        <v>1711</v>
      </c>
      <c r="C788" s="7" t="s">
        <v>3305</v>
      </c>
      <c r="D788" s="7"/>
      <c r="E788" t="str">
        <f>_xlfn.XLOOKUP(Table2[[#This Row],[RARC CODE]],'New Rarc Code'!A788:A1705,'New Rarc Code'!C788:C1705,"Not Active")</f>
        <v>Not Active</v>
      </c>
    </row>
    <row r="789" spans="1:5" x14ac:dyDescent="0.25">
      <c r="A789" s="5" t="s">
        <v>1712</v>
      </c>
      <c r="B789" s="7" t="s">
        <v>1713</v>
      </c>
      <c r="C789" s="7" t="s">
        <v>3306</v>
      </c>
      <c r="D789" s="7"/>
      <c r="E789" t="str">
        <f>_xlfn.XLOOKUP(Table2[[#This Row],[RARC CODE]],'New Rarc Code'!A789:A1706,'New Rarc Code'!C789:C1706,"Not Active")</f>
        <v>Not Active</v>
      </c>
    </row>
    <row r="790" spans="1:5" x14ac:dyDescent="0.25">
      <c r="A790" s="5" t="s">
        <v>1714</v>
      </c>
      <c r="B790" s="7" t="s">
        <v>1715</v>
      </c>
      <c r="C790" s="7" t="s">
        <v>3307</v>
      </c>
      <c r="D790" s="7"/>
      <c r="E790" t="str">
        <f>_xlfn.XLOOKUP(Table2[[#This Row],[RARC CODE]],'New Rarc Code'!A790:A1707,'New Rarc Code'!C790:C1707,"Not Active")</f>
        <v>Not Active</v>
      </c>
    </row>
    <row r="791" spans="1:5" x14ac:dyDescent="0.25">
      <c r="A791" s="5" t="s">
        <v>1716</v>
      </c>
      <c r="B791" s="7" t="s">
        <v>1717</v>
      </c>
      <c r="C791" s="7" t="s">
        <v>3308</v>
      </c>
      <c r="D791" s="7"/>
      <c r="E791" t="str">
        <f>_xlfn.XLOOKUP(Table2[[#This Row],[RARC CODE]],'New Rarc Code'!A791:A1708,'New Rarc Code'!C791:C1708,"Not Active")</f>
        <v>Not Active</v>
      </c>
    </row>
    <row r="792" spans="1:5" x14ac:dyDescent="0.25">
      <c r="A792" s="5" t="s">
        <v>1718</v>
      </c>
      <c r="B792" s="7" t="s">
        <v>1719</v>
      </c>
      <c r="C792" s="7" t="s">
        <v>3309</v>
      </c>
      <c r="D792" s="7"/>
      <c r="E792" t="str">
        <f>_xlfn.XLOOKUP(Table2[[#This Row],[RARC CODE]],'New Rarc Code'!A792:A1709,'New Rarc Code'!C792:C1709,"Not Active")</f>
        <v>Not Active</v>
      </c>
    </row>
    <row r="793" spans="1:5" x14ac:dyDescent="0.25">
      <c r="A793" s="5" t="s">
        <v>1720</v>
      </c>
      <c r="B793" s="7" t="s">
        <v>1721</v>
      </c>
      <c r="C793" s="7" t="s">
        <v>3310</v>
      </c>
      <c r="D793" s="7"/>
      <c r="E793" t="str">
        <f>_xlfn.XLOOKUP(Table2[[#This Row],[RARC CODE]],'New Rarc Code'!A793:A1710,'New Rarc Code'!C793:C1710,"Not Active")</f>
        <v>Not Active</v>
      </c>
    </row>
    <row r="794" spans="1:5" x14ac:dyDescent="0.25">
      <c r="A794" s="5" t="s">
        <v>1722</v>
      </c>
      <c r="B794" s="7" t="s">
        <v>1723</v>
      </c>
      <c r="C794" s="7" t="s">
        <v>3311</v>
      </c>
      <c r="D794" s="7"/>
      <c r="E794" t="str">
        <f>_xlfn.XLOOKUP(Table2[[#This Row],[RARC CODE]],'New Rarc Code'!A794:A1711,'New Rarc Code'!C794:C1711,"Not Active")</f>
        <v>Not Active</v>
      </c>
    </row>
    <row r="795" spans="1:5" x14ac:dyDescent="0.25">
      <c r="A795" s="5" t="s">
        <v>1724</v>
      </c>
      <c r="B795" s="7" t="s">
        <v>1725</v>
      </c>
      <c r="C795" s="7" t="s">
        <v>3312</v>
      </c>
      <c r="D795" s="7"/>
      <c r="E795" t="str">
        <f>_xlfn.XLOOKUP(Table2[[#This Row],[RARC CODE]],'New Rarc Code'!A795:A1712,'New Rarc Code'!C795:C1712,"Not Active")</f>
        <v>Not Active</v>
      </c>
    </row>
    <row r="796" spans="1:5" x14ac:dyDescent="0.25">
      <c r="A796" s="5" t="s">
        <v>712</v>
      </c>
      <c r="B796" s="7" t="s">
        <v>713</v>
      </c>
      <c r="C796" s="7" t="s">
        <v>3313</v>
      </c>
      <c r="D796" s="7"/>
      <c r="E796" t="str">
        <f>_xlfn.XLOOKUP(Table2[[#This Row],[RARC CODE]],'New Rarc Code'!A796:A1713,'New Rarc Code'!C796:C1713,"Not Active")</f>
        <v>Not Active</v>
      </c>
    </row>
    <row r="797" spans="1:5" x14ac:dyDescent="0.25">
      <c r="A797" s="5" t="s">
        <v>1726</v>
      </c>
      <c r="B797" s="7" t="s">
        <v>1727</v>
      </c>
      <c r="C797" s="7" t="s">
        <v>3314</v>
      </c>
      <c r="D797" s="7" t="s">
        <v>3694</v>
      </c>
      <c r="E797" t="str">
        <f>_xlfn.XLOOKUP(Table2[[#This Row],[RARC CODE]],'New Rarc Code'!A797:A1714,'New Rarc Code'!C797:C1714,"Not Active")</f>
        <v>Not Active</v>
      </c>
    </row>
    <row r="798" spans="1:5" x14ac:dyDescent="0.25">
      <c r="A798" s="5" t="s">
        <v>1728</v>
      </c>
      <c r="B798" s="7" t="s">
        <v>1729</v>
      </c>
      <c r="C798" s="7" t="s">
        <v>3315</v>
      </c>
      <c r="D798" s="7"/>
      <c r="E798" t="str">
        <f>_xlfn.XLOOKUP(Table2[[#This Row],[RARC CODE]],'New Rarc Code'!A798:A1715,'New Rarc Code'!C798:C1715,"Not Active")</f>
        <v>Not Active</v>
      </c>
    </row>
    <row r="799" spans="1:5" x14ac:dyDescent="0.25">
      <c r="A799" s="5" t="s">
        <v>1730</v>
      </c>
      <c r="B799" s="7" t="s">
        <v>1731</v>
      </c>
      <c r="C799" s="7" t="s">
        <v>3316</v>
      </c>
      <c r="D799" s="7"/>
      <c r="E799" t="str">
        <f>_xlfn.XLOOKUP(Table2[[#This Row],[RARC CODE]],'New Rarc Code'!A799:A1716,'New Rarc Code'!C799:C1716,"Not Active")</f>
        <v>Not Active</v>
      </c>
    </row>
    <row r="800" spans="1:5" x14ac:dyDescent="0.25">
      <c r="A800" s="5" t="s">
        <v>1732</v>
      </c>
      <c r="B800" s="7" t="s">
        <v>1733</v>
      </c>
      <c r="C800" s="7" t="s">
        <v>3317</v>
      </c>
      <c r="D800" s="7"/>
      <c r="E800" t="str">
        <f>_xlfn.XLOOKUP(Table2[[#This Row],[RARC CODE]],'New Rarc Code'!A800:A1717,'New Rarc Code'!C800:C1717,"Not Active")</f>
        <v>Not Active</v>
      </c>
    </row>
    <row r="801" spans="1:5" x14ac:dyDescent="0.25">
      <c r="A801" s="5" t="s">
        <v>1734</v>
      </c>
      <c r="B801" s="7" t="s">
        <v>1735</v>
      </c>
      <c r="C801" s="7" t="s">
        <v>3318</v>
      </c>
      <c r="D801" s="7"/>
      <c r="E801" t="str">
        <f>_xlfn.XLOOKUP(Table2[[#This Row],[RARC CODE]],'New Rarc Code'!A801:A1718,'New Rarc Code'!C801:C1718,"Not Active")</f>
        <v>Not Active</v>
      </c>
    </row>
    <row r="802" spans="1:5" x14ac:dyDescent="0.25">
      <c r="A802" s="5" t="s">
        <v>1736</v>
      </c>
      <c r="B802" s="7" t="s">
        <v>1737</v>
      </c>
      <c r="C802" s="7" t="s">
        <v>3319</v>
      </c>
      <c r="D802" s="7"/>
      <c r="E802" t="str">
        <f>_xlfn.XLOOKUP(Table2[[#This Row],[RARC CODE]],'New Rarc Code'!A802:A1719,'New Rarc Code'!C802:C1719,"Not Active")</f>
        <v>Not Active</v>
      </c>
    </row>
    <row r="803" spans="1:5" x14ac:dyDescent="0.25">
      <c r="A803" s="5" t="s">
        <v>1738</v>
      </c>
      <c r="B803" s="7" t="s">
        <v>1739</v>
      </c>
      <c r="C803" s="7" t="s">
        <v>3320</v>
      </c>
      <c r="D803" s="7"/>
      <c r="E803" t="str">
        <f>_xlfn.XLOOKUP(Table2[[#This Row],[RARC CODE]],'New Rarc Code'!A803:A1720,'New Rarc Code'!C803:C1720,"Not Active")</f>
        <v>Not Active</v>
      </c>
    </row>
    <row r="804" spans="1:5" x14ac:dyDescent="0.25">
      <c r="A804" s="5" t="s">
        <v>1740</v>
      </c>
      <c r="B804" s="7" t="s">
        <v>1741</v>
      </c>
      <c r="C804" s="7" t="s">
        <v>3321</v>
      </c>
      <c r="D804" s="7"/>
      <c r="E804" t="str">
        <f>_xlfn.XLOOKUP(Table2[[#This Row],[RARC CODE]],'New Rarc Code'!A804:A1721,'New Rarc Code'!C804:C1721,"Not Active")</f>
        <v>Not Active</v>
      </c>
    </row>
    <row r="805" spans="1:5" x14ac:dyDescent="0.25">
      <c r="A805" s="5" t="s">
        <v>1742</v>
      </c>
      <c r="B805" s="7" t="s">
        <v>1743</v>
      </c>
      <c r="C805" s="7" t="s">
        <v>3322</v>
      </c>
      <c r="D805" s="7"/>
      <c r="E805" t="str">
        <f>_xlfn.XLOOKUP(Table2[[#This Row],[RARC CODE]],'New Rarc Code'!A805:A1722,'New Rarc Code'!C805:C1722,"Not Active")</f>
        <v>Not Active</v>
      </c>
    </row>
    <row r="806" spans="1:5" x14ac:dyDescent="0.25">
      <c r="A806" s="5" t="s">
        <v>714</v>
      </c>
      <c r="B806" s="7" t="s">
        <v>715</v>
      </c>
      <c r="C806" s="7" t="s">
        <v>3323</v>
      </c>
      <c r="D806" s="7"/>
      <c r="E806" t="str">
        <f>_xlfn.XLOOKUP(Table2[[#This Row],[RARC CODE]],'New Rarc Code'!A806:A1723,'New Rarc Code'!C806:C1723,"Not Active")</f>
        <v>Not Active</v>
      </c>
    </row>
    <row r="807" spans="1:5" x14ac:dyDescent="0.25">
      <c r="A807" s="5" t="s">
        <v>1744</v>
      </c>
      <c r="B807" s="7" t="s">
        <v>1745</v>
      </c>
      <c r="C807" s="7" t="s">
        <v>3324</v>
      </c>
      <c r="D807" s="7"/>
      <c r="E807" t="str">
        <f>_xlfn.XLOOKUP(Table2[[#This Row],[RARC CODE]],'New Rarc Code'!A807:A1724,'New Rarc Code'!C807:C1724,"Not Active")</f>
        <v>Not Active</v>
      </c>
    </row>
    <row r="808" spans="1:5" x14ac:dyDescent="0.25">
      <c r="A808" s="5" t="s">
        <v>1746</v>
      </c>
      <c r="B808" s="7" t="s">
        <v>1747</v>
      </c>
      <c r="C808" s="7" t="s">
        <v>3325</v>
      </c>
      <c r="D808" s="7"/>
      <c r="E808" t="str">
        <f>_xlfn.XLOOKUP(Table2[[#This Row],[RARC CODE]],'New Rarc Code'!A808:A1725,'New Rarc Code'!C808:C1725,"Not Active")</f>
        <v>Not Active</v>
      </c>
    </row>
    <row r="809" spans="1:5" x14ac:dyDescent="0.25">
      <c r="A809" s="5" t="s">
        <v>1748</v>
      </c>
      <c r="B809" s="7" t="s">
        <v>1749</v>
      </c>
      <c r="C809" s="7" t="s">
        <v>3326</v>
      </c>
      <c r="D809" s="7"/>
      <c r="E809" t="str">
        <f>_xlfn.XLOOKUP(Table2[[#This Row],[RARC CODE]],'New Rarc Code'!A809:A1726,'New Rarc Code'!C809:C1726,"Not Active")</f>
        <v>Not Active</v>
      </c>
    </row>
    <row r="810" spans="1:5" x14ac:dyDescent="0.25">
      <c r="A810" s="5" t="s">
        <v>1750</v>
      </c>
      <c r="B810" s="7" t="s">
        <v>1751</v>
      </c>
      <c r="C810" s="7" t="s">
        <v>3327</v>
      </c>
      <c r="D810" s="7"/>
      <c r="E810" t="str">
        <f>_xlfn.XLOOKUP(Table2[[#This Row],[RARC CODE]],'New Rarc Code'!A810:A1727,'New Rarc Code'!C810:C1727,"Not Active")</f>
        <v>Not Active</v>
      </c>
    </row>
    <row r="811" spans="1:5" x14ac:dyDescent="0.25">
      <c r="A811" s="5" t="s">
        <v>1752</v>
      </c>
      <c r="B811" s="7" t="s">
        <v>1753</v>
      </c>
      <c r="C811" s="7" t="s">
        <v>3328</v>
      </c>
      <c r="D811" s="7"/>
      <c r="E811" t="str">
        <f>_xlfn.XLOOKUP(Table2[[#This Row],[RARC CODE]],'New Rarc Code'!A811:A1728,'New Rarc Code'!C811:C1728,"Not Active")</f>
        <v>Not Active</v>
      </c>
    </row>
    <row r="812" spans="1:5" x14ac:dyDescent="0.25">
      <c r="A812" s="5" t="s">
        <v>1754</v>
      </c>
      <c r="B812" s="7" t="s">
        <v>1755</v>
      </c>
      <c r="C812" s="7" t="s">
        <v>3329</v>
      </c>
      <c r="D812" s="7"/>
      <c r="E812" t="str">
        <f>_xlfn.XLOOKUP(Table2[[#This Row],[RARC CODE]],'New Rarc Code'!A812:A1729,'New Rarc Code'!C812:C1729,"Not Active")</f>
        <v>Not Active</v>
      </c>
    </row>
    <row r="813" spans="1:5" x14ac:dyDescent="0.25">
      <c r="A813" s="5" t="s">
        <v>1756</v>
      </c>
      <c r="B813" s="7" t="s">
        <v>1757</v>
      </c>
      <c r="C813" s="7" t="s">
        <v>3330</v>
      </c>
      <c r="D813" s="7"/>
      <c r="E813" t="str">
        <f>_xlfn.XLOOKUP(Table2[[#This Row],[RARC CODE]],'New Rarc Code'!A813:A1730,'New Rarc Code'!C813:C1730,"Not Active")</f>
        <v>Not Active</v>
      </c>
    </row>
    <row r="814" spans="1:5" x14ac:dyDescent="0.25">
      <c r="A814" s="5" t="s">
        <v>1758</v>
      </c>
      <c r="B814" s="7" t="s">
        <v>1759</v>
      </c>
      <c r="C814" s="7" t="s">
        <v>3331</v>
      </c>
      <c r="D814" s="7" t="s">
        <v>3694</v>
      </c>
      <c r="E814" t="str">
        <f>_xlfn.XLOOKUP(Table2[[#This Row],[RARC CODE]],'New Rarc Code'!A814:A1731,'New Rarc Code'!C814:C1731,"Not Active")</f>
        <v>Not Active</v>
      </c>
    </row>
    <row r="815" spans="1:5" x14ac:dyDescent="0.25">
      <c r="A815" s="5" t="s">
        <v>1760</v>
      </c>
      <c r="B815" s="7" t="s">
        <v>1761</v>
      </c>
      <c r="C815" s="7" t="s">
        <v>3332</v>
      </c>
      <c r="D815" s="7"/>
      <c r="E815" t="str">
        <f>_xlfn.XLOOKUP(Table2[[#This Row],[RARC CODE]],'New Rarc Code'!A815:A1732,'New Rarc Code'!C815:C1732,"Not Active")</f>
        <v>Not Active</v>
      </c>
    </row>
    <row r="816" spans="1:5" x14ac:dyDescent="0.25">
      <c r="A816" s="5" t="s">
        <v>1762</v>
      </c>
      <c r="B816" s="7" t="s">
        <v>1763</v>
      </c>
      <c r="C816" s="7" t="s">
        <v>3333</v>
      </c>
      <c r="D816" s="7"/>
      <c r="E816" t="str">
        <f>_xlfn.XLOOKUP(Table2[[#This Row],[RARC CODE]],'New Rarc Code'!A816:A1733,'New Rarc Code'!C816:C1733,"Not Active")</f>
        <v>Not Active</v>
      </c>
    </row>
    <row r="817" spans="1:5" x14ac:dyDescent="0.25">
      <c r="A817" s="5" t="s">
        <v>716</v>
      </c>
      <c r="B817" s="7" t="s">
        <v>717</v>
      </c>
      <c r="C817" s="7" t="s">
        <v>3334</v>
      </c>
      <c r="D817" s="7"/>
      <c r="E817" t="str">
        <f>_xlfn.XLOOKUP(Table2[[#This Row],[RARC CODE]],'New Rarc Code'!A817:A1734,'New Rarc Code'!C817:C1734,"Not Active")</f>
        <v>Not Active</v>
      </c>
    </row>
    <row r="818" spans="1:5" x14ac:dyDescent="0.25">
      <c r="A818" s="5" t="s">
        <v>1764</v>
      </c>
      <c r="B818" s="7" t="s">
        <v>1765</v>
      </c>
      <c r="C818" s="7" t="s">
        <v>3335</v>
      </c>
      <c r="D818" s="7"/>
      <c r="E818" t="str">
        <f>_xlfn.XLOOKUP(Table2[[#This Row],[RARC CODE]],'New Rarc Code'!A818:A1735,'New Rarc Code'!C818:C1735,"Not Active")</f>
        <v>Not Active</v>
      </c>
    </row>
    <row r="819" spans="1:5" x14ac:dyDescent="0.25">
      <c r="A819" s="5" t="s">
        <v>1766</v>
      </c>
      <c r="B819" s="7" t="s">
        <v>1767</v>
      </c>
      <c r="C819" s="7" t="s">
        <v>3336</v>
      </c>
      <c r="D819" s="7"/>
      <c r="E819" t="str">
        <f>_xlfn.XLOOKUP(Table2[[#This Row],[RARC CODE]],'New Rarc Code'!A819:A1736,'New Rarc Code'!C819:C1736,"Not Active")</f>
        <v>Not Active</v>
      </c>
    </row>
    <row r="820" spans="1:5" x14ac:dyDescent="0.25">
      <c r="A820" s="5" t="s">
        <v>1768</v>
      </c>
      <c r="B820" s="7" t="s">
        <v>1769</v>
      </c>
      <c r="C820" s="7" t="s">
        <v>3337</v>
      </c>
      <c r="D820" s="7"/>
      <c r="E820" t="str">
        <f>_xlfn.XLOOKUP(Table2[[#This Row],[RARC CODE]],'New Rarc Code'!A820:A1737,'New Rarc Code'!C820:C1737,"Not Active")</f>
        <v>Not Active</v>
      </c>
    </row>
    <row r="821" spans="1:5" x14ac:dyDescent="0.25">
      <c r="A821" s="5" t="s">
        <v>1770</v>
      </c>
      <c r="B821" s="7" t="s">
        <v>1771</v>
      </c>
      <c r="C821" s="7" t="s">
        <v>3338</v>
      </c>
      <c r="D821" s="7"/>
      <c r="E821" t="str">
        <f>_xlfn.XLOOKUP(Table2[[#This Row],[RARC CODE]],'New Rarc Code'!A821:A1738,'New Rarc Code'!C821:C1738,"Not Active")</f>
        <v>Not Active</v>
      </c>
    </row>
    <row r="822" spans="1:5" x14ac:dyDescent="0.25">
      <c r="A822" s="5" t="s">
        <v>1772</v>
      </c>
      <c r="B822" s="7" t="s">
        <v>1773</v>
      </c>
      <c r="C822" s="7" t="s">
        <v>3339</v>
      </c>
      <c r="D822" s="7"/>
      <c r="E822" t="str">
        <f>_xlfn.XLOOKUP(Table2[[#This Row],[RARC CODE]],'New Rarc Code'!A822:A1739,'New Rarc Code'!C822:C1739,"Not Active")</f>
        <v>Not Active</v>
      </c>
    </row>
    <row r="823" spans="1:5" x14ac:dyDescent="0.25">
      <c r="A823" s="5" t="s">
        <v>1774</v>
      </c>
      <c r="B823" s="7" t="s">
        <v>1775</v>
      </c>
      <c r="C823" s="7" t="s">
        <v>3340</v>
      </c>
      <c r="D823" s="7"/>
      <c r="E823" t="str">
        <f>_xlfn.XLOOKUP(Table2[[#This Row],[RARC CODE]],'New Rarc Code'!A823:A1740,'New Rarc Code'!C823:C1740,"Not Active")</f>
        <v>Not Active</v>
      </c>
    </row>
    <row r="824" spans="1:5" x14ac:dyDescent="0.25">
      <c r="A824" s="5" t="s">
        <v>1776</v>
      </c>
      <c r="B824" s="7" t="s">
        <v>1777</v>
      </c>
      <c r="C824" s="7" t="s">
        <v>3341</v>
      </c>
      <c r="D824" s="7"/>
      <c r="E824" t="str">
        <f>_xlfn.XLOOKUP(Table2[[#This Row],[RARC CODE]],'New Rarc Code'!A824:A1741,'New Rarc Code'!C824:C1741,"Not Active")</f>
        <v>Not Active</v>
      </c>
    </row>
    <row r="825" spans="1:5" x14ac:dyDescent="0.25">
      <c r="A825" s="5" t="s">
        <v>1778</v>
      </c>
      <c r="B825" s="7" t="s">
        <v>1779</v>
      </c>
      <c r="C825" s="7" t="s">
        <v>3342</v>
      </c>
      <c r="D825" s="7"/>
      <c r="E825" t="str">
        <f>_xlfn.XLOOKUP(Table2[[#This Row],[RARC CODE]],'New Rarc Code'!A825:A1742,'New Rarc Code'!C825:C1742,"Not Active")</f>
        <v>Not Active</v>
      </c>
    </row>
    <row r="826" spans="1:5" x14ac:dyDescent="0.25">
      <c r="A826" s="5" t="s">
        <v>1780</v>
      </c>
      <c r="B826" s="7" t="s">
        <v>1781</v>
      </c>
      <c r="C826" s="7" t="s">
        <v>3343</v>
      </c>
      <c r="D826" s="7"/>
      <c r="E826" t="str">
        <f>_xlfn.XLOOKUP(Table2[[#This Row],[RARC CODE]],'New Rarc Code'!A826:A1743,'New Rarc Code'!C826:C1743,"Not Active")</f>
        <v>Not Active</v>
      </c>
    </row>
    <row r="827" spans="1:5" x14ac:dyDescent="0.25">
      <c r="A827" s="5" t="s">
        <v>1782</v>
      </c>
      <c r="B827" s="7" t="s">
        <v>1783</v>
      </c>
      <c r="C827" s="7" t="s">
        <v>3344</v>
      </c>
      <c r="D827" s="7"/>
      <c r="E827" t="str">
        <f>_xlfn.XLOOKUP(Table2[[#This Row],[RARC CODE]],'New Rarc Code'!A827:A1744,'New Rarc Code'!C827:C1744,"Not Active")</f>
        <v>Not Active</v>
      </c>
    </row>
    <row r="828" spans="1:5" x14ac:dyDescent="0.25">
      <c r="A828" s="5" t="s">
        <v>1784</v>
      </c>
      <c r="B828" s="7" t="s">
        <v>1785</v>
      </c>
      <c r="C828" s="7" t="s">
        <v>3345</v>
      </c>
      <c r="D828" s="7"/>
      <c r="E828" t="str">
        <f>_xlfn.XLOOKUP(Table2[[#This Row],[RARC CODE]],'New Rarc Code'!A828:A1745,'New Rarc Code'!C828:C1745,"Not Active")</f>
        <v>Not Active</v>
      </c>
    </row>
    <row r="829" spans="1:5" x14ac:dyDescent="0.25">
      <c r="A829" s="5" t="s">
        <v>1786</v>
      </c>
      <c r="B829" s="7" t="s">
        <v>1787</v>
      </c>
      <c r="C829" s="7" t="s">
        <v>3346</v>
      </c>
      <c r="D829" s="7"/>
      <c r="E829" t="str">
        <f>_xlfn.XLOOKUP(Table2[[#This Row],[RARC CODE]],'New Rarc Code'!A829:A1746,'New Rarc Code'!C829:C1746,"Not Active")</f>
        <v>Not Active</v>
      </c>
    </row>
    <row r="830" spans="1:5" x14ac:dyDescent="0.25">
      <c r="A830" s="5" t="s">
        <v>1788</v>
      </c>
      <c r="B830" s="8" t="s">
        <v>2341</v>
      </c>
      <c r="C830" s="8" t="s">
        <v>3347</v>
      </c>
      <c r="D830" s="8"/>
      <c r="E830" t="str">
        <f>_xlfn.XLOOKUP(Table2[[#This Row],[RARC CODE]],'New Rarc Code'!A830:A1747,'New Rarc Code'!C830:C1747,"Not Active")</f>
        <v>Not Active</v>
      </c>
    </row>
    <row r="831" spans="1:5" x14ac:dyDescent="0.25">
      <c r="A831" s="5" t="s">
        <v>1789</v>
      </c>
      <c r="B831" s="7" t="s">
        <v>1790</v>
      </c>
      <c r="C831" s="7" t="s">
        <v>3348</v>
      </c>
      <c r="D831" s="7"/>
      <c r="E831" t="str">
        <f>_xlfn.XLOOKUP(Table2[[#This Row],[RARC CODE]],'New Rarc Code'!A831:A1748,'New Rarc Code'!C831:C1748,"Not Active")</f>
        <v>Not Active</v>
      </c>
    </row>
    <row r="832" spans="1:5" x14ac:dyDescent="0.25">
      <c r="A832" s="5" t="s">
        <v>1791</v>
      </c>
      <c r="B832" s="7" t="s">
        <v>1792</v>
      </c>
      <c r="C832" s="7" t="s">
        <v>3349</v>
      </c>
      <c r="D832" s="7"/>
      <c r="E832" t="str">
        <f>_xlfn.XLOOKUP(Table2[[#This Row],[RARC CODE]],'New Rarc Code'!A832:A1749,'New Rarc Code'!C832:C1749,"Not Active")</f>
        <v>Not Active</v>
      </c>
    </row>
    <row r="833" spans="1:5" x14ac:dyDescent="0.25">
      <c r="A833" s="5" t="s">
        <v>1793</v>
      </c>
      <c r="B833" s="7" t="s">
        <v>1794</v>
      </c>
      <c r="C833" s="7" t="s">
        <v>3350</v>
      </c>
      <c r="D833" s="7"/>
      <c r="E833" t="str">
        <f>_xlfn.XLOOKUP(Table2[[#This Row],[RARC CODE]],'New Rarc Code'!A833:A1750,'New Rarc Code'!C833:C1750,"Not Active")</f>
        <v>Not Active</v>
      </c>
    </row>
    <row r="834" spans="1:5" x14ac:dyDescent="0.25">
      <c r="A834" s="5" t="s">
        <v>1795</v>
      </c>
      <c r="B834" s="7" t="s">
        <v>1796</v>
      </c>
      <c r="C834" s="7" t="s">
        <v>3351</v>
      </c>
      <c r="D834" s="7"/>
      <c r="E834" t="str">
        <f>_xlfn.XLOOKUP(Table2[[#This Row],[RARC CODE]],'New Rarc Code'!A834:A1751,'New Rarc Code'!C834:C1751,"Not Active")</f>
        <v>Not Active</v>
      </c>
    </row>
    <row r="835" spans="1:5" x14ac:dyDescent="0.25">
      <c r="A835" s="5" t="s">
        <v>1797</v>
      </c>
      <c r="B835" s="7" t="s">
        <v>1798</v>
      </c>
      <c r="C835" s="7" t="s">
        <v>3352</v>
      </c>
      <c r="D835" s="7"/>
      <c r="E835" t="str">
        <f>_xlfn.XLOOKUP(Table2[[#This Row],[RARC CODE]],'New Rarc Code'!A835:A1752,'New Rarc Code'!C835:C1752,"Not Active")</f>
        <v>Not Active</v>
      </c>
    </row>
    <row r="836" spans="1:5" x14ac:dyDescent="0.25">
      <c r="A836" s="5" t="s">
        <v>1799</v>
      </c>
      <c r="B836" s="7" t="s">
        <v>1800</v>
      </c>
      <c r="C836" s="7" t="s">
        <v>3353</v>
      </c>
      <c r="D836" s="7"/>
      <c r="E836" t="str">
        <f>_xlfn.XLOOKUP(Table2[[#This Row],[RARC CODE]],'New Rarc Code'!A836:A1753,'New Rarc Code'!C836:C1753,"Not Active")</f>
        <v>Not Active</v>
      </c>
    </row>
    <row r="837" spans="1:5" x14ac:dyDescent="0.25">
      <c r="A837" s="5" t="s">
        <v>1801</v>
      </c>
      <c r="B837" s="7" t="s">
        <v>1802</v>
      </c>
      <c r="C837" s="7" t="s">
        <v>3354</v>
      </c>
      <c r="D837" s="7"/>
      <c r="E837" t="str">
        <f>_xlfn.XLOOKUP(Table2[[#This Row],[RARC CODE]],'New Rarc Code'!A837:A1754,'New Rarc Code'!C837:C1754,"Not Active")</f>
        <v>Not Active</v>
      </c>
    </row>
    <row r="838" spans="1:5" x14ac:dyDescent="0.25">
      <c r="A838" s="5" t="s">
        <v>718</v>
      </c>
      <c r="B838" s="7" t="s">
        <v>719</v>
      </c>
      <c r="C838" s="7" t="s">
        <v>3355</v>
      </c>
      <c r="D838" s="7"/>
      <c r="E838" t="str">
        <f>_xlfn.XLOOKUP(Table2[[#This Row],[RARC CODE]],'New Rarc Code'!A838:A1755,'New Rarc Code'!C838:C1755,"Not Active")</f>
        <v>Not Active</v>
      </c>
    </row>
    <row r="839" spans="1:5" x14ac:dyDescent="0.25">
      <c r="A839" s="5" t="s">
        <v>1803</v>
      </c>
      <c r="B839" s="7" t="s">
        <v>1804</v>
      </c>
      <c r="C839" s="7" t="s">
        <v>3356</v>
      </c>
      <c r="D839" s="7"/>
      <c r="E839" t="str">
        <f>_xlfn.XLOOKUP(Table2[[#This Row],[RARC CODE]],'New Rarc Code'!A839:A1756,'New Rarc Code'!C839:C1756,"Not Active")</f>
        <v>Not Active</v>
      </c>
    </row>
    <row r="840" spans="1:5" x14ac:dyDescent="0.25">
      <c r="A840" s="5" t="s">
        <v>1805</v>
      </c>
      <c r="B840" s="7" t="s">
        <v>1806</v>
      </c>
      <c r="C840" s="7" t="s">
        <v>3357</v>
      </c>
      <c r="D840" s="7"/>
      <c r="E840" t="str">
        <f>_xlfn.XLOOKUP(Table2[[#This Row],[RARC CODE]],'New Rarc Code'!A840:A1757,'New Rarc Code'!C840:C1757,"Not Active")</f>
        <v>Not Active</v>
      </c>
    </row>
    <row r="841" spans="1:5" x14ac:dyDescent="0.25">
      <c r="A841" s="5" t="s">
        <v>1807</v>
      </c>
      <c r="B841" s="8" t="s">
        <v>2342</v>
      </c>
      <c r="C841" s="8" t="s">
        <v>3358</v>
      </c>
      <c r="D841" s="8"/>
      <c r="E841" t="str">
        <f>_xlfn.XLOOKUP(Table2[[#This Row],[RARC CODE]],'New Rarc Code'!A841:A1758,'New Rarc Code'!C841:C1758,"Not Active")</f>
        <v>Not Active</v>
      </c>
    </row>
    <row r="842" spans="1:5" x14ac:dyDescent="0.25">
      <c r="A842" s="5" t="s">
        <v>1808</v>
      </c>
      <c r="B842" s="7" t="s">
        <v>1809</v>
      </c>
      <c r="C842" s="7" t="s">
        <v>3359</v>
      </c>
      <c r="D842" s="7"/>
      <c r="E842" t="str">
        <f>_xlfn.XLOOKUP(Table2[[#This Row],[RARC CODE]],'New Rarc Code'!A842:A1759,'New Rarc Code'!C842:C1759,"Not Active")</f>
        <v>Not Active</v>
      </c>
    </row>
    <row r="843" spans="1:5" x14ac:dyDescent="0.25">
      <c r="A843" s="5" t="s">
        <v>1810</v>
      </c>
      <c r="B843" s="7" t="s">
        <v>1811</v>
      </c>
      <c r="C843" s="7" t="s">
        <v>3360</v>
      </c>
      <c r="D843" s="7"/>
      <c r="E843" t="str">
        <f>_xlfn.XLOOKUP(Table2[[#This Row],[RARC CODE]],'New Rarc Code'!A843:A1760,'New Rarc Code'!C843:C1760,"Not Active")</f>
        <v>Not Active</v>
      </c>
    </row>
    <row r="844" spans="1:5" x14ac:dyDescent="0.25">
      <c r="A844" s="5" t="s">
        <v>1812</v>
      </c>
      <c r="B844" s="7" t="s">
        <v>1813</v>
      </c>
      <c r="C844" s="7" t="s">
        <v>3361</v>
      </c>
      <c r="D844" s="7"/>
      <c r="E844" t="str">
        <f>_xlfn.XLOOKUP(Table2[[#This Row],[RARC CODE]],'New Rarc Code'!A844:A1761,'New Rarc Code'!C844:C1761,"Not Active")</f>
        <v>Not Active</v>
      </c>
    </row>
    <row r="845" spans="1:5" x14ac:dyDescent="0.25">
      <c r="A845" s="5" t="s">
        <v>1814</v>
      </c>
      <c r="B845" s="7" t="s">
        <v>1815</v>
      </c>
      <c r="C845" s="7" t="s">
        <v>3362</v>
      </c>
      <c r="D845" s="7"/>
      <c r="E845" t="str">
        <f>_xlfn.XLOOKUP(Table2[[#This Row],[RARC CODE]],'New Rarc Code'!A845:A1762,'New Rarc Code'!C845:C1762,"Not Active")</f>
        <v>Not Active</v>
      </c>
    </row>
    <row r="846" spans="1:5" x14ac:dyDescent="0.25">
      <c r="A846" s="5" t="s">
        <v>1816</v>
      </c>
      <c r="B846" s="8" t="s">
        <v>2343</v>
      </c>
      <c r="C846" s="8" t="s">
        <v>3363</v>
      </c>
      <c r="D846" s="8"/>
      <c r="E846" t="str">
        <f>_xlfn.XLOOKUP(Table2[[#This Row],[RARC CODE]],'New Rarc Code'!A846:A1763,'New Rarc Code'!C846:C1763,"Not Active")</f>
        <v>Not Active</v>
      </c>
    </row>
    <row r="847" spans="1:5" x14ac:dyDescent="0.25">
      <c r="A847" s="5" t="s">
        <v>1817</v>
      </c>
      <c r="B847" s="7" t="s">
        <v>1818</v>
      </c>
      <c r="C847" s="7" t="s">
        <v>3364</v>
      </c>
      <c r="D847" s="7"/>
      <c r="E847" t="str">
        <f>_xlfn.XLOOKUP(Table2[[#This Row],[RARC CODE]],'New Rarc Code'!A847:A1764,'New Rarc Code'!C847:C1764,"Not Active")</f>
        <v>Not Active</v>
      </c>
    </row>
    <row r="848" spans="1:5" x14ac:dyDescent="0.25">
      <c r="A848" s="5" t="s">
        <v>1819</v>
      </c>
      <c r="B848" s="7" t="s">
        <v>1820</v>
      </c>
      <c r="C848" s="7" t="s">
        <v>3365</v>
      </c>
      <c r="D848" s="7"/>
      <c r="E848" t="str">
        <f>_xlfn.XLOOKUP(Table2[[#This Row],[RARC CODE]],'New Rarc Code'!A848:A1765,'New Rarc Code'!C848:C1765,"Not Active")</f>
        <v>Not Active</v>
      </c>
    </row>
    <row r="849" spans="1:5" x14ac:dyDescent="0.25">
      <c r="A849" s="5" t="s">
        <v>720</v>
      </c>
      <c r="B849" s="7" t="s">
        <v>721</v>
      </c>
      <c r="C849" s="7" t="s">
        <v>3366</v>
      </c>
      <c r="D849" s="7"/>
      <c r="E849" t="str">
        <f>_xlfn.XLOOKUP(Table2[[#This Row],[RARC CODE]],'New Rarc Code'!A849:A1766,'New Rarc Code'!C849:C1766,"Not Active")</f>
        <v>Not Active</v>
      </c>
    </row>
    <row r="850" spans="1:5" x14ac:dyDescent="0.25">
      <c r="A850" s="5" t="s">
        <v>1821</v>
      </c>
      <c r="B850" s="7" t="s">
        <v>1822</v>
      </c>
      <c r="C850" s="7" t="s">
        <v>3367</v>
      </c>
      <c r="D850" s="7"/>
      <c r="E850" t="str">
        <f>_xlfn.XLOOKUP(Table2[[#This Row],[RARC CODE]],'New Rarc Code'!A850:A1767,'New Rarc Code'!C850:C1767,"Not Active")</f>
        <v>Not Active</v>
      </c>
    </row>
    <row r="851" spans="1:5" x14ac:dyDescent="0.25">
      <c r="A851" s="5" t="s">
        <v>1823</v>
      </c>
      <c r="B851" s="7" t="s">
        <v>1824</v>
      </c>
      <c r="C851" s="7" t="s">
        <v>3368</v>
      </c>
      <c r="D851" s="7"/>
      <c r="E851" t="str">
        <f>_xlfn.XLOOKUP(Table2[[#This Row],[RARC CODE]],'New Rarc Code'!A851:A1768,'New Rarc Code'!C851:C1768,"Not Active")</f>
        <v>Not Active</v>
      </c>
    </row>
    <row r="852" spans="1:5" x14ac:dyDescent="0.25">
      <c r="A852" s="5" t="s">
        <v>1825</v>
      </c>
      <c r="B852" s="7" t="s">
        <v>1826</v>
      </c>
      <c r="C852" s="7" t="s">
        <v>3369</v>
      </c>
      <c r="D852" s="7"/>
      <c r="E852" t="str">
        <f>_xlfn.XLOOKUP(Table2[[#This Row],[RARC CODE]],'New Rarc Code'!A852:A1769,'New Rarc Code'!C852:C1769,"Not Active")</f>
        <v>Not Active</v>
      </c>
    </row>
    <row r="853" spans="1:5" x14ac:dyDescent="0.25">
      <c r="A853" s="5" t="s">
        <v>1827</v>
      </c>
      <c r="B853" s="7" t="s">
        <v>1828</v>
      </c>
      <c r="C853" s="7" t="s">
        <v>3370</v>
      </c>
      <c r="D853" s="7"/>
      <c r="E853" t="str">
        <f>_xlfn.XLOOKUP(Table2[[#This Row],[RARC CODE]],'New Rarc Code'!A853:A1770,'New Rarc Code'!C853:C1770,"Not Active")</f>
        <v>Not Active</v>
      </c>
    </row>
    <row r="854" spans="1:5" x14ac:dyDescent="0.25">
      <c r="A854" s="5" t="s">
        <v>1829</v>
      </c>
      <c r="B854" s="7" t="s">
        <v>1830</v>
      </c>
      <c r="C854" s="7" t="s">
        <v>3371</v>
      </c>
      <c r="D854" s="7"/>
      <c r="E854" t="str">
        <f>_xlfn.XLOOKUP(Table2[[#This Row],[RARC CODE]],'New Rarc Code'!A854:A1771,'New Rarc Code'!C854:C1771,"Not Active")</f>
        <v>Not Active</v>
      </c>
    </row>
    <row r="855" spans="1:5" x14ac:dyDescent="0.25">
      <c r="A855" s="5" t="s">
        <v>1831</v>
      </c>
      <c r="B855" s="7" t="s">
        <v>1832</v>
      </c>
      <c r="C855" s="7" t="s">
        <v>3372</v>
      </c>
      <c r="D855" s="7"/>
      <c r="E855" t="str">
        <f>_xlfn.XLOOKUP(Table2[[#This Row],[RARC CODE]],'New Rarc Code'!A855:A1772,'New Rarc Code'!C855:C1772,"Not Active")</f>
        <v>Not Active</v>
      </c>
    </row>
    <row r="856" spans="1:5" x14ac:dyDescent="0.25">
      <c r="A856" s="5" t="s">
        <v>1833</v>
      </c>
      <c r="B856" s="7" t="s">
        <v>1834</v>
      </c>
      <c r="C856" s="7" t="s">
        <v>3373</v>
      </c>
      <c r="D856" s="7"/>
      <c r="E856" t="str">
        <f>_xlfn.XLOOKUP(Table2[[#This Row],[RARC CODE]],'New Rarc Code'!A856:A1773,'New Rarc Code'!C856:C1773,"Not Active")</f>
        <v>Not Active</v>
      </c>
    </row>
    <row r="857" spans="1:5" x14ac:dyDescent="0.25">
      <c r="A857" s="5" t="s">
        <v>1835</v>
      </c>
      <c r="B857" s="8" t="s">
        <v>2344</v>
      </c>
      <c r="C857" s="8" t="s">
        <v>3374</v>
      </c>
      <c r="D857" s="8"/>
      <c r="E857" t="str">
        <f>_xlfn.XLOOKUP(Table2[[#This Row],[RARC CODE]],'New Rarc Code'!A857:A1774,'New Rarc Code'!C857:C1774,"Not Active")</f>
        <v>Not Active</v>
      </c>
    </row>
    <row r="858" spans="1:5" x14ac:dyDescent="0.25">
      <c r="A858" s="5" t="s">
        <v>1836</v>
      </c>
      <c r="B858" s="8" t="s">
        <v>2345</v>
      </c>
      <c r="C858" s="8" t="s">
        <v>3375</v>
      </c>
      <c r="D858" s="8"/>
      <c r="E858" t="str">
        <f>_xlfn.XLOOKUP(Table2[[#This Row],[RARC CODE]],'New Rarc Code'!A858:A1775,'New Rarc Code'!C858:C1775,"Not Active")</f>
        <v>Not Active</v>
      </c>
    </row>
    <row r="859" spans="1:5" x14ac:dyDescent="0.25">
      <c r="A859" s="5" t="s">
        <v>1837</v>
      </c>
      <c r="B859" s="8" t="s">
        <v>2346</v>
      </c>
      <c r="C859" s="8" t="s">
        <v>3376</v>
      </c>
      <c r="D859" s="8"/>
      <c r="E859" t="str">
        <f>_xlfn.XLOOKUP(Table2[[#This Row],[RARC CODE]],'New Rarc Code'!A859:A1776,'New Rarc Code'!C859:C1776,"Not Active")</f>
        <v>Not Active</v>
      </c>
    </row>
    <row r="860" spans="1:5" x14ac:dyDescent="0.25">
      <c r="A860" s="5" t="s">
        <v>722</v>
      </c>
      <c r="B860" s="8" t="s">
        <v>2263</v>
      </c>
      <c r="C860" s="8" t="s">
        <v>3377</v>
      </c>
      <c r="D860" s="8"/>
      <c r="E860" t="str">
        <f>_xlfn.XLOOKUP(Table2[[#This Row],[RARC CODE]],'New Rarc Code'!A860:A1777,'New Rarc Code'!C860:C1777,"Not Active")</f>
        <v>Not Active</v>
      </c>
    </row>
    <row r="861" spans="1:5" x14ac:dyDescent="0.25">
      <c r="A861" s="5" t="s">
        <v>1838</v>
      </c>
      <c r="B861" s="8" t="s">
        <v>2347</v>
      </c>
      <c r="C861" s="8" t="s">
        <v>3378</v>
      </c>
      <c r="D861" s="8"/>
      <c r="E861" t="str">
        <f>_xlfn.XLOOKUP(Table2[[#This Row],[RARC CODE]],'New Rarc Code'!A861:A1778,'New Rarc Code'!C861:C1778,"Not Active")</f>
        <v>Not Active</v>
      </c>
    </row>
    <row r="862" spans="1:5" x14ac:dyDescent="0.25">
      <c r="A862" s="5" t="s">
        <v>1839</v>
      </c>
      <c r="B862" s="8" t="s">
        <v>2348</v>
      </c>
      <c r="C862" s="8" t="s">
        <v>3379</v>
      </c>
      <c r="D862" s="8"/>
      <c r="E862" t="str">
        <f>_xlfn.XLOOKUP(Table2[[#This Row],[RARC CODE]],'New Rarc Code'!A862:A1779,'New Rarc Code'!C862:C1779,"Not Active")</f>
        <v>Not Active</v>
      </c>
    </row>
    <row r="863" spans="1:5" x14ac:dyDescent="0.25">
      <c r="A863" s="5" t="s">
        <v>1840</v>
      </c>
      <c r="B863" s="8" t="s">
        <v>2349</v>
      </c>
      <c r="C863" s="8" t="s">
        <v>3380</v>
      </c>
      <c r="D863" s="8"/>
      <c r="E863" t="str">
        <f>_xlfn.XLOOKUP(Table2[[#This Row],[RARC CODE]],'New Rarc Code'!A863:A1780,'New Rarc Code'!C863:C1780,"Not Active")</f>
        <v>Not Active</v>
      </c>
    </row>
    <row r="864" spans="1:5" x14ac:dyDescent="0.25">
      <c r="A864" s="5" t="s">
        <v>1841</v>
      </c>
      <c r="B864" s="8" t="s">
        <v>2350</v>
      </c>
      <c r="C864" s="8" t="s">
        <v>3381</v>
      </c>
      <c r="D864" s="8"/>
      <c r="E864" t="str">
        <f>_xlfn.XLOOKUP(Table2[[#This Row],[RARC CODE]],'New Rarc Code'!A864:A1781,'New Rarc Code'!C864:C1781,"Not Active")</f>
        <v>Not Active</v>
      </c>
    </row>
    <row r="865" spans="1:5" x14ac:dyDescent="0.25">
      <c r="A865" s="5" t="s">
        <v>1842</v>
      </c>
      <c r="B865" s="8" t="s">
        <v>2351</v>
      </c>
      <c r="C865" s="8" t="s">
        <v>3382</v>
      </c>
      <c r="D865" s="8"/>
      <c r="E865" t="str">
        <f>_xlfn.XLOOKUP(Table2[[#This Row],[RARC CODE]],'New Rarc Code'!A865:A1782,'New Rarc Code'!C865:C1782,"Not Active")</f>
        <v>Not Active</v>
      </c>
    </row>
    <row r="866" spans="1:5" x14ac:dyDescent="0.25">
      <c r="A866" s="5" t="s">
        <v>1843</v>
      </c>
      <c r="B866" s="8" t="s">
        <v>2352</v>
      </c>
      <c r="C866" s="8" t="s">
        <v>3383</v>
      </c>
      <c r="D866" s="8"/>
      <c r="E866" t="str">
        <f>_xlfn.XLOOKUP(Table2[[#This Row],[RARC CODE]],'New Rarc Code'!A866:A1783,'New Rarc Code'!C866:C1783,"Not Active")</f>
        <v>Not Active</v>
      </c>
    </row>
    <row r="867" spans="1:5" x14ac:dyDescent="0.25">
      <c r="A867" s="5" t="s">
        <v>1844</v>
      </c>
      <c r="B867" s="8" t="s">
        <v>2353</v>
      </c>
      <c r="C867" s="8" t="s">
        <v>3384</v>
      </c>
      <c r="D867" s="8"/>
      <c r="E867" t="str">
        <f>_xlfn.XLOOKUP(Table2[[#This Row],[RARC CODE]],'New Rarc Code'!A867:A1784,'New Rarc Code'!C867:C1784,"Not Active")</f>
        <v>Not Active</v>
      </c>
    </row>
    <row r="868" spans="1:5" x14ac:dyDescent="0.25">
      <c r="A868" s="5" t="s">
        <v>1845</v>
      </c>
      <c r="B868" s="8" t="s">
        <v>2354</v>
      </c>
      <c r="C868" s="8" t="s">
        <v>3385</v>
      </c>
      <c r="D868" s="8"/>
      <c r="E868" t="str">
        <f>_xlfn.XLOOKUP(Table2[[#This Row],[RARC CODE]],'New Rarc Code'!A868:A1785,'New Rarc Code'!C868:C1785,"Not Active")</f>
        <v>Not Active</v>
      </c>
    </row>
    <row r="869" spans="1:5" x14ac:dyDescent="0.25">
      <c r="A869" s="5" t="s">
        <v>1846</v>
      </c>
      <c r="B869" s="8" t="s">
        <v>2355</v>
      </c>
      <c r="C869" s="8" t="s">
        <v>3386</v>
      </c>
      <c r="D869" s="8"/>
      <c r="E869" t="str">
        <f>_xlfn.XLOOKUP(Table2[[#This Row],[RARC CODE]],'New Rarc Code'!A869:A1786,'New Rarc Code'!C869:C1786,"Not Active")</f>
        <v>Not Active</v>
      </c>
    </row>
    <row r="870" spans="1:5" x14ac:dyDescent="0.25">
      <c r="A870" s="5" t="s">
        <v>1847</v>
      </c>
      <c r="B870" s="7" t="s">
        <v>1848</v>
      </c>
      <c r="C870" s="7" t="s">
        <v>3387</v>
      </c>
      <c r="D870" s="7"/>
      <c r="E870" t="str">
        <f>_xlfn.XLOOKUP(Table2[[#This Row],[RARC CODE]],'New Rarc Code'!A870:A1787,'New Rarc Code'!C870:C1787,"Not Active")</f>
        <v>Not Active</v>
      </c>
    </row>
    <row r="871" spans="1:5" x14ac:dyDescent="0.25">
      <c r="A871" s="5" t="s">
        <v>621</v>
      </c>
      <c r="B871" s="8" t="s">
        <v>2258</v>
      </c>
      <c r="C871" s="8" t="s">
        <v>3388</v>
      </c>
      <c r="D871" s="8"/>
      <c r="E871" t="str">
        <f>_xlfn.XLOOKUP(Table2[[#This Row],[RARC CODE]],'New Rarc Code'!A871:A1788,'New Rarc Code'!C871:C1788,"Not Active")</f>
        <v>Not Active</v>
      </c>
    </row>
    <row r="872" spans="1:5" x14ac:dyDescent="0.25">
      <c r="A872" s="5" t="s">
        <v>723</v>
      </c>
      <c r="B872" s="7" t="s">
        <v>724</v>
      </c>
      <c r="C872" s="7" t="s">
        <v>3389</v>
      </c>
      <c r="D872" s="7"/>
      <c r="E872" t="str">
        <f>_xlfn.XLOOKUP(Table2[[#This Row],[RARC CODE]],'New Rarc Code'!A872:A1789,'New Rarc Code'!C872:C1789,"Not Active")</f>
        <v>Not Active</v>
      </c>
    </row>
    <row r="873" spans="1:5" x14ac:dyDescent="0.25">
      <c r="A873" s="5" t="s">
        <v>1849</v>
      </c>
      <c r="B873" s="7" t="s">
        <v>1850</v>
      </c>
      <c r="C873" s="7" t="s">
        <v>3390</v>
      </c>
      <c r="D873" s="7"/>
      <c r="E873" t="str">
        <f>_xlfn.XLOOKUP(Table2[[#This Row],[RARC CODE]],'New Rarc Code'!A873:A1790,'New Rarc Code'!C873:C1790,"Not Active")</f>
        <v>Not Active</v>
      </c>
    </row>
    <row r="874" spans="1:5" x14ac:dyDescent="0.25">
      <c r="A874" s="5" t="s">
        <v>1851</v>
      </c>
      <c r="B874" s="7" t="s">
        <v>1852</v>
      </c>
      <c r="C874" s="7" t="s">
        <v>3391</v>
      </c>
      <c r="D874" s="7" t="s">
        <v>3694</v>
      </c>
      <c r="E874" t="str">
        <f>_xlfn.XLOOKUP(Table2[[#This Row],[RARC CODE]],'New Rarc Code'!A874:A1791,'New Rarc Code'!C874:C1791,"Not Active")</f>
        <v>Not Active</v>
      </c>
    </row>
    <row r="875" spans="1:5" x14ac:dyDescent="0.25">
      <c r="A875" s="5" t="s">
        <v>1853</v>
      </c>
      <c r="B875" s="7" t="s">
        <v>1854</v>
      </c>
      <c r="C875" s="7" t="s">
        <v>3392</v>
      </c>
      <c r="D875" s="7"/>
      <c r="E875" t="str">
        <f>_xlfn.XLOOKUP(Table2[[#This Row],[RARC CODE]],'New Rarc Code'!A875:A1792,'New Rarc Code'!C875:C1792,"Not Active")</f>
        <v>Not Active</v>
      </c>
    </row>
    <row r="876" spans="1:5" x14ac:dyDescent="0.25">
      <c r="A876" s="5" t="s">
        <v>1855</v>
      </c>
      <c r="B876" s="7" t="s">
        <v>1856</v>
      </c>
      <c r="C876" s="7" t="s">
        <v>3393</v>
      </c>
      <c r="D876" s="7"/>
      <c r="E876" t="str">
        <f>_xlfn.XLOOKUP(Table2[[#This Row],[RARC CODE]],'New Rarc Code'!A876:A1793,'New Rarc Code'!C876:C1793,"Not Active")</f>
        <v>Not Active</v>
      </c>
    </row>
    <row r="877" spans="1:5" x14ac:dyDescent="0.25">
      <c r="A877" s="5" t="s">
        <v>1857</v>
      </c>
      <c r="B877" s="8" t="s">
        <v>2356</v>
      </c>
      <c r="C877" s="8" t="s">
        <v>3394</v>
      </c>
      <c r="D877" s="8"/>
      <c r="E877" t="str">
        <f>_xlfn.XLOOKUP(Table2[[#This Row],[RARC CODE]],'New Rarc Code'!A877:A1794,'New Rarc Code'!C877:C1794,"Not Active")</f>
        <v>Not Active</v>
      </c>
    </row>
    <row r="878" spans="1:5" x14ac:dyDescent="0.25">
      <c r="A878" s="5" t="s">
        <v>1858</v>
      </c>
      <c r="B878" s="7" t="s">
        <v>1859</v>
      </c>
      <c r="C878" s="7" t="s">
        <v>3395</v>
      </c>
      <c r="D878" s="7"/>
      <c r="E878" t="str">
        <f>_xlfn.XLOOKUP(Table2[[#This Row],[RARC CODE]],'New Rarc Code'!A878:A1795,'New Rarc Code'!C878:C1795,"Not Active")</f>
        <v>Not Active</v>
      </c>
    </row>
    <row r="879" spans="1:5" x14ac:dyDescent="0.25">
      <c r="A879" s="5" t="s">
        <v>1860</v>
      </c>
      <c r="B879" s="7" t="s">
        <v>1861</v>
      </c>
      <c r="C879" s="7" t="s">
        <v>3396</v>
      </c>
      <c r="D879" s="7"/>
      <c r="E879" t="str">
        <f>_xlfn.XLOOKUP(Table2[[#This Row],[RARC CODE]],'New Rarc Code'!A879:A1796,'New Rarc Code'!C879:C1796,"Not Active")</f>
        <v>Not Active</v>
      </c>
    </row>
    <row r="880" spans="1:5" x14ac:dyDescent="0.25">
      <c r="A880" s="5" t="s">
        <v>1862</v>
      </c>
      <c r="B880" s="7" t="s">
        <v>1863</v>
      </c>
      <c r="C880" s="7" t="s">
        <v>3397</v>
      </c>
      <c r="D880" s="7"/>
      <c r="E880" t="str">
        <f>_xlfn.XLOOKUP(Table2[[#This Row],[RARC CODE]],'New Rarc Code'!A880:A1797,'New Rarc Code'!C880:C1797,"Not Active")</f>
        <v>Not Active</v>
      </c>
    </row>
    <row r="881" spans="1:5" x14ac:dyDescent="0.25">
      <c r="A881" s="5" t="s">
        <v>1864</v>
      </c>
      <c r="B881" s="7" t="s">
        <v>1865</v>
      </c>
      <c r="C881" s="7" t="s">
        <v>3398</v>
      </c>
      <c r="D881" s="7"/>
      <c r="E881" t="str">
        <f>_xlfn.XLOOKUP(Table2[[#This Row],[RARC CODE]],'New Rarc Code'!A881:A1798,'New Rarc Code'!C881:C1798,"Not Active")</f>
        <v>Not Active</v>
      </c>
    </row>
    <row r="882" spans="1:5" x14ac:dyDescent="0.25">
      <c r="A882" s="5" t="s">
        <v>1866</v>
      </c>
      <c r="B882" s="7" t="s">
        <v>1867</v>
      </c>
      <c r="C882" s="7" t="s">
        <v>3399</v>
      </c>
      <c r="D882" s="7"/>
      <c r="E882" t="str">
        <f>_xlfn.XLOOKUP(Table2[[#This Row],[RARC CODE]],'New Rarc Code'!A882:A1799,'New Rarc Code'!C882:C1799,"Not Active")</f>
        <v>Not Active</v>
      </c>
    </row>
    <row r="883" spans="1:5" x14ac:dyDescent="0.25">
      <c r="A883" s="5" t="s">
        <v>725</v>
      </c>
      <c r="B883" s="7" t="s">
        <v>726</v>
      </c>
      <c r="C883" s="7" t="s">
        <v>3400</v>
      </c>
      <c r="D883" s="7"/>
      <c r="E883" t="str">
        <f>_xlfn.XLOOKUP(Table2[[#This Row],[RARC CODE]],'New Rarc Code'!A883:A1800,'New Rarc Code'!C883:C1800,"Not Active")</f>
        <v>Not Active</v>
      </c>
    </row>
    <row r="884" spans="1:5" x14ac:dyDescent="0.25">
      <c r="A884" s="5" t="s">
        <v>1868</v>
      </c>
      <c r="B884" s="7" t="s">
        <v>1869</v>
      </c>
      <c r="C884" s="7" t="s">
        <v>3401</v>
      </c>
      <c r="D884" s="7"/>
      <c r="E884" t="str">
        <f>_xlfn.XLOOKUP(Table2[[#This Row],[RARC CODE]],'New Rarc Code'!A884:A1801,'New Rarc Code'!C884:C1801,"Not Active")</f>
        <v>Not Active</v>
      </c>
    </row>
    <row r="885" spans="1:5" x14ac:dyDescent="0.25">
      <c r="A885" s="5" t="s">
        <v>1870</v>
      </c>
      <c r="B885" s="7" t="s">
        <v>1871</v>
      </c>
      <c r="C885" s="7" t="s">
        <v>3402</v>
      </c>
      <c r="D885" s="7"/>
      <c r="E885" t="str">
        <f>_xlfn.XLOOKUP(Table2[[#This Row],[RARC CODE]],'New Rarc Code'!A885:A1802,'New Rarc Code'!C885:C1802,"Not Active")</f>
        <v>Not Active</v>
      </c>
    </row>
    <row r="886" spans="1:5" x14ac:dyDescent="0.25">
      <c r="A886" s="5" t="s">
        <v>1872</v>
      </c>
      <c r="B886" s="7" t="s">
        <v>1873</v>
      </c>
      <c r="C886" s="7" t="s">
        <v>3403</v>
      </c>
      <c r="D886" s="7"/>
      <c r="E886" t="str">
        <f>_xlfn.XLOOKUP(Table2[[#This Row],[RARC CODE]],'New Rarc Code'!A886:A1803,'New Rarc Code'!C886:C1803,"Not Active")</f>
        <v>Not Active</v>
      </c>
    </row>
    <row r="887" spans="1:5" x14ac:dyDescent="0.25">
      <c r="A887" s="5" t="s">
        <v>1874</v>
      </c>
      <c r="B887" s="7" t="s">
        <v>1875</v>
      </c>
      <c r="C887" s="7" t="s">
        <v>3404</v>
      </c>
      <c r="D887" s="7"/>
      <c r="E887" t="str">
        <f>_xlfn.XLOOKUP(Table2[[#This Row],[RARC CODE]],'New Rarc Code'!A887:A1804,'New Rarc Code'!C887:C1804,"Not Active")</f>
        <v>Not Active</v>
      </c>
    </row>
    <row r="888" spans="1:5" x14ac:dyDescent="0.25">
      <c r="A888" s="5" t="s">
        <v>1876</v>
      </c>
      <c r="B888" s="7" t="s">
        <v>1877</v>
      </c>
      <c r="C888" s="7" t="s">
        <v>3405</v>
      </c>
      <c r="D888" s="7"/>
      <c r="E888" t="str">
        <f>_xlfn.XLOOKUP(Table2[[#This Row],[RARC CODE]],'New Rarc Code'!A888:A1805,'New Rarc Code'!C888:C1805,"Not Active")</f>
        <v>Not Active</v>
      </c>
    </row>
    <row r="889" spans="1:5" x14ac:dyDescent="0.25">
      <c r="A889" s="5" t="s">
        <v>1878</v>
      </c>
      <c r="B889" s="7" t="s">
        <v>1879</v>
      </c>
      <c r="C889" s="7" t="s">
        <v>3406</v>
      </c>
      <c r="D889" s="7"/>
      <c r="E889" t="str">
        <f>_xlfn.XLOOKUP(Table2[[#This Row],[RARC CODE]],'New Rarc Code'!A889:A1806,'New Rarc Code'!C889:C1806,"Not Active")</f>
        <v>Not Active</v>
      </c>
    </row>
    <row r="890" spans="1:5" x14ac:dyDescent="0.25">
      <c r="A890" s="5" t="s">
        <v>1880</v>
      </c>
      <c r="B890" s="7" t="s">
        <v>1881</v>
      </c>
      <c r="C890" s="7" t="s">
        <v>3407</v>
      </c>
      <c r="D890" s="7"/>
      <c r="E890" t="str">
        <f>_xlfn.XLOOKUP(Table2[[#This Row],[RARC CODE]],'New Rarc Code'!A890:A1807,'New Rarc Code'!C890:C1807,"Not Active")</f>
        <v>Not Active</v>
      </c>
    </row>
    <row r="891" spans="1:5" x14ac:dyDescent="0.25">
      <c r="A891" s="5" t="s">
        <v>1882</v>
      </c>
      <c r="B891" s="7" t="s">
        <v>1883</v>
      </c>
      <c r="C891" s="7" t="s">
        <v>3408</v>
      </c>
      <c r="D891" s="7"/>
      <c r="E891" t="str">
        <f>_xlfn.XLOOKUP(Table2[[#This Row],[RARC CODE]],'New Rarc Code'!A891:A1808,'New Rarc Code'!C891:C1808,"Not Active")</f>
        <v>Not Active</v>
      </c>
    </row>
    <row r="892" spans="1:5" x14ac:dyDescent="0.25">
      <c r="A892" s="5" t="s">
        <v>1884</v>
      </c>
      <c r="B892" s="7" t="s">
        <v>1885</v>
      </c>
      <c r="C892" s="7" t="s">
        <v>3409</v>
      </c>
      <c r="D892" s="7"/>
      <c r="E892" t="str">
        <f>_xlfn.XLOOKUP(Table2[[#This Row],[RARC CODE]],'New Rarc Code'!A892:A1809,'New Rarc Code'!C892:C1809,"Not Active")</f>
        <v>Not Active</v>
      </c>
    </row>
    <row r="893" spans="1:5" x14ac:dyDescent="0.25">
      <c r="A893" s="5" t="s">
        <v>1886</v>
      </c>
      <c r="B893" s="7" t="s">
        <v>1887</v>
      </c>
      <c r="C893" s="7" t="s">
        <v>3410</v>
      </c>
      <c r="D893" s="7"/>
      <c r="E893" t="str">
        <f>_xlfn.XLOOKUP(Table2[[#This Row],[RARC CODE]],'New Rarc Code'!A893:A1810,'New Rarc Code'!C893:C1810,"Not Active")</f>
        <v>Not Active</v>
      </c>
    </row>
    <row r="894" spans="1:5" x14ac:dyDescent="0.25">
      <c r="A894" s="5" t="s">
        <v>727</v>
      </c>
      <c r="B894" s="7" t="s">
        <v>728</v>
      </c>
      <c r="C894" s="7" t="s">
        <v>3411</v>
      </c>
      <c r="D894" s="7"/>
      <c r="E894" t="str">
        <f>_xlfn.XLOOKUP(Table2[[#This Row],[RARC CODE]],'New Rarc Code'!A894:A1811,'New Rarc Code'!C894:C1811,"Not Active")</f>
        <v>Not Active</v>
      </c>
    </row>
    <row r="895" spans="1:5" x14ac:dyDescent="0.25">
      <c r="A895" s="5" t="s">
        <v>1888</v>
      </c>
      <c r="B895" s="8" t="s">
        <v>2357</v>
      </c>
      <c r="C895" s="8" t="s">
        <v>3412</v>
      </c>
      <c r="D895" s="8"/>
      <c r="E895" t="str">
        <f>_xlfn.XLOOKUP(Table2[[#This Row],[RARC CODE]],'New Rarc Code'!A895:A1812,'New Rarc Code'!C895:C1812,"Not Active")</f>
        <v>Not Active</v>
      </c>
    </row>
    <row r="896" spans="1:5" x14ac:dyDescent="0.25">
      <c r="A896" s="5" t="s">
        <v>1889</v>
      </c>
      <c r="B896" s="7" t="s">
        <v>1890</v>
      </c>
      <c r="C896" s="7" t="s">
        <v>3413</v>
      </c>
      <c r="D896" s="7"/>
      <c r="E896" t="str">
        <f>_xlfn.XLOOKUP(Table2[[#This Row],[RARC CODE]],'New Rarc Code'!A896:A1813,'New Rarc Code'!C896:C1813,"Not Active")</f>
        <v>Not Active</v>
      </c>
    </row>
    <row r="897" spans="1:5" x14ac:dyDescent="0.25">
      <c r="A897" s="5" t="s">
        <v>1891</v>
      </c>
      <c r="B897" s="7" t="s">
        <v>1892</v>
      </c>
      <c r="C897" s="7" t="s">
        <v>3414</v>
      </c>
      <c r="D897" s="7"/>
      <c r="E897" t="str">
        <f>_xlfn.XLOOKUP(Table2[[#This Row],[RARC CODE]],'New Rarc Code'!A897:A1814,'New Rarc Code'!C897:C1814,"Not Active")</f>
        <v>Not Active</v>
      </c>
    </row>
    <row r="898" spans="1:5" x14ac:dyDescent="0.25">
      <c r="A898" s="5" t="s">
        <v>1893</v>
      </c>
      <c r="B898" s="7" t="s">
        <v>1894</v>
      </c>
      <c r="C898" s="7" t="s">
        <v>3415</v>
      </c>
      <c r="D898" s="7"/>
      <c r="E898" t="str">
        <f>_xlfn.XLOOKUP(Table2[[#This Row],[RARC CODE]],'New Rarc Code'!A898:A1815,'New Rarc Code'!C898:C1815,"Not Active")</f>
        <v>Not Active</v>
      </c>
    </row>
    <row r="899" spans="1:5" x14ac:dyDescent="0.25">
      <c r="A899" s="5" t="s">
        <v>1895</v>
      </c>
      <c r="B899" s="7" t="s">
        <v>1896</v>
      </c>
      <c r="C899" s="7" t="s">
        <v>3416</v>
      </c>
      <c r="D899" s="7"/>
      <c r="E899" t="str">
        <f>_xlfn.XLOOKUP(Table2[[#This Row],[RARC CODE]],'New Rarc Code'!A899:A1816,'New Rarc Code'!C899:C1816,"Not Active")</f>
        <v>Not Active</v>
      </c>
    </row>
    <row r="900" spans="1:5" x14ac:dyDescent="0.25">
      <c r="A900" s="5" t="s">
        <v>1897</v>
      </c>
      <c r="B900" s="7" t="s">
        <v>1898</v>
      </c>
      <c r="C900" s="7" t="s">
        <v>3417</v>
      </c>
      <c r="D900" s="7" t="s">
        <v>3694</v>
      </c>
      <c r="E900" t="str">
        <f>_xlfn.XLOOKUP(Table2[[#This Row],[RARC CODE]],'New Rarc Code'!A900:A1817,'New Rarc Code'!C900:C1817,"Not Active")</f>
        <v>Not Active</v>
      </c>
    </row>
    <row r="901" spans="1:5" x14ac:dyDescent="0.25">
      <c r="A901" s="5" t="s">
        <v>1899</v>
      </c>
      <c r="B901" s="7" t="s">
        <v>1900</v>
      </c>
      <c r="C901" s="7" t="s">
        <v>3418</v>
      </c>
      <c r="D901" s="7"/>
      <c r="E901" t="str">
        <f>_xlfn.XLOOKUP(Table2[[#This Row],[RARC CODE]],'New Rarc Code'!A901:A1818,'New Rarc Code'!C901:C1818,"Not Active")</f>
        <v>Not Active</v>
      </c>
    </row>
    <row r="902" spans="1:5" x14ac:dyDescent="0.25">
      <c r="A902" s="5" t="s">
        <v>1901</v>
      </c>
      <c r="B902" s="7" t="s">
        <v>1902</v>
      </c>
      <c r="C902" s="7" t="s">
        <v>3419</v>
      </c>
      <c r="D902" s="7" t="s">
        <v>3694</v>
      </c>
      <c r="E902" t="str">
        <f>_xlfn.XLOOKUP(Table2[[#This Row],[RARC CODE]],'New Rarc Code'!A902:A1819,'New Rarc Code'!C902:C1819,"Not Active")</f>
        <v>Not Active</v>
      </c>
    </row>
    <row r="903" spans="1:5" x14ac:dyDescent="0.25">
      <c r="A903" s="5" t="s">
        <v>1903</v>
      </c>
      <c r="B903" s="7" t="s">
        <v>1904</v>
      </c>
      <c r="C903" s="7" t="s">
        <v>3420</v>
      </c>
      <c r="D903" s="7" t="s">
        <v>3694</v>
      </c>
      <c r="E903" t="str">
        <f>_xlfn.XLOOKUP(Table2[[#This Row],[RARC CODE]],'New Rarc Code'!A903:A1820,'New Rarc Code'!C903:C1820,"Not Active")</f>
        <v>Not Active</v>
      </c>
    </row>
    <row r="904" spans="1:5" x14ac:dyDescent="0.25">
      <c r="A904" s="5" t="s">
        <v>1905</v>
      </c>
      <c r="B904" s="7" t="s">
        <v>1906</v>
      </c>
      <c r="C904" s="7" t="s">
        <v>3421</v>
      </c>
      <c r="D904" s="7"/>
      <c r="E904" t="str">
        <f>_xlfn.XLOOKUP(Table2[[#This Row],[RARC CODE]],'New Rarc Code'!A904:A1821,'New Rarc Code'!C904:C1821,"Not Active")</f>
        <v>Not Active</v>
      </c>
    </row>
    <row r="905" spans="1:5" x14ac:dyDescent="0.25">
      <c r="A905" s="5" t="s">
        <v>1907</v>
      </c>
      <c r="B905" s="7" t="s">
        <v>1908</v>
      </c>
      <c r="C905" s="7" t="s">
        <v>3422</v>
      </c>
      <c r="D905" s="7"/>
      <c r="E905" t="str">
        <f>_xlfn.XLOOKUP(Table2[[#This Row],[RARC CODE]],'New Rarc Code'!A905:A1822,'New Rarc Code'!C905:C1822,"Not Active")</f>
        <v>Not Active</v>
      </c>
    </row>
    <row r="906" spans="1:5" x14ac:dyDescent="0.25">
      <c r="A906" s="5" t="s">
        <v>1909</v>
      </c>
      <c r="B906" s="7" t="s">
        <v>1910</v>
      </c>
      <c r="C906" s="7" t="s">
        <v>3423</v>
      </c>
      <c r="D906" s="7"/>
      <c r="E906" t="str">
        <f>_xlfn.XLOOKUP(Table2[[#This Row],[RARC CODE]],'New Rarc Code'!A906:A1823,'New Rarc Code'!C906:C1823,"Not Active")</f>
        <v>Not Active</v>
      </c>
    </row>
    <row r="907" spans="1:5" x14ac:dyDescent="0.25">
      <c r="A907" s="5" t="s">
        <v>1911</v>
      </c>
      <c r="B907" s="7" t="s">
        <v>1912</v>
      </c>
      <c r="C907" s="7" t="s">
        <v>3424</v>
      </c>
      <c r="D907" s="7"/>
      <c r="E907" t="str">
        <f>_xlfn.XLOOKUP(Table2[[#This Row],[RARC CODE]],'New Rarc Code'!A907:A1824,'New Rarc Code'!C907:C1824,"Not Active")</f>
        <v>Not Active</v>
      </c>
    </row>
    <row r="908" spans="1:5" x14ac:dyDescent="0.25">
      <c r="A908" s="5" t="s">
        <v>1913</v>
      </c>
      <c r="B908" s="7" t="s">
        <v>1914</v>
      </c>
      <c r="C908" s="7" t="s">
        <v>3425</v>
      </c>
      <c r="D908" s="7"/>
      <c r="E908" t="str">
        <f>_xlfn.XLOOKUP(Table2[[#This Row],[RARC CODE]],'New Rarc Code'!A908:A1825,'New Rarc Code'!C908:C1825,"Not Active")</f>
        <v>Not Active</v>
      </c>
    </row>
    <row r="909" spans="1:5" x14ac:dyDescent="0.25">
      <c r="A909" s="5" t="s">
        <v>1915</v>
      </c>
      <c r="B909" s="7" t="s">
        <v>1916</v>
      </c>
      <c r="C909" s="7" t="s">
        <v>3426</v>
      </c>
      <c r="D909" s="7"/>
      <c r="E909" t="str">
        <f>_xlfn.XLOOKUP(Table2[[#This Row],[RARC CODE]],'New Rarc Code'!A909:A1826,'New Rarc Code'!C909:C1826,"Not Active")</f>
        <v>Not Active</v>
      </c>
    </row>
    <row r="910" spans="1:5" x14ac:dyDescent="0.25">
      <c r="A910" s="5" t="s">
        <v>1917</v>
      </c>
      <c r="B910" s="7" t="s">
        <v>1918</v>
      </c>
      <c r="C910" s="7" t="s">
        <v>3427</v>
      </c>
      <c r="D910" s="7"/>
      <c r="E910" t="str">
        <f>_xlfn.XLOOKUP(Table2[[#This Row],[RARC CODE]],'New Rarc Code'!A910:A1827,'New Rarc Code'!C910:C1827,"Not Active")</f>
        <v>Not Active</v>
      </c>
    </row>
    <row r="911" spans="1:5" x14ac:dyDescent="0.25">
      <c r="A911" s="5" t="s">
        <v>1919</v>
      </c>
      <c r="B911" s="7" t="s">
        <v>1920</v>
      </c>
      <c r="C911" s="7" t="s">
        <v>3428</v>
      </c>
      <c r="D911" s="7"/>
      <c r="E911" t="str">
        <f>_xlfn.XLOOKUP(Table2[[#This Row],[RARC CODE]],'New Rarc Code'!A911:A1828,'New Rarc Code'!C911:C1828,"Not Active")</f>
        <v>Not Active</v>
      </c>
    </row>
    <row r="912" spans="1:5" x14ac:dyDescent="0.25">
      <c r="A912" s="5" t="s">
        <v>1921</v>
      </c>
      <c r="B912" s="7" t="s">
        <v>1922</v>
      </c>
      <c r="C912" s="7" t="s">
        <v>3429</v>
      </c>
      <c r="D912" s="7"/>
      <c r="E912" t="str">
        <f>_xlfn.XLOOKUP(Table2[[#This Row],[RARC CODE]],'New Rarc Code'!A912:A1829,'New Rarc Code'!C912:C1829,"Not Active")</f>
        <v>Not Active</v>
      </c>
    </row>
    <row r="913" spans="1:5" x14ac:dyDescent="0.25">
      <c r="A913" s="5" t="s">
        <v>1923</v>
      </c>
      <c r="B913" s="7" t="s">
        <v>1924</v>
      </c>
      <c r="C913" s="7" t="s">
        <v>3430</v>
      </c>
      <c r="D913" s="7"/>
      <c r="E913" t="str">
        <f>_xlfn.XLOOKUP(Table2[[#This Row],[RARC CODE]],'New Rarc Code'!A913:A1830,'New Rarc Code'!C913:C1830,"Not Active")</f>
        <v>Not Active</v>
      </c>
    </row>
    <row r="914" spans="1:5" x14ac:dyDescent="0.25">
      <c r="A914" s="5" t="s">
        <v>729</v>
      </c>
      <c r="B914" s="7" t="s">
        <v>730</v>
      </c>
      <c r="C914" s="7" t="s">
        <v>3431</v>
      </c>
      <c r="D914" s="7"/>
      <c r="E914" t="str">
        <f>_xlfn.XLOOKUP(Table2[[#This Row],[RARC CODE]],'New Rarc Code'!A914:A1831,'New Rarc Code'!C914:C1831,"Not Active")</f>
        <v>Not Active</v>
      </c>
    </row>
    <row r="915" spans="1:5" x14ac:dyDescent="0.25">
      <c r="A915" s="5" t="s">
        <v>1925</v>
      </c>
      <c r="B915" s="7" t="s">
        <v>1926</v>
      </c>
      <c r="C915" s="7" t="s">
        <v>3432</v>
      </c>
      <c r="D915" s="7"/>
      <c r="E915" t="str">
        <f>_xlfn.XLOOKUP(Table2[[#This Row],[RARC CODE]],'New Rarc Code'!A915:A1832,'New Rarc Code'!C915:C1832,"Not Active")</f>
        <v>Not Active</v>
      </c>
    </row>
    <row r="916" spans="1:5" x14ac:dyDescent="0.25">
      <c r="A916" s="5" t="s">
        <v>1927</v>
      </c>
      <c r="B916" s="7" t="s">
        <v>1928</v>
      </c>
      <c r="C916" s="7" t="s">
        <v>3433</v>
      </c>
      <c r="D916" s="7"/>
      <c r="E916" t="str">
        <f>_xlfn.XLOOKUP(Table2[[#This Row],[RARC CODE]],'New Rarc Code'!A916:A1833,'New Rarc Code'!C916:C1833,"Not Active")</f>
        <v>Not Active</v>
      </c>
    </row>
    <row r="917" spans="1:5" x14ac:dyDescent="0.25">
      <c r="A917" s="5" t="s">
        <v>1929</v>
      </c>
      <c r="B917" s="7" t="s">
        <v>1930</v>
      </c>
      <c r="C917" s="7" t="s">
        <v>3434</v>
      </c>
      <c r="D917" s="7"/>
      <c r="E917" t="str">
        <f>_xlfn.XLOOKUP(Table2[[#This Row],[RARC CODE]],'New Rarc Code'!A917:A1834,'New Rarc Code'!C917:C1834,"Not Active")</f>
        <v>Not Active</v>
      </c>
    </row>
    <row r="918" spans="1:5" x14ac:dyDescent="0.25">
      <c r="A918" s="5" t="s">
        <v>1931</v>
      </c>
      <c r="B918" s="7" t="s">
        <v>1932</v>
      </c>
      <c r="C918" s="7" t="s">
        <v>3435</v>
      </c>
      <c r="D918" s="7"/>
      <c r="E918" t="str">
        <f>_xlfn.XLOOKUP(Table2[[#This Row],[RARC CODE]],'New Rarc Code'!A918:A1835,'New Rarc Code'!C918:C1835,"Not Active")</f>
        <v>Not Active</v>
      </c>
    </row>
    <row r="919" spans="1:5" x14ac:dyDescent="0.25">
      <c r="A919" s="5" t="s">
        <v>1933</v>
      </c>
      <c r="B919" s="7" t="s">
        <v>1934</v>
      </c>
      <c r="C919" s="7" t="s">
        <v>3436</v>
      </c>
      <c r="D919" s="7"/>
      <c r="E919" t="str">
        <f>_xlfn.XLOOKUP(Table2[[#This Row],[RARC CODE]],'New Rarc Code'!A919:A1836,'New Rarc Code'!C919:C1836,"Not Active")</f>
        <v>Not Active</v>
      </c>
    </row>
    <row r="920" spans="1:5" x14ac:dyDescent="0.25">
      <c r="A920" s="5" t="s">
        <v>1935</v>
      </c>
      <c r="B920" s="7" t="s">
        <v>1936</v>
      </c>
      <c r="C920" s="7" t="s">
        <v>3437</v>
      </c>
      <c r="D920" s="7"/>
      <c r="E920" t="str">
        <f>_xlfn.XLOOKUP(Table2[[#This Row],[RARC CODE]],'New Rarc Code'!A920:A1837,'New Rarc Code'!C920:C1837,"Not Active")</f>
        <v>Not Active</v>
      </c>
    </row>
    <row r="921" spans="1:5" x14ac:dyDescent="0.25">
      <c r="A921" s="5" t="s">
        <v>1937</v>
      </c>
      <c r="B921" s="7" t="s">
        <v>1938</v>
      </c>
      <c r="C921" s="7" t="s">
        <v>3438</v>
      </c>
      <c r="D921" s="7"/>
      <c r="E921" t="str">
        <f>_xlfn.XLOOKUP(Table2[[#This Row],[RARC CODE]],'New Rarc Code'!A921:A1838,'New Rarc Code'!C921:C1838,"Not Active")</f>
        <v>Not Active</v>
      </c>
    </row>
    <row r="922" spans="1:5" x14ac:dyDescent="0.25">
      <c r="A922" s="5" t="s">
        <v>1939</v>
      </c>
      <c r="B922" s="7" t="s">
        <v>1940</v>
      </c>
      <c r="C922" s="7" t="s">
        <v>3439</v>
      </c>
      <c r="D922" s="7"/>
      <c r="E922" t="str">
        <f>_xlfn.XLOOKUP(Table2[[#This Row],[RARC CODE]],'New Rarc Code'!A922:A1839,'New Rarc Code'!C922:C1839,"Not Active")</f>
        <v>Not Active</v>
      </c>
    </row>
    <row r="923" spans="1:5" x14ac:dyDescent="0.25">
      <c r="A923" s="5" t="s">
        <v>1941</v>
      </c>
      <c r="B923" s="7" t="s">
        <v>1942</v>
      </c>
      <c r="C923" s="7" t="s">
        <v>3440</v>
      </c>
      <c r="D923" s="7"/>
      <c r="E923" t="str">
        <f>_xlfn.XLOOKUP(Table2[[#This Row],[RARC CODE]],'New Rarc Code'!A923:A1840,'New Rarc Code'!C923:C1840,"Not Active")</f>
        <v>Not Active</v>
      </c>
    </row>
    <row r="924" spans="1:5" x14ac:dyDescent="0.25">
      <c r="A924" s="5" t="s">
        <v>731</v>
      </c>
      <c r="B924" s="7" t="s">
        <v>732</v>
      </c>
      <c r="C924" s="7" t="s">
        <v>3441</v>
      </c>
      <c r="D924" s="7"/>
      <c r="E924" t="str">
        <f>_xlfn.XLOOKUP(Table2[[#This Row],[RARC CODE]],'New Rarc Code'!A924:A1841,'New Rarc Code'!C924:C1841,"Not Active")</f>
        <v>Not Active</v>
      </c>
    </row>
    <row r="925" spans="1:5" x14ac:dyDescent="0.25">
      <c r="A925" s="5" t="s">
        <v>1943</v>
      </c>
      <c r="B925" s="7" t="s">
        <v>1944</v>
      </c>
      <c r="C925" s="7" t="s">
        <v>3442</v>
      </c>
      <c r="D925" s="7"/>
      <c r="E925" t="str">
        <f>_xlfn.XLOOKUP(Table2[[#This Row],[RARC CODE]],'New Rarc Code'!A925:A1842,'New Rarc Code'!C925:C1842,"Not Active")</f>
        <v>Not Active</v>
      </c>
    </row>
    <row r="926" spans="1:5" x14ac:dyDescent="0.25">
      <c r="A926" s="5" t="s">
        <v>1945</v>
      </c>
      <c r="B926" s="7" t="s">
        <v>1946</v>
      </c>
      <c r="C926" s="7" t="s">
        <v>3443</v>
      </c>
      <c r="D926" s="7"/>
      <c r="E926" t="str">
        <f>_xlfn.XLOOKUP(Table2[[#This Row],[RARC CODE]],'New Rarc Code'!A926:A1843,'New Rarc Code'!C926:C1843,"Not Active")</f>
        <v>Not Active</v>
      </c>
    </row>
    <row r="927" spans="1:5" x14ac:dyDescent="0.25">
      <c r="A927" s="5" t="s">
        <v>1947</v>
      </c>
      <c r="B927" s="7" t="s">
        <v>1948</v>
      </c>
      <c r="C927" s="7" t="s">
        <v>3444</v>
      </c>
      <c r="D927" s="7" t="s">
        <v>3694</v>
      </c>
      <c r="E927" t="str">
        <f>_xlfn.XLOOKUP(Table2[[#This Row],[RARC CODE]],'New Rarc Code'!A927:A1844,'New Rarc Code'!C927:C1844,"Not Active")</f>
        <v>Not Active</v>
      </c>
    </row>
    <row r="928" spans="1:5" x14ac:dyDescent="0.25">
      <c r="A928" s="5" t="s">
        <v>1949</v>
      </c>
      <c r="B928" s="7" t="s">
        <v>1950</v>
      </c>
      <c r="C928" s="7" t="s">
        <v>3445</v>
      </c>
      <c r="D928" s="7"/>
      <c r="E928" t="str">
        <f>_xlfn.XLOOKUP(Table2[[#This Row],[RARC CODE]],'New Rarc Code'!A928:A1845,'New Rarc Code'!C928:C1845,"Not Active")</f>
        <v>Not Active</v>
      </c>
    </row>
    <row r="929" spans="1:5" x14ac:dyDescent="0.25">
      <c r="A929" s="5" t="s">
        <v>1951</v>
      </c>
      <c r="B929" s="7" t="s">
        <v>1952</v>
      </c>
      <c r="C929" s="7" t="s">
        <v>3446</v>
      </c>
      <c r="D929" s="7"/>
      <c r="E929" t="str">
        <f>_xlfn.XLOOKUP(Table2[[#This Row],[RARC CODE]],'New Rarc Code'!A929:A1846,'New Rarc Code'!C929:C1846,"Not Active")</f>
        <v>Not Active</v>
      </c>
    </row>
    <row r="930" spans="1:5" x14ac:dyDescent="0.25">
      <c r="A930" s="5" t="s">
        <v>1953</v>
      </c>
      <c r="B930" s="7" t="s">
        <v>1954</v>
      </c>
      <c r="C930" s="7" t="s">
        <v>3447</v>
      </c>
      <c r="D930" s="7"/>
      <c r="E930" t="str">
        <f>_xlfn.XLOOKUP(Table2[[#This Row],[RARC CODE]],'New Rarc Code'!A930:A1847,'New Rarc Code'!C930:C1847,"Not Active")</f>
        <v>Not Active</v>
      </c>
    </row>
    <row r="931" spans="1:5" x14ac:dyDescent="0.25">
      <c r="A931" s="5" t="s">
        <v>1955</v>
      </c>
      <c r="B931" s="7" t="s">
        <v>1956</v>
      </c>
      <c r="C931" s="7" t="s">
        <v>3448</v>
      </c>
      <c r="D931" s="7"/>
      <c r="E931" t="str">
        <f>_xlfn.XLOOKUP(Table2[[#This Row],[RARC CODE]],'New Rarc Code'!A931:A1848,'New Rarc Code'!C931:C1848,"Not Active")</f>
        <v>Not Active</v>
      </c>
    </row>
    <row r="932" spans="1:5" x14ac:dyDescent="0.25">
      <c r="A932" s="5" t="s">
        <v>1957</v>
      </c>
      <c r="B932" s="7" t="s">
        <v>1958</v>
      </c>
      <c r="C932" s="7" t="s">
        <v>3449</v>
      </c>
      <c r="D932" s="7"/>
      <c r="E932" t="str">
        <f>_xlfn.XLOOKUP(Table2[[#This Row],[RARC CODE]],'New Rarc Code'!A932:A1849,'New Rarc Code'!C932:C1849,"Not Active")</f>
        <v>Not Active</v>
      </c>
    </row>
    <row r="933" spans="1:5" x14ac:dyDescent="0.25">
      <c r="A933" s="5" t="s">
        <v>1959</v>
      </c>
      <c r="B933" s="7" t="s">
        <v>1960</v>
      </c>
      <c r="C933" s="7" t="s">
        <v>3450</v>
      </c>
      <c r="D933" s="7" t="s">
        <v>3709</v>
      </c>
      <c r="E933" t="str">
        <f>_xlfn.XLOOKUP(Table2[[#This Row],[RARC CODE]],'New Rarc Code'!A933:A1850,'New Rarc Code'!C933:C1850,"Not Active")</f>
        <v>Not Active</v>
      </c>
    </row>
    <row r="934" spans="1:5" x14ac:dyDescent="0.25">
      <c r="A934" s="5" t="s">
        <v>1961</v>
      </c>
      <c r="B934" s="7" t="s">
        <v>1962</v>
      </c>
      <c r="C934" s="7" t="s">
        <v>3451</v>
      </c>
      <c r="D934" s="7"/>
      <c r="E934" t="str">
        <f>_xlfn.XLOOKUP(Table2[[#This Row],[RARC CODE]],'New Rarc Code'!A934:A1851,'New Rarc Code'!C934:C1851,"Not Active")</f>
        <v>Not Active</v>
      </c>
    </row>
    <row r="935" spans="1:5" x14ac:dyDescent="0.25">
      <c r="A935" s="5" t="s">
        <v>733</v>
      </c>
      <c r="B935" s="7" t="s">
        <v>734</v>
      </c>
      <c r="C935" s="7" t="s">
        <v>3452</v>
      </c>
      <c r="D935" s="7"/>
      <c r="E935" t="str">
        <f>_xlfn.XLOOKUP(Table2[[#This Row],[RARC CODE]],'New Rarc Code'!A935:A1852,'New Rarc Code'!C935:C1852,"Not Active")</f>
        <v>Not Active</v>
      </c>
    </row>
    <row r="936" spans="1:5" x14ac:dyDescent="0.25">
      <c r="A936" s="5" t="s">
        <v>1963</v>
      </c>
      <c r="B936" s="7" t="s">
        <v>1964</v>
      </c>
      <c r="C936" s="7" t="s">
        <v>3453</v>
      </c>
      <c r="D936" s="7" t="s">
        <v>3694</v>
      </c>
      <c r="E936" t="str">
        <f>_xlfn.XLOOKUP(Table2[[#This Row],[RARC CODE]],'New Rarc Code'!A936:A1853,'New Rarc Code'!C936:C1853,"Not Active")</f>
        <v>Not Active</v>
      </c>
    </row>
    <row r="937" spans="1:5" x14ac:dyDescent="0.25">
      <c r="A937" s="5" t="s">
        <v>1965</v>
      </c>
      <c r="B937" s="7" t="s">
        <v>1966</v>
      </c>
      <c r="C937" s="7" t="s">
        <v>3454</v>
      </c>
      <c r="D937" s="7" t="s">
        <v>3694</v>
      </c>
      <c r="E937" t="str">
        <f>_xlfn.XLOOKUP(Table2[[#This Row],[RARC CODE]],'New Rarc Code'!A937:A1854,'New Rarc Code'!C937:C1854,"Not Active")</f>
        <v>Not Active</v>
      </c>
    </row>
    <row r="938" spans="1:5" x14ac:dyDescent="0.25">
      <c r="A938" s="5" t="s">
        <v>1967</v>
      </c>
      <c r="B938" s="7" t="s">
        <v>1968</v>
      </c>
      <c r="C938" s="7" t="s">
        <v>3455</v>
      </c>
      <c r="D938" s="7"/>
      <c r="E938" t="str">
        <f>_xlfn.XLOOKUP(Table2[[#This Row],[RARC CODE]],'New Rarc Code'!A938:A1855,'New Rarc Code'!C938:C1855,"Not Active")</f>
        <v>Not Active</v>
      </c>
    </row>
    <row r="939" spans="1:5" x14ac:dyDescent="0.25">
      <c r="A939" s="5" t="s">
        <v>1969</v>
      </c>
      <c r="B939" s="7" t="s">
        <v>1970</v>
      </c>
      <c r="C939" s="7" t="s">
        <v>3456</v>
      </c>
      <c r="D939" s="7"/>
      <c r="E939" t="str">
        <f>_xlfn.XLOOKUP(Table2[[#This Row],[RARC CODE]],'New Rarc Code'!A939:A1856,'New Rarc Code'!C939:C1856,"Not Active")</f>
        <v>Not Active</v>
      </c>
    </row>
    <row r="940" spans="1:5" x14ac:dyDescent="0.25">
      <c r="A940" s="5" t="s">
        <v>1971</v>
      </c>
      <c r="B940" s="7" t="s">
        <v>1972</v>
      </c>
      <c r="C940" s="7" t="s">
        <v>3457</v>
      </c>
      <c r="D940" s="7"/>
      <c r="E940" t="str">
        <f>_xlfn.XLOOKUP(Table2[[#This Row],[RARC CODE]],'New Rarc Code'!A940:A1857,'New Rarc Code'!C940:C1857,"Not Active")</f>
        <v>Not Active</v>
      </c>
    </row>
    <row r="941" spans="1:5" x14ac:dyDescent="0.25">
      <c r="A941" s="5" t="s">
        <v>1973</v>
      </c>
      <c r="B941" s="7" t="s">
        <v>1974</v>
      </c>
      <c r="C941" s="7" t="s">
        <v>3458</v>
      </c>
      <c r="D941" s="7"/>
      <c r="E941" t="str">
        <f>_xlfn.XLOOKUP(Table2[[#This Row],[RARC CODE]],'New Rarc Code'!A941:A1858,'New Rarc Code'!C941:C1858,"Not Active")</f>
        <v>Not Active</v>
      </c>
    </row>
    <row r="942" spans="1:5" x14ac:dyDescent="0.25">
      <c r="A942" s="5" t="s">
        <v>1975</v>
      </c>
      <c r="B942" s="7" t="s">
        <v>1976</v>
      </c>
      <c r="C942" s="7" t="s">
        <v>3459</v>
      </c>
      <c r="D942" s="7"/>
      <c r="E942" t="str">
        <f>_xlfn.XLOOKUP(Table2[[#This Row],[RARC CODE]],'New Rarc Code'!A942:A1859,'New Rarc Code'!C942:C1859,"Not Active")</f>
        <v>Not Active</v>
      </c>
    </row>
    <row r="943" spans="1:5" x14ac:dyDescent="0.25">
      <c r="A943" s="5" t="s">
        <v>1977</v>
      </c>
      <c r="B943" s="7" t="s">
        <v>1978</v>
      </c>
      <c r="C943" s="7" t="s">
        <v>3460</v>
      </c>
      <c r="D943" s="7"/>
      <c r="E943" t="str">
        <f>_xlfn.XLOOKUP(Table2[[#This Row],[RARC CODE]],'New Rarc Code'!A943:A1860,'New Rarc Code'!C943:C1860,"Not Active")</f>
        <v>Not Active</v>
      </c>
    </row>
    <row r="944" spans="1:5" x14ac:dyDescent="0.25">
      <c r="A944" s="5" t="s">
        <v>1979</v>
      </c>
      <c r="B944" s="7" t="s">
        <v>1980</v>
      </c>
      <c r="C944" s="7" t="s">
        <v>3461</v>
      </c>
      <c r="D944" s="7"/>
      <c r="E944" t="str">
        <f>_xlfn.XLOOKUP(Table2[[#This Row],[RARC CODE]],'New Rarc Code'!A944:A1861,'New Rarc Code'!C944:C1861,"Not Active")</f>
        <v>Not Active</v>
      </c>
    </row>
    <row r="945" spans="1:5" x14ac:dyDescent="0.25">
      <c r="A945" s="5" t="s">
        <v>1981</v>
      </c>
      <c r="B945" s="7" t="s">
        <v>1982</v>
      </c>
      <c r="C945" s="7" t="s">
        <v>3462</v>
      </c>
      <c r="D945" s="7" t="s">
        <v>3694</v>
      </c>
      <c r="E945" t="str">
        <f>_xlfn.XLOOKUP(Table2[[#This Row],[RARC CODE]],'New Rarc Code'!A945:A1862,'New Rarc Code'!C945:C1862,"Not Active")</f>
        <v>Not Active</v>
      </c>
    </row>
    <row r="946" spans="1:5" x14ac:dyDescent="0.25">
      <c r="A946" s="5" t="s">
        <v>735</v>
      </c>
      <c r="B946" s="7" t="s">
        <v>736</v>
      </c>
      <c r="C946" s="7" t="s">
        <v>3463</v>
      </c>
      <c r="D946" s="7"/>
      <c r="E946" t="str">
        <f>_xlfn.XLOOKUP(Table2[[#This Row],[RARC CODE]],'New Rarc Code'!A946:A1863,'New Rarc Code'!C946:C1863,"Not Active")</f>
        <v>Not Active</v>
      </c>
    </row>
    <row r="947" spans="1:5" x14ac:dyDescent="0.25">
      <c r="A947" s="5" t="s">
        <v>1983</v>
      </c>
      <c r="B947" s="7" t="s">
        <v>1984</v>
      </c>
      <c r="C947" s="7" t="s">
        <v>3464</v>
      </c>
      <c r="D947" s="7"/>
      <c r="E947" t="str">
        <f>_xlfn.XLOOKUP(Table2[[#This Row],[RARC CODE]],'New Rarc Code'!A947:A1864,'New Rarc Code'!C947:C1864,"Not Active")</f>
        <v>Not Active</v>
      </c>
    </row>
    <row r="948" spans="1:5" x14ac:dyDescent="0.25">
      <c r="A948" s="5" t="s">
        <v>1985</v>
      </c>
      <c r="B948" s="8" t="s">
        <v>2358</v>
      </c>
      <c r="C948" s="8" t="s">
        <v>3465</v>
      </c>
      <c r="D948" s="8"/>
      <c r="E948" t="str">
        <f>_xlfn.XLOOKUP(Table2[[#This Row],[RARC CODE]],'New Rarc Code'!A948:A1865,'New Rarc Code'!C948:C1865,"Not Active")</f>
        <v>Not Active</v>
      </c>
    </row>
    <row r="949" spans="1:5" x14ac:dyDescent="0.25">
      <c r="A949" s="5" t="s">
        <v>1986</v>
      </c>
      <c r="B949" s="8" t="s">
        <v>2359</v>
      </c>
      <c r="C949" s="8" t="s">
        <v>3466</v>
      </c>
      <c r="D949" s="8"/>
      <c r="E949" t="str">
        <f>_xlfn.XLOOKUP(Table2[[#This Row],[RARC CODE]],'New Rarc Code'!A949:A1866,'New Rarc Code'!C949:C1866,"Not Active")</f>
        <v>Not Active</v>
      </c>
    </row>
    <row r="950" spans="1:5" x14ac:dyDescent="0.25">
      <c r="A950" s="5" t="s">
        <v>1987</v>
      </c>
      <c r="B950" s="7" t="s">
        <v>1988</v>
      </c>
      <c r="C950" s="7" t="s">
        <v>3467</v>
      </c>
      <c r="D950" s="7"/>
      <c r="E950" t="str">
        <f>_xlfn.XLOOKUP(Table2[[#This Row],[RARC CODE]],'New Rarc Code'!A950:A1867,'New Rarc Code'!C950:C1867,"Not Active")</f>
        <v>Not Active</v>
      </c>
    </row>
    <row r="951" spans="1:5" x14ac:dyDescent="0.25">
      <c r="A951" s="5" t="s">
        <v>1989</v>
      </c>
      <c r="B951" s="8" t="s">
        <v>2360</v>
      </c>
      <c r="C951" s="8" t="s">
        <v>3468</v>
      </c>
      <c r="D951" s="8"/>
      <c r="E951" t="str">
        <f>_xlfn.XLOOKUP(Table2[[#This Row],[RARC CODE]],'New Rarc Code'!A951:A1868,'New Rarc Code'!C951:C1868,"Not Active")</f>
        <v>Not Active</v>
      </c>
    </row>
    <row r="952" spans="1:5" x14ac:dyDescent="0.25">
      <c r="A952" s="5" t="s">
        <v>1990</v>
      </c>
      <c r="B952" s="7" t="s">
        <v>1991</v>
      </c>
      <c r="C952" s="7" t="s">
        <v>3469</v>
      </c>
      <c r="D952" s="7"/>
      <c r="E952" t="str">
        <f>_xlfn.XLOOKUP(Table2[[#This Row],[RARC CODE]],'New Rarc Code'!A952:A1869,'New Rarc Code'!C952:C1869,"Not Active")</f>
        <v>Not Active</v>
      </c>
    </row>
    <row r="953" spans="1:5" x14ac:dyDescent="0.25">
      <c r="A953" s="5" t="s">
        <v>1992</v>
      </c>
      <c r="B953" s="7" t="s">
        <v>1993</v>
      </c>
      <c r="C953" s="7" t="s">
        <v>3470</v>
      </c>
      <c r="D953" s="7"/>
      <c r="E953" t="str">
        <f>_xlfn.XLOOKUP(Table2[[#This Row],[RARC CODE]],'New Rarc Code'!A953:A1870,'New Rarc Code'!C953:C1870,"Not Active")</f>
        <v>Not Active</v>
      </c>
    </row>
    <row r="954" spans="1:5" x14ac:dyDescent="0.25">
      <c r="A954" s="5" t="s">
        <v>1994</v>
      </c>
      <c r="B954" s="7" t="s">
        <v>1995</v>
      </c>
      <c r="C954" s="7" t="s">
        <v>3471</v>
      </c>
      <c r="D954" s="7"/>
      <c r="E954" t="str">
        <f>_xlfn.XLOOKUP(Table2[[#This Row],[RARC CODE]],'New Rarc Code'!A954:A1871,'New Rarc Code'!C954:C1871,"Not Active")</f>
        <v>Not Active</v>
      </c>
    </row>
    <row r="955" spans="1:5" x14ac:dyDescent="0.25">
      <c r="A955" s="5" t="s">
        <v>1996</v>
      </c>
      <c r="B955" s="7" t="s">
        <v>1997</v>
      </c>
      <c r="C955" s="7" t="s">
        <v>3472</v>
      </c>
      <c r="D955" s="7"/>
      <c r="E955" t="str">
        <f>_xlfn.XLOOKUP(Table2[[#This Row],[RARC CODE]],'New Rarc Code'!A955:A1872,'New Rarc Code'!C955:C1872,"Not Active")</f>
        <v>Not Active</v>
      </c>
    </row>
    <row r="956" spans="1:5" x14ac:dyDescent="0.25">
      <c r="A956" s="5" t="s">
        <v>1998</v>
      </c>
      <c r="B956" s="7" t="s">
        <v>1999</v>
      </c>
      <c r="C956" s="7" t="s">
        <v>3473</v>
      </c>
      <c r="D956" s="7"/>
      <c r="E956" t="str">
        <f>_xlfn.XLOOKUP(Table2[[#This Row],[RARC CODE]],'New Rarc Code'!A956:A1873,'New Rarc Code'!C956:C1873,"Not Active")</f>
        <v>Not Active</v>
      </c>
    </row>
    <row r="957" spans="1:5" x14ac:dyDescent="0.25">
      <c r="A957" s="5" t="s">
        <v>737</v>
      </c>
      <c r="B957" s="7" t="s">
        <v>738</v>
      </c>
      <c r="C957" s="7" t="s">
        <v>3474</v>
      </c>
      <c r="D957" s="7"/>
      <c r="E957" t="str">
        <f>_xlfn.XLOOKUP(Table2[[#This Row],[RARC CODE]],'New Rarc Code'!A957:A1874,'New Rarc Code'!C957:C1874,"Not Active")</f>
        <v>Not Active</v>
      </c>
    </row>
    <row r="958" spans="1:5" x14ac:dyDescent="0.25">
      <c r="A958" s="5" t="s">
        <v>2000</v>
      </c>
      <c r="B958" s="7" t="s">
        <v>2001</v>
      </c>
      <c r="C958" s="7" t="s">
        <v>3475</v>
      </c>
      <c r="D958" s="7"/>
      <c r="E958" t="str">
        <f>_xlfn.XLOOKUP(Table2[[#This Row],[RARC CODE]],'New Rarc Code'!A958:A1875,'New Rarc Code'!C958:C1875,"Not Active")</f>
        <v>Not Active</v>
      </c>
    </row>
    <row r="959" spans="1:5" x14ac:dyDescent="0.25">
      <c r="A959" s="5" t="s">
        <v>2002</v>
      </c>
      <c r="B959" s="8" t="s">
        <v>2361</v>
      </c>
      <c r="C959" s="8" t="s">
        <v>3476</v>
      </c>
      <c r="D959" s="8"/>
      <c r="E959" t="str">
        <f>_xlfn.XLOOKUP(Table2[[#This Row],[RARC CODE]],'New Rarc Code'!A959:A1876,'New Rarc Code'!C959:C1876,"Not Active")</f>
        <v>Not Active</v>
      </c>
    </row>
    <row r="960" spans="1:5" x14ac:dyDescent="0.25">
      <c r="A960" s="5" t="s">
        <v>2003</v>
      </c>
      <c r="B960" s="8" t="s">
        <v>2362</v>
      </c>
      <c r="C960" s="8" t="s">
        <v>3477</v>
      </c>
      <c r="D960" s="8"/>
      <c r="E960" t="str">
        <f>_xlfn.XLOOKUP(Table2[[#This Row],[RARC CODE]],'New Rarc Code'!A960:A1877,'New Rarc Code'!C960:C1877,"Not Active")</f>
        <v>Not Active</v>
      </c>
    </row>
    <row r="961" spans="1:5" x14ac:dyDescent="0.25">
      <c r="A961" s="5" t="s">
        <v>2004</v>
      </c>
      <c r="B961" s="8" t="s">
        <v>2363</v>
      </c>
      <c r="C961" s="8" t="s">
        <v>3478</v>
      </c>
      <c r="D961" s="8"/>
      <c r="E961" t="str">
        <f>_xlfn.XLOOKUP(Table2[[#This Row],[RARC CODE]],'New Rarc Code'!A961:A1878,'New Rarc Code'!C961:C1878,"Not Active")</f>
        <v>Not Active</v>
      </c>
    </row>
    <row r="962" spans="1:5" x14ac:dyDescent="0.25">
      <c r="A962" s="5" t="s">
        <v>2005</v>
      </c>
      <c r="B962" s="7" t="s">
        <v>2006</v>
      </c>
      <c r="C962" s="7" t="s">
        <v>3479</v>
      </c>
      <c r="D962" s="7" t="s">
        <v>3694</v>
      </c>
      <c r="E962" t="str">
        <f>_xlfn.XLOOKUP(Table2[[#This Row],[RARC CODE]],'New Rarc Code'!A962:A1879,'New Rarc Code'!C962:C1879,"Not Active")</f>
        <v>Not Active</v>
      </c>
    </row>
    <row r="963" spans="1:5" x14ac:dyDescent="0.25">
      <c r="A963" s="5" t="s">
        <v>2007</v>
      </c>
      <c r="B963" s="7" t="s">
        <v>2008</v>
      </c>
      <c r="C963" s="7" t="s">
        <v>3480</v>
      </c>
      <c r="D963" s="7"/>
      <c r="E963" t="str">
        <f>_xlfn.XLOOKUP(Table2[[#This Row],[RARC CODE]],'New Rarc Code'!A963:A1880,'New Rarc Code'!C963:C1880,"Not Active")</f>
        <v>Not Active</v>
      </c>
    </row>
    <row r="964" spans="1:5" x14ac:dyDescent="0.25">
      <c r="A964" s="5" t="s">
        <v>2009</v>
      </c>
      <c r="B964" s="7" t="s">
        <v>2010</v>
      </c>
      <c r="C964" s="7" t="s">
        <v>3481</v>
      </c>
      <c r="D964" s="7"/>
      <c r="E964" t="str">
        <f>_xlfn.XLOOKUP(Table2[[#This Row],[RARC CODE]],'New Rarc Code'!A964:A1881,'New Rarc Code'!C964:C1881,"Not Active")</f>
        <v>Not Active</v>
      </c>
    </row>
    <row r="965" spans="1:5" x14ac:dyDescent="0.25">
      <c r="A965" s="5" t="s">
        <v>2011</v>
      </c>
      <c r="B965" s="8" t="s">
        <v>2364</v>
      </c>
      <c r="C965" s="8" t="s">
        <v>3482</v>
      </c>
      <c r="D965" s="8"/>
      <c r="E965" t="str">
        <f>_xlfn.XLOOKUP(Table2[[#This Row],[RARC CODE]],'New Rarc Code'!A965:A1882,'New Rarc Code'!C965:C1882,"Not Active")</f>
        <v>Not Active</v>
      </c>
    </row>
    <row r="966" spans="1:5" x14ac:dyDescent="0.25">
      <c r="A966" s="5" t="s">
        <v>2012</v>
      </c>
      <c r="B966" s="8" t="s">
        <v>2365</v>
      </c>
      <c r="C966" s="8" t="s">
        <v>3483</v>
      </c>
      <c r="D966" s="8"/>
      <c r="E966" t="str">
        <f>_xlfn.XLOOKUP(Table2[[#This Row],[RARC CODE]],'New Rarc Code'!A966:A1883,'New Rarc Code'!C966:C1883,"Not Active")</f>
        <v>Not Active</v>
      </c>
    </row>
    <row r="967" spans="1:5" x14ac:dyDescent="0.25">
      <c r="A967" s="5" t="s">
        <v>2013</v>
      </c>
      <c r="B967" s="7" t="s">
        <v>2014</v>
      </c>
      <c r="C967" s="7" t="s">
        <v>3484</v>
      </c>
      <c r="D967" s="7"/>
      <c r="E967" t="str">
        <f>_xlfn.XLOOKUP(Table2[[#This Row],[RARC CODE]],'New Rarc Code'!A967:A1884,'New Rarc Code'!C967:C1884,"Not Active")</f>
        <v>Not Active</v>
      </c>
    </row>
    <row r="968" spans="1:5" x14ac:dyDescent="0.25">
      <c r="A968" s="5" t="s">
        <v>739</v>
      </c>
      <c r="B968" s="7" t="s">
        <v>740</v>
      </c>
      <c r="C968" s="7" t="s">
        <v>3485</v>
      </c>
      <c r="D968" s="7"/>
      <c r="E968" t="str">
        <f>_xlfn.XLOOKUP(Table2[[#This Row],[RARC CODE]],'New Rarc Code'!A968:A1885,'New Rarc Code'!C968:C1885,"Not Active")</f>
        <v>Not Active</v>
      </c>
    </row>
    <row r="969" spans="1:5" x14ac:dyDescent="0.25">
      <c r="A969" s="5" t="s">
        <v>2015</v>
      </c>
      <c r="B969" s="7" t="s">
        <v>2016</v>
      </c>
      <c r="C969" s="7" t="s">
        <v>3486</v>
      </c>
      <c r="D969" s="7"/>
      <c r="E969" t="str">
        <f>_xlfn.XLOOKUP(Table2[[#This Row],[RARC CODE]],'New Rarc Code'!A969:A1886,'New Rarc Code'!C969:C1886,"Not Active")</f>
        <v>Not Active</v>
      </c>
    </row>
    <row r="970" spans="1:5" x14ac:dyDescent="0.25">
      <c r="A970" s="5" t="s">
        <v>2017</v>
      </c>
      <c r="B970" s="7" t="s">
        <v>2018</v>
      </c>
      <c r="C970" s="7" t="s">
        <v>3487</v>
      </c>
      <c r="D970" s="7"/>
      <c r="E970" t="str">
        <f>_xlfn.XLOOKUP(Table2[[#This Row],[RARC CODE]],'New Rarc Code'!A970:A1887,'New Rarc Code'!C970:C1887,"Not Active")</f>
        <v>Not Active</v>
      </c>
    </row>
    <row r="971" spans="1:5" x14ac:dyDescent="0.25">
      <c r="A971" s="5" t="s">
        <v>2019</v>
      </c>
      <c r="B971" s="7" t="s">
        <v>2020</v>
      </c>
      <c r="C971" s="7" t="s">
        <v>3488</v>
      </c>
      <c r="D971" s="7"/>
      <c r="E971" t="str">
        <f>_xlfn.XLOOKUP(Table2[[#This Row],[RARC CODE]],'New Rarc Code'!A971:A1888,'New Rarc Code'!C971:C1888,"Not Active")</f>
        <v>Not Active</v>
      </c>
    </row>
    <row r="972" spans="1:5" x14ac:dyDescent="0.25">
      <c r="A972" s="5" t="s">
        <v>2021</v>
      </c>
      <c r="B972" s="7" t="s">
        <v>2022</v>
      </c>
      <c r="C972" s="7" t="s">
        <v>3489</v>
      </c>
      <c r="D972" s="7"/>
      <c r="E972" t="str">
        <f>_xlfn.XLOOKUP(Table2[[#This Row],[RARC CODE]],'New Rarc Code'!A972:A1889,'New Rarc Code'!C972:C1889,"Not Active")</f>
        <v>Not Active</v>
      </c>
    </row>
    <row r="973" spans="1:5" x14ac:dyDescent="0.25">
      <c r="A973" s="5" t="s">
        <v>2023</v>
      </c>
      <c r="B973" s="7" t="s">
        <v>2024</v>
      </c>
      <c r="C973" s="7" t="s">
        <v>3490</v>
      </c>
      <c r="D973" s="7"/>
      <c r="E973" t="str">
        <f>_xlfn.XLOOKUP(Table2[[#This Row],[RARC CODE]],'New Rarc Code'!A973:A1890,'New Rarc Code'!C973:C1890,"Not Active")</f>
        <v>Not Active</v>
      </c>
    </row>
    <row r="974" spans="1:5" x14ac:dyDescent="0.25">
      <c r="A974" s="5" t="s">
        <v>2025</v>
      </c>
      <c r="B974" s="7" t="s">
        <v>2026</v>
      </c>
      <c r="C974" s="7" t="s">
        <v>3491</v>
      </c>
      <c r="D974" s="7"/>
      <c r="E974" t="str">
        <f>_xlfn.XLOOKUP(Table2[[#This Row],[RARC CODE]],'New Rarc Code'!A974:A1891,'New Rarc Code'!C974:C1891,"Not Active")</f>
        <v>Not Active</v>
      </c>
    </row>
    <row r="975" spans="1:5" x14ac:dyDescent="0.25">
      <c r="A975" s="5" t="s">
        <v>2027</v>
      </c>
      <c r="B975" s="7" t="s">
        <v>2028</v>
      </c>
      <c r="C975" s="7" t="s">
        <v>3492</v>
      </c>
      <c r="D975" s="7"/>
      <c r="E975" t="str">
        <f>_xlfn.XLOOKUP(Table2[[#This Row],[RARC CODE]],'New Rarc Code'!A975:A1892,'New Rarc Code'!C975:C1892,"Not Active")</f>
        <v>Not Active</v>
      </c>
    </row>
    <row r="976" spans="1:5" x14ac:dyDescent="0.25">
      <c r="A976" s="5" t="s">
        <v>2029</v>
      </c>
      <c r="B976" s="7" t="s">
        <v>2030</v>
      </c>
      <c r="C976" s="7" t="s">
        <v>3493</v>
      </c>
      <c r="D976" s="7"/>
      <c r="E976" t="str">
        <f>_xlfn.XLOOKUP(Table2[[#This Row],[RARC CODE]],'New Rarc Code'!A976:A1893,'New Rarc Code'!C976:C1893,"Not Active")</f>
        <v>Not Active</v>
      </c>
    </row>
    <row r="977" spans="1:5" x14ac:dyDescent="0.25">
      <c r="A977" s="5" t="s">
        <v>2031</v>
      </c>
      <c r="B977" s="7" t="s">
        <v>2032</v>
      </c>
      <c r="C977" s="7" t="s">
        <v>3494</v>
      </c>
      <c r="D977" s="7"/>
      <c r="E977" t="str">
        <f>_xlfn.XLOOKUP(Table2[[#This Row],[RARC CODE]],'New Rarc Code'!A977:A1894,'New Rarc Code'!C977:C1894,"Not Active")</f>
        <v>Not Active</v>
      </c>
    </row>
    <row r="978" spans="1:5" x14ac:dyDescent="0.25">
      <c r="A978" s="5" t="s">
        <v>622</v>
      </c>
      <c r="B978" s="7" t="s">
        <v>623</v>
      </c>
      <c r="C978" s="7" t="s">
        <v>3495</v>
      </c>
      <c r="D978" s="7"/>
      <c r="E978" t="str">
        <f>_xlfn.XLOOKUP(Table2[[#This Row],[RARC CODE]],'New Rarc Code'!A978:A1895,'New Rarc Code'!C978:C1895,"Not Active")</f>
        <v>Not Active</v>
      </c>
    </row>
    <row r="979" spans="1:5" x14ac:dyDescent="0.25">
      <c r="A979" s="5" t="s">
        <v>741</v>
      </c>
      <c r="B979" s="7" t="s">
        <v>742</v>
      </c>
      <c r="C979" s="7" t="s">
        <v>3496</v>
      </c>
      <c r="D979" s="7"/>
      <c r="E979" t="str">
        <f>_xlfn.XLOOKUP(Table2[[#This Row],[RARC CODE]],'New Rarc Code'!A979:A1896,'New Rarc Code'!C979:C1896,"Not Active")</f>
        <v>Not Active</v>
      </c>
    </row>
    <row r="980" spans="1:5" x14ac:dyDescent="0.25">
      <c r="A980" s="5" t="s">
        <v>2033</v>
      </c>
      <c r="B980" s="7" t="s">
        <v>2034</v>
      </c>
      <c r="C980" s="7" t="s">
        <v>3497</v>
      </c>
      <c r="D980" s="7"/>
      <c r="E980" t="str">
        <f>_xlfn.XLOOKUP(Table2[[#This Row],[RARC CODE]],'New Rarc Code'!A980:A1897,'New Rarc Code'!C980:C1897,"Not Active")</f>
        <v>Not Active</v>
      </c>
    </row>
    <row r="981" spans="1:5" x14ac:dyDescent="0.25">
      <c r="A981" s="5" t="s">
        <v>2035</v>
      </c>
      <c r="B981" s="7" t="s">
        <v>2036</v>
      </c>
      <c r="C981" s="7" t="s">
        <v>3498</v>
      </c>
      <c r="D981" s="7"/>
      <c r="E981" t="str">
        <f>_xlfn.XLOOKUP(Table2[[#This Row],[RARC CODE]],'New Rarc Code'!A981:A1898,'New Rarc Code'!C981:C1898,"Not Active")</f>
        <v>Not Active</v>
      </c>
    </row>
    <row r="982" spans="1:5" x14ac:dyDescent="0.25">
      <c r="A982" s="5" t="s">
        <v>2037</v>
      </c>
      <c r="B982" s="7" t="s">
        <v>2038</v>
      </c>
      <c r="C982" s="7" t="s">
        <v>3499</v>
      </c>
      <c r="D982" s="7"/>
      <c r="E982" t="str">
        <f>_xlfn.XLOOKUP(Table2[[#This Row],[RARC CODE]],'New Rarc Code'!A982:A1899,'New Rarc Code'!C982:C1899,"Not Active")</f>
        <v>Not Active</v>
      </c>
    </row>
    <row r="983" spans="1:5" x14ac:dyDescent="0.25">
      <c r="A983" s="5" t="s">
        <v>2039</v>
      </c>
      <c r="B983" s="7" t="s">
        <v>2040</v>
      </c>
      <c r="C983" s="7" t="s">
        <v>3500</v>
      </c>
      <c r="D983" s="7"/>
      <c r="E983" t="str">
        <f>_xlfn.XLOOKUP(Table2[[#This Row],[RARC CODE]],'New Rarc Code'!A983:A1900,'New Rarc Code'!C983:C1900,"Not Active")</f>
        <v>Not Active</v>
      </c>
    </row>
    <row r="984" spans="1:5" x14ac:dyDescent="0.25">
      <c r="A984" s="5" t="s">
        <v>2041</v>
      </c>
      <c r="B984" s="8" t="s">
        <v>2366</v>
      </c>
      <c r="C984" s="8" t="s">
        <v>3501</v>
      </c>
      <c r="D984" s="8"/>
      <c r="E984" t="str">
        <f>_xlfn.XLOOKUP(Table2[[#This Row],[RARC CODE]],'New Rarc Code'!A984:A1901,'New Rarc Code'!C984:C1901,"Not Active")</f>
        <v>Not Active</v>
      </c>
    </row>
    <row r="985" spans="1:5" x14ac:dyDescent="0.25">
      <c r="A985" s="5" t="s">
        <v>2042</v>
      </c>
      <c r="B985" s="8" t="s">
        <v>2367</v>
      </c>
      <c r="C985" s="8" t="s">
        <v>3502</v>
      </c>
      <c r="D985" s="8"/>
      <c r="E985" t="str">
        <f>_xlfn.XLOOKUP(Table2[[#This Row],[RARC CODE]],'New Rarc Code'!A985:A1902,'New Rarc Code'!C985:C1902,"Not Active")</f>
        <v>Not Active</v>
      </c>
    </row>
    <row r="986" spans="1:5" x14ac:dyDescent="0.25">
      <c r="A986" s="5" t="s">
        <v>2043</v>
      </c>
      <c r="B986" s="7" t="s">
        <v>2044</v>
      </c>
      <c r="C986" s="7" t="s">
        <v>3503</v>
      </c>
      <c r="D986" s="7"/>
      <c r="E986" t="str">
        <f>_xlfn.XLOOKUP(Table2[[#This Row],[RARC CODE]],'New Rarc Code'!A986:A1903,'New Rarc Code'!C986:C1903,"Not Active")</f>
        <v>Not Active</v>
      </c>
    </row>
    <row r="987" spans="1:5" x14ac:dyDescent="0.25">
      <c r="A987" s="5" t="s">
        <v>2045</v>
      </c>
      <c r="B987" s="7" t="s">
        <v>2046</v>
      </c>
      <c r="C987" s="7" t="s">
        <v>3504</v>
      </c>
      <c r="D987" s="7"/>
      <c r="E987" t="str">
        <f>_xlfn.XLOOKUP(Table2[[#This Row],[RARC CODE]],'New Rarc Code'!A987:A1904,'New Rarc Code'!C987:C1904,"Not Active")</f>
        <v>Not Active</v>
      </c>
    </row>
    <row r="988" spans="1:5" x14ac:dyDescent="0.25">
      <c r="A988" s="5" t="s">
        <v>2047</v>
      </c>
      <c r="B988" s="7" t="s">
        <v>2048</v>
      </c>
      <c r="C988" s="7" t="s">
        <v>3505</v>
      </c>
      <c r="D988" s="7"/>
      <c r="E988" t="str">
        <f>_xlfn.XLOOKUP(Table2[[#This Row],[RARC CODE]],'New Rarc Code'!A988:A1905,'New Rarc Code'!C988:C1905,"Not Active")</f>
        <v>Not Active</v>
      </c>
    </row>
    <row r="989" spans="1:5" x14ac:dyDescent="0.25">
      <c r="A989" s="5" t="s">
        <v>2049</v>
      </c>
      <c r="B989" s="8" t="s">
        <v>2368</v>
      </c>
      <c r="C989" s="8" t="s">
        <v>3506</v>
      </c>
      <c r="D989" s="8"/>
      <c r="E989" t="str">
        <f>_xlfn.XLOOKUP(Table2[[#This Row],[RARC CODE]],'New Rarc Code'!A989:A1906,'New Rarc Code'!C989:C1906,"Not Active")</f>
        <v>Not Active</v>
      </c>
    </row>
    <row r="990" spans="1:5" x14ac:dyDescent="0.25">
      <c r="A990" s="5" t="s">
        <v>743</v>
      </c>
      <c r="B990" s="7" t="s">
        <v>744</v>
      </c>
      <c r="C990" s="7" t="s">
        <v>3507</v>
      </c>
      <c r="D990" s="7"/>
      <c r="E990" t="str">
        <f>_xlfn.XLOOKUP(Table2[[#This Row],[RARC CODE]],'New Rarc Code'!A990:A1907,'New Rarc Code'!C990:C1907,"Not Active")</f>
        <v>Not Active</v>
      </c>
    </row>
    <row r="991" spans="1:5" x14ac:dyDescent="0.25">
      <c r="A991" s="5" t="s">
        <v>2050</v>
      </c>
      <c r="B991" s="8" t="s">
        <v>2369</v>
      </c>
      <c r="C991" s="8" t="s">
        <v>3508</v>
      </c>
      <c r="D991" s="8"/>
      <c r="E991" t="str">
        <f>_xlfn.XLOOKUP(Table2[[#This Row],[RARC CODE]],'New Rarc Code'!A991:A1908,'New Rarc Code'!C991:C1908,"Not Active")</f>
        <v>Not Active</v>
      </c>
    </row>
    <row r="992" spans="1:5" x14ac:dyDescent="0.25">
      <c r="A992" s="5" t="s">
        <v>2051</v>
      </c>
      <c r="B992" s="7" t="s">
        <v>2052</v>
      </c>
      <c r="C992" s="7" t="s">
        <v>3509</v>
      </c>
      <c r="D992" s="7"/>
      <c r="E992" t="str">
        <f>_xlfn.XLOOKUP(Table2[[#This Row],[RARC CODE]],'New Rarc Code'!A992:A1909,'New Rarc Code'!C992:C1909,"Not Active")</f>
        <v>Not Active</v>
      </c>
    </row>
    <row r="993" spans="1:5" x14ac:dyDescent="0.25">
      <c r="A993" s="5" t="s">
        <v>2053</v>
      </c>
      <c r="B993" s="7" t="s">
        <v>2054</v>
      </c>
      <c r="C993" s="7" t="s">
        <v>3510</v>
      </c>
      <c r="D993" s="7"/>
      <c r="E993" t="str">
        <f>_xlfn.XLOOKUP(Table2[[#This Row],[RARC CODE]],'New Rarc Code'!A993:A1910,'New Rarc Code'!C993:C1910,"Not Active")</f>
        <v>Not Active</v>
      </c>
    </row>
    <row r="994" spans="1:5" x14ac:dyDescent="0.25">
      <c r="A994" s="5" t="s">
        <v>2055</v>
      </c>
      <c r="B994" s="7" t="s">
        <v>2056</v>
      </c>
      <c r="C994" s="7" t="s">
        <v>3511</v>
      </c>
      <c r="D994" s="7"/>
      <c r="E994" t="str">
        <f>_xlfn.XLOOKUP(Table2[[#This Row],[RARC CODE]],'New Rarc Code'!A994:A1911,'New Rarc Code'!C994:C1911,"Not Active")</f>
        <v>Not Active</v>
      </c>
    </row>
    <row r="995" spans="1:5" x14ac:dyDescent="0.25">
      <c r="A995" s="5" t="s">
        <v>2057</v>
      </c>
      <c r="B995" s="7" t="s">
        <v>2058</v>
      </c>
      <c r="C995" s="7" t="s">
        <v>3512</v>
      </c>
      <c r="D995" s="7"/>
      <c r="E995" t="str">
        <f>_xlfn.XLOOKUP(Table2[[#This Row],[RARC CODE]],'New Rarc Code'!A995:A1912,'New Rarc Code'!C995:C1912,"Not Active")</f>
        <v>Not Active</v>
      </c>
    </row>
    <row r="996" spans="1:5" x14ac:dyDescent="0.25">
      <c r="A996" s="5" t="s">
        <v>2059</v>
      </c>
      <c r="B996" s="8" t="s">
        <v>2370</v>
      </c>
      <c r="C996" s="8" t="s">
        <v>3513</v>
      </c>
      <c r="D996" s="8"/>
      <c r="E996" t="str">
        <f>_xlfn.XLOOKUP(Table2[[#This Row],[RARC CODE]],'New Rarc Code'!A996:A1913,'New Rarc Code'!C996:C1913,"Not Active")</f>
        <v>Not Active</v>
      </c>
    </row>
    <row r="997" spans="1:5" x14ac:dyDescent="0.25">
      <c r="A997" s="5" t="s">
        <v>2060</v>
      </c>
      <c r="B997" s="7" t="s">
        <v>2061</v>
      </c>
      <c r="C997" s="7" t="s">
        <v>3514</v>
      </c>
      <c r="D997" s="7"/>
      <c r="E997" t="str">
        <f>_xlfn.XLOOKUP(Table2[[#This Row],[RARC CODE]],'New Rarc Code'!A997:A1914,'New Rarc Code'!C997:C1914,"Not Active")</f>
        <v>Not Active</v>
      </c>
    </row>
    <row r="998" spans="1:5" x14ac:dyDescent="0.25">
      <c r="A998" s="5" t="s">
        <v>2062</v>
      </c>
      <c r="B998" s="7" t="s">
        <v>2063</v>
      </c>
      <c r="C998" s="7" t="s">
        <v>3515</v>
      </c>
      <c r="D998" s="7"/>
      <c r="E998" t="str">
        <f>_xlfn.XLOOKUP(Table2[[#This Row],[RARC CODE]],'New Rarc Code'!A998:A1915,'New Rarc Code'!C998:C1915,"Not Active")</f>
        <v>Not Active</v>
      </c>
    </row>
    <row r="999" spans="1:5" x14ac:dyDescent="0.25">
      <c r="A999" s="5" t="s">
        <v>745</v>
      </c>
      <c r="B999" s="7" t="s">
        <v>746</v>
      </c>
      <c r="C999" s="7" t="s">
        <v>3516</v>
      </c>
      <c r="D999" s="7"/>
      <c r="E999" t="str">
        <f>_xlfn.XLOOKUP(Table2[[#This Row],[RARC CODE]],'New Rarc Code'!A999:A1916,'New Rarc Code'!C999:C1916,"Not Active")</f>
        <v>Not Active</v>
      </c>
    </row>
    <row r="1000" spans="1:5" x14ac:dyDescent="0.25">
      <c r="A1000" s="5" t="s">
        <v>2064</v>
      </c>
      <c r="B1000" s="7" t="s">
        <v>2065</v>
      </c>
      <c r="C1000" s="7" t="s">
        <v>3517</v>
      </c>
      <c r="D1000" s="7"/>
      <c r="E1000" t="str">
        <f>_xlfn.XLOOKUP(Table2[[#This Row],[RARC CODE]],'New Rarc Code'!A1000:A1917,'New Rarc Code'!C1000:C1917,"Not Active")</f>
        <v>Not Active</v>
      </c>
    </row>
    <row r="1001" spans="1:5" x14ac:dyDescent="0.25">
      <c r="A1001" s="5" t="s">
        <v>2066</v>
      </c>
      <c r="B1001" s="7" t="s">
        <v>2067</v>
      </c>
      <c r="C1001" s="7" t="s">
        <v>3518</v>
      </c>
      <c r="D1001" s="7"/>
      <c r="E1001" t="str">
        <f>_xlfn.XLOOKUP(Table2[[#This Row],[RARC CODE]],'New Rarc Code'!A1001:A1918,'New Rarc Code'!C1001:C1918,"Not Active")</f>
        <v>Not Active</v>
      </c>
    </row>
    <row r="1002" spans="1:5" x14ac:dyDescent="0.25">
      <c r="A1002" s="5" t="s">
        <v>2068</v>
      </c>
      <c r="B1002" s="7" t="s">
        <v>2069</v>
      </c>
      <c r="C1002" s="7" t="s">
        <v>3519</v>
      </c>
      <c r="D1002" s="7" t="s">
        <v>3694</v>
      </c>
      <c r="E1002" t="str">
        <f>_xlfn.XLOOKUP(Table2[[#This Row],[RARC CODE]],'New Rarc Code'!A1002:A1919,'New Rarc Code'!C1002:C1919,"Not Active")</f>
        <v>Not Active</v>
      </c>
    </row>
    <row r="1003" spans="1:5" x14ac:dyDescent="0.25">
      <c r="A1003" s="5" t="s">
        <v>2070</v>
      </c>
      <c r="B1003" s="7" t="s">
        <v>2071</v>
      </c>
      <c r="C1003" s="7" t="s">
        <v>3520</v>
      </c>
      <c r="D1003" s="7" t="s">
        <v>3694</v>
      </c>
      <c r="E1003" t="str">
        <f>_xlfn.XLOOKUP(Table2[[#This Row],[RARC CODE]],'New Rarc Code'!A1003:A1920,'New Rarc Code'!C1003:C1920,"Not Active")</f>
        <v>Not Active</v>
      </c>
    </row>
    <row r="1004" spans="1:5" x14ac:dyDescent="0.25">
      <c r="A1004" s="5" t="s">
        <v>2072</v>
      </c>
      <c r="B1004" s="7" t="s">
        <v>2073</v>
      </c>
      <c r="C1004" s="7" t="s">
        <v>3521</v>
      </c>
      <c r="D1004" s="7"/>
      <c r="E1004" t="str">
        <f>_xlfn.XLOOKUP(Table2[[#This Row],[RARC CODE]],'New Rarc Code'!A1004:A1921,'New Rarc Code'!C1004:C1921,"Not Active")</f>
        <v>Not Active</v>
      </c>
    </row>
    <row r="1005" spans="1:5" x14ac:dyDescent="0.25">
      <c r="A1005" s="5" t="s">
        <v>2074</v>
      </c>
      <c r="B1005" s="7" t="s">
        <v>2075</v>
      </c>
      <c r="C1005" s="7" t="s">
        <v>3522</v>
      </c>
      <c r="D1005" s="7"/>
      <c r="E1005" t="str">
        <f>_xlfn.XLOOKUP(Table2[[#This Row],[RARC CODE]],'New Rarc Code'!A1005:A1922,'New Rarc Code'!C1005:C1922,"Not Active")</f>
        <v>Not Active</v>
      </c>
    </row>
    <row r="1006" spans="1:5" x14ac:dyDescent="0.25">
      <c r="A1006" s="5" t="s">
        <v>2076</v>
      </c>
      <c r="B1006" s="7" t="s">
        <v>2077</v>
      </c>
      <c r="C1006" s="7" t="s">
        <v>3523</v>
      </c>
      <c r="D1006" s="7"/>
      <c r="E1006" t="str">
        <f>_xlfn.XLOOKUP(Table2[[#This Row],[RARC CODE]],'New Rarc Code'!A1006:A1923,'New Rarc Code'!C1006:C1923,"Not Active")</f>
        <v>Not Active</v>
      </c>
    </row>
    <row r="1007" spans="1:5" x14ac:dyDescent="0.25">
      <c r="A1007" s="5" t="s">
        <v>2078</v>
      </c>
      <c r="B1007" s="7" t="s">
        <v>2079</v>
      </c>
      <c r="C1007" s="7" t="s">
        <v>3524</v>
      </c>
      <c r="D1007" s="7"/>
      <c r="E1007" t="str">
        <f>_xlfn.XLOOKUP(Table2[[#This Row],[RARC CODE]],'New Rarc Code'!A1007:A1924,'New Rarc Code'!C1007:C1924,"Not Active")</f>
        <v>Not Active</v>
      </c>
    </row>
    <row r="1008" spans="1:5" x14ac:dyDescent="0.25">
      <c r="A1008" s="5" t="s">
        <v>2080</v>
      </c>
      <c r="B1008" s="8" t="s">
        <v>2371</v>
      </c>
      <c r="C1008" s="8" t="s">
        <v>3525</v>
      </c>
      <c r="D1008" s="8"/>
      <c r="E1008" t="str">
        <f>_xlfn.XLOOKUP(Table2[[#This Row],[RARC CODE]],'New Rarc Code'!A1008:A1925,'New Rarc Code'!C1008:C1925,"Not Active")</f>
        <v>Not Active</v>
      </c>
    </row>
    <row r="1009" spans="1:5" x14ac:dyDescent="0.25">
      <c r="A1009" s="5" t="s">
        <v>2081</v>
      </c>
      <c r="B1009" s="7" t="s">
        <v>2082</v>
      </c>
      <c r="C1009" s="7" t="s">
        <v>3526</v>
      </c>
      <c r="D1009" s="7"/>
      <c r="E1009" t="str">
        <f>_xlfn.XLOOKUP(Table2[[#This Row],[RARC CODE]],'New Rarc Code'!A1009:A1926,'New Rarc Code'!C1009:C1926,"Not Active")</f>
        <v>Not Active</v>
      </c>
    </row>
    <row r="1010" spans="1:5" x14ac:dyDescent="0.25">
      <c r="A1010" s="5" t="s">
        <v>747</v>
      </c>
      <c r="B1010" s="7" t="s">
        <v>748</v>
      </c>
      <c r="C1010" s="7" t="s">
        <v>3527</v>
      </c>
      <c r="D1010" s="7"/>
      <c r="E1010" t="str">
        <f>_xlfn.XLOOKUP(Table2[[#This Row],[RARC CODE]],'New Rarc Code'!A1010:A1927,'New Rarc Code'!C1010:C1927,"Not Active")</f>
        <v>Not Active</v>
      </c>
    </row>
    <row r="1011" spans="1:5" x14ac:dyDescent="0.25">
      <c r="A1011" s="5" t="s">
        <v>2083</v>
      </c>
      <c r="B1011" s="8" t="s">
        <v>2372</v>
      </c>
      <c r="C1011" s="8" t="s">
        <v>3528</v>
      </c>
      <c r="D1011" s="8"/>
      <c r="E1011" t="str">
        <f>_xlfn.XLOOKUP(Table2[[#This Row],[RARC CODE]],'New Rarc Code'!A1011:A1928,'New Rarc Code'!C1011:C1928,"Not Active")</f>
        <v>Not Active</v>
      </c>
    </row>
    <row r="1012" spans="1:5" x14ac:dyDescent="0.25">
      <c r="A1012" s="5" t="s">
        <v>2084</v>
      </c>
      <c r="B1012" s="7" t="s">
        <v>2085</v>
      </c>
      <c r="C1012" s="7" t="s">
        <v>3529</v>
      </c>
      <c r="D1012" s="7"/>
      <c r="E1012" t="str">
        <f>_xlfn.XLOOKUP(Table2[[#This Row],[RARC CODE]],'New Rarc Code'!A1012:A1929,'New Rarc Code'!C1012:C1929,"Not Active")</f>
        <v>Not Active</v>
      </c>
    </row>
    <row r="1013" spans="1:5" x14ac:dyDescent="0.25">
      <c r="A1013" s="5" t="s">
        <v>2086</v>
      </c>
      <c r="B1013" s="7" t="s">
        <v>2087</v>
      </c>
      <c r="C1013" s="7" t="s">
        <v>3530</v>
      </c>
      <c r="D1013" s="7"/>
      <c r="E1013" t="str">
        <f>_xlfn.XLOOKUP(Table2[[#This Row],[RARC CODE]],'New Rarc Code'!A1013:A1930,'New Rarc Code'!C1013:C1930,"Not Active")</f>
        <v>Not Active</v>
      </c>
    </row>
    <row r="1014" spans="1:5" x14ac:dyDescent="0.25">
      <c r="A1014" s="5" t="s">
        <v>2088</v>
      </c>
      <c r="B1014" s="7" t="s">
        <v>2089</v>
      </c>
      <c r="C1014" s="7" t="s">
        <v>3531</v>
      </c>
      <c r="D1014" s="7"/>
      <c r="E1014" t="str">
        <f>_xlfn.XLOOKUP(Table2[[#This Row],[RARC CODE]],'New Rarc Code'!A1014:A1931,'New Rarc Code'!C1014:C1931,"Not Active")</f>
        <v>Not Active</v>
      </c>
    </row>
    <row r="1015" spans="1:5" x14ac:dyDescent="0.25">
      <c r="A1015" s="5" t="s">
        <v>2090</v>
      </c>
      <c r="B1015" s="7" t="s">
        <v>2091</v>
      </c>
      <c r="C1015" s="7" t="s">
        <v>3532</v>
      </c>
      <c r="D1015" s="7"/>
      <c r="E1015" t="str">
        <f>_xlfn.XLOOKUP(Table2[[#This Row],[RARC CODE]],'New Rarc Code'!A1015:A1932,'New Rarc Code'!C1015:C1932,"Not Active")</f>
        <v>Not Active</v>
      </c>
    </row>
    <row r="1016" spans="1:5" x14ac:dyDescent="0.25">
      <c r="A1016" s="5" t="s">
        <v>2092</v>
      </c>
      <c r="B1016" s="7" t="s">
        <v>2093</v>
      </c>
      <c r="C1016" s="7" t="s">
        <v>3533</v>
      </c>
      <c r="D1016" s="7"/>
      <c r="E1016" t="str">
        <f>_xlfn.XLOOKUP(Table2[[#This Row],[RARC CODE]],'New Rarc Code'!A1016:A1933,'New Rarc Code'!C1016:C1933,"Not Active")</f>
        <v>Not Active</v>
      </c>
    </row>
    <row r="1017" spans="1:5" x14ac:dyDescent="0.25">
      <c r="A1017" s="5" t="s">
        <v>2094</v>
      </c>
      <c r="B1017" s="7" t="s">
        <v>2095</v>
      </c>
      <c r="C1017" s="7" t="s">
        <v>3534</v>
      </c>
      <c r="D1017" s="7"/>
      <c r="E1017" t="str">
        <f>_xlfn.XLOOKUP(Table2[[#This Row],[RARC CODE]],'New Rarc Code'!A1017:A1934,'New Rarc Code'!C1017:C1934,"Not Active")</f>
        <v>Not Active</v>
      </c>
    </row>
    <row r="1018" spans="1:5" x14ac:dyDescent="0.25">
      <c r="A1018" s="5" t="s">
        <v>2096</v>
      </c>
      <c r="B1018" s="8" t="s">
        <v>2373</v>
      </c>
      <c r="C1018" s="8" t="s">
        <v>3535</v>
      </c>
      <c r="D1018" s="8" t="s">
        <v>3694</v>
      </c>
      <c r="E1018" t="str">
        <f>_xlfn.XLOOKUP(Table2[[#This Row],[RARC CODE]],'New Rarc Code'!A1018:A1935,'New Rarc Code'!C1018:C1935,"Not Active")</f>
        <v>Not Active</v>
      </c>
    </row>
    <row r="1019" spans="1:5" x14ac:dyDescent="0.25">
      <c r="A1019" s="5" t="s">
        <v>2097</v>
      </c>
      <c r="B1019" s="8" t="s">
        <v>2374</v>
      </c>
      <c r="C1019" s="8" t="s">
        <v>3536</v>
      </c>
      <c r="D1019" s="8"/>
      <c r="E1019" t="str">
        <f>_xlfn.XLOOKUP(Table2[[#This Row],[RARC CODE]],'New Rarc Code'!A1019:A1936,'New Rarc Code'!C1019:C1936,"Not Active")</f>
        <v>Not Active</v>
      </c>
    </row>
    <row r="1020" spans="1:5" x14ac:dyDescent="0.25">
      <c r="A1020" s="5" t="s">
        <v>2098</v>
      </c>
      <c r="B1020" s="7" t="s">
        <v>2099</v>
      </c>
      <c r="C1020" s="7" t="s">
        <v>3537</v>
      </c>
      <c r="D1020" s="7"/>
      <c r="E1020" t="str">
        <f>_xlfn.XLOOKUP(Table2[[#This Row],[RARC CODE]],'New Rarc Code'!A1020:A1937,'New Rarc Code'!C1020:C1937,"Not Active")</f>
        <v>Not Active</v>
      </c>
    </row>
    <row r="1021" spans="1:5" x14ac:dyDescent="0.25">
      <c r="A1021" s="5" t="s">
        <v>749</v>
      </c>
      <c r="B1021" s="8" t="s">
        <v>2264</v>
      </c>
      <c r="C1021" s="8" t="s">
        <v>3538</v>
      </c>
      <c r="D1021" s="8"/>
      <c r="E1021" t="str">
        <f>_xlfn.XLOOKUP(Table2[[#This Row],[RARC CODE]],'New Rarc Code'!A1021:A1938,'New Rarc Code'!C1021:C1938,"Not Active")</f>
        <v>Not Active</v>
      </c>
    </row>
    <row r="1022" spans="1:5" x14ac:dyDescent="0.25">
      <c r="A1022" s="5" t="s">
        <v>2100</v>
      </c>
      <c r="B1022" s="7" t="s">
        <v>2101</v>
      </c>
      <c r="C1022" s="7" t="s">
        <v>3539</v>
      </c>
      <c r="D1022" s="7"/>
      <c r="E1022" t="str">
        <f>_xlfn.XLOOKUP(Table2[[#This Row],[RARC CODE]],'New Rarc Code'!A1022:A1939,'New Rarc Code'!C1022:C1939,"Not Active")</f>
        <v>Not Active</v>
      </c>
    </row>
    <row r="1023" spans="1:5" x14ac:dyDescent="0.25">
      <c r="A1023" s="5" t="s">
        <v>2102</v>
      </c>
      <c r="B1023" s="8" t="s">
        <v>2375</v>
      </c>
      <c r="C1023" s="8" t="s">
        <v>3540</v>
      </c>
      <c r="D1023" s="8"/>
      <c r="E1023" t="str">
        <f>_xlfn.XLOOKUP(Table2[[#This Row],[RARC CODE]],'New Rarc Code'!A1023:A1940,'New Rarc Code'!C1023:C1940,"Not Active")</f>
        <v>Not Active</v>
      </c>
    </row>
    <row r="1024" spans="1:5" x14ac:dyDescent="0.25">
      <c r="A1024" s="5" t="s">
        <v>2103</v>
      </c>
      <c r="B1024" s="8" t="s">
        <v>2376</v>
      </c>
      <c r="C1024" s="8" t="s">
        <v>3541</v>
      </c>
      <c r="D1024" s="8"/>
      <c r="E1024" t="str">
        <f>_xlfn.XLOOKUP(Table2[[#This Row],[RARC CODE]],'New Rarc Code'!A1024:A1941,'New Rarc Code'!C1024:C1941,"Not Active")</f>
        <v>Not Active</v>
      </c>
    </row>
    <row r="1025" spans="1:5" x14ac:dyDescent="0.25">
      <c r="A1025" s="5" t="s">
        <v>2104</v>
      </c>
      <c r="B1025" s="7" t="s">
        <v>2105</v>
      </c>
      <c r="C1025" s="7" t="s">
        <v>3542</v>
      </c>
      <c r="D1025" s="7"/>
      <c r="E1025" t="str">
        <f>_xlfn.XLOOKUP(Table2[[#This Row],[RARC CODE]],'New Rarc Code'!A1025:A1942,'New Rarc Code'!C1025:C1942,"Not Active")</f>
        <v>Not Active</v>
      </c>
    </row>
    <row r="1026" spans="1:5" x14ac:dyDescent="0.25">
      <c r="A1026" s="5" t="s">
        <v>2106</v>
      </c>
      <c r="B1026" s="7" t="s">
        <v>2107</v>
      </c>
      <c r="C1026" s="7" t="s">
        <v>3543</v>
      </c>
      <c r="D1026" s="7"/>
      <c r="E1026" t="str">
        <f>_xlfn.XLOOKUP(Table2[[#This Row],[RARC CODE]],'New Rarc Code'!A1026:A1943,'New Rarc Code'!C1026:C1943,"Not Active")</f>
        <v>Not Active</v>
      </c>
    </row>
    <row r="1027" spans="1:5" x14ac:dyDescent="0.25">
      <c r="A1027" s="5" t="s">
        <v>2108</v>
      </c>
      <c r="B1027" s="8" t="s">
        <v>2377</v>
      </c>
      <c r="C1027" s="8" t="s">
        <v>3544</v>
      </c>
      <c r="D1027" s="8"/>
      <c r="E1027" t="str">
        <f>_xlfn.XLOOKUP(Table2[[#This Row],[RARC CODE]],'New Rarc Code'!A1027:A1944,'New Rarc Code'!C1027:C1944,"Not Active")</f>
        <v>Not Active</v>
      </c>
    </row>
    <row r="1028" spans="1:5" x14ac:dyDescent="0.25">
      <c r="A1028" s="5" t="s">
        <v>2109</v>
      </c>
      <c r="B1028" s="7" t="s">
        <v>2110</v>
      </c>
      <c r="C1028" s="7" t="s">
        <v>3545</v>
      </c>
      <c r="D1028" s="7"/>
      <c r="E1028" t="str">
        <f>_xlfn.XLOOKUP(Table2[[#This Row],[RARC CODE]],'New Rarc Code'!A1028:A1945,'New Rarc Code'!C1028:C1945,"Not Active")</f>
        <v>Not Active</v>
      </c>
    </row>
    <row r="1029" spans="1:5" x14ac:dyDescent="0.25">
      <c r="A1029" s="5" t="s">
        <v>2111</v>
      </c>
      <c r="B1029" s="7" t="s">
        <v>2112</v>
      </c>
      <c r="C1029" s="7" t="s">
        <v>3546</v>
      </c>
      <c r="D1029" s="7"/>
      <c r="E1029" t="str">
        <f>_xlfn.XLOOKUP(Table2[[#This Row],[RARC CODE]],'New Rarc Code'!A1029:A1946,'New Rarc Code'!C1029:C1946,"Not Active")</f>
        <v>Not Active</v>
      </c>
    </row>
    <row r="1030" spans="1:5" x14ac:dyDescent="0.25">
      <c r="A1030" s="5" t="s">
        <v>2113</v>
      </c>
      <c r="B1030" s="7" t="s">
        <v>2114</v>
      </c>
      <c r="C1030" s="7" t="s">
        <v>3547</v>
      </c>
      <c r="D1030" s="7"/>
      <c r="E1030" t="str">
        <f>_xlfn.XLOOKUP(Table2[[#This Row],[RARC CODE]],'New Rarc Code'!A1030:A1947,'New Rarc Code'!C1030:C1947,"Not Active")</f>
        <v>Not Active</v>
      </c>
    </row>
    <row r="1031" spans="1:5" x14ac:dyDescent="0.25">
      <c r="A1031" s="5" t="s">
        <v>2115</v>
      </c>
      <c r="B1031" s="7" t="s">
        <v>2116</v>
      </c>
      <c r="C1031" s="7" t="s">
        <v>3548</v>
      </c>
      <c r="D1031" s="7"/>
      <c r="E1031" t="str">
        <f>_xlfn.XLOOKUP(Table2[[#This Row],[RARC CODE]],'New Rarc Code'!A1031:A1948,'New Rarc Code'!C1031:C1948,"Not Active")</f>
        <v>Not Active</v>
      </c>
    </row>
    <row r="1032" spans="1:5" x14ac:dyDescent="0.25">
      <c r="A1032" s="5" t="s">
        <v>750</v>
      </c>
      <c r="B1032" s="8" t="s">
        <v>2265</v>
      </c>
      <c r="C1032" s="8" t="s">
        <v>3549</v>
      </c>
      <c r="D1032" s="8"/>
      <c r="E1032" t="str">
        <f>_xlfn.XLOOKUP(Table2[[#This Row],[RARC CODE]],'New Rarc Code'!A1032:A1949,'New Rarc Code'!C1032:C1949,"Not Active")</f>
        <v>Not Active</v>
      </c>
    </row>
    <row r="1033" spans="1:5" x14ac:dyDescent="0.25">
      <c r="A1033" s="5" t="s">
        <v>2117</v>
      </c>
      <c r="B1033" s="7" t="s">
        <v>2118</v>
      </c>
      <c r="C1033" s="7" t="s">
        <v>3550</v>
      </c>
      <c r="D1033" s="7"/>
      <c r="E1033" t="str">
        <f>_xlfn.XLOOKUP(Table2[[#This Row],[RARC CODE]],'New Rarc Code'!A1033:A1950,'New Rarc Code'!C1033:C1950,"Not Active")</f>
        <v>Not Active</v>
      </c>
    </row>
    <row r="1034" spans="1:5" x14ac:dyDescent="0.25">
      <c r="A1034" s="5" t="s">
        <v>2119</v>
      </c>
      <c r="B1034" s="7" t="s">
        <v>2120</v>
      </c>
      <c r="C1034" s="7" t="s">
        <v>3551</v>
      </c>
      <c r="D1034" s="7"/>
      <c r="E1034" t="str">
        <f>_xlfn.XLOOKUP(Table2[[#This Row],[RARC CODE]],'New Rarc Code'!A1034:A1951,'New Rarc Code'!C1034:C1951,"Not Active")</f>
        <v>Not Active</v>
      </c>
    </row>
    <row r="1035" spans="1:5" x14ac:dyDescent="0.25">
      <c r="A1035" s="5" t="s">
        <v>2121</v>
      </c>
      <c r="B1035" s="7" t="s">
        <v>2122</v>
      </c>
      <c r="C1035" s="7" t="s">
        <v>3552</v>
      </c>
      <c r="D1035" s="7"/>
      <c r="E1035" t="str">
        <f>_xlfn.XLOOKUP(Table2[[#This Row],[RARC CODE]],'New Rarc Code'!A1035:A1952,'New Rarc Code'!C1035:C1952,"Not Active")</f>
        <v>Not Active</v>
      </c>
    </row>
    <row r="1036" spans="1:5" x14ac:dyDescent="0.25">
      <c r="A1036" s="5" t="s">
        <v>2123</v>
      </c>
      <c r="B1036" s="7" t="s">
        <v>2124</v>
      </c>
      <c r="C1036" s="7" t="s">
        <v>3553</v>
      </c>
      <c r="D1036" s="7"/>
      <c r="E1036" t="str">
        <f>_xlfn.XLOOKUP(Table2[[#This Row],[RARC CODE]],'New Rarc Code'!A1036:A1953,'New Rarc Code'!C1036:C1953,"Not Active")</f>
        <v>Not Active</v>
      </c>
    </row>
    <row r="1037" spans="1:5" x14ac:dyDescent="0.25">
      <c r="A1037" s="5" t="s">
        <v>2125</v>
      </c>
      <c r="B1037" s="8" t="s">
        <v>2378</v>
      </c>
      <c r="C1037" s="8" t="s">
        <v>3554</v>
      </c>
      <c r="D1037" s="8"/>
      <c r="E1037" t="str">
        <f>_xlfn.XLOOKUP(Table2[[#This Row],[RARC CODE]],'New Rarc Code'!A1037:A1954,'New Rarc Code'!C1037:C1954,"Not Active")</f>
        <v>Not Active</v>
      </c>
    </row>
    <row r="1038" spans="1:5" x14ac:dyDescent="0.25">
      <c r="A1038" s="5" t="s">
        <v>2126</v>
      </c>
      <c r="B1038" s="7" t="s">
        <v>2127</v>
      </c>
      <c r="C1038" s="7" t="s">
        <v>3555</v>
      </c>
      <c r="D1038" s="7"/>
      <c r="E1038" t="str">
        <f>_xlfn.XLOOKUP(Table2[[#This Row],[RARC CODE]],'New Rarc Code'!A1038:A1955,'New Rarc Code'!C1038:C1955,"Not Active")</f>
        <v>Not Active</v>
      </c>
    </row>
    <row r="1039" spans="1:5" x14ac:dyDescent="0.25">
      <c r="A1039" s="5" t="s">
        <v>2128</v>
      </c>
      <c r="B1039" s="7" t="s">
        <v>2129</v>
      </c>
      <c r="C1039" s="7" t="s">
        <v>3556</v>
      </c>
      <c r="D1039" s="7"/>
      <c r="E1039" t="str">
        <f>_xlfn.XLOOKUP(Table2[[#This Row],[RARC CODE]],'New Rarc Code'!A1039:A1956,'New Rarc Code'!C1039:C1956,"Not Active")</f>
        <v>Not Active</v>
      </c>
    </row>
    <row r="1040" spans="1:5" x14ac:dyDescent="0.25">
      <c r="A1040" s="5" t="s">
        <v>2130</v>
      </c>
      <c r="B1040" s="7" t="s">
        <v>2131</v>
      </c>
      <c r="C1040" s="7" t="s">
        <v>3557</v>
      </c>
      <c r="D1040" s="7"/>
      <c r="E1040" t="str">
        <f>_xlfn.XLOOKUP(Table2[[#This Row],[RARC CODE]],'New Rarc Code'!A1040:A1957,'New Rarc Code'!C1040:C1957,"Not Active")</f>
        <v>Not Active</v>
      </c>
    </row>
    <row r="1041" spans="1:5" x14ac:dyDescent="0.25">
      <c r="A1041" s="5" t="s">
        <v>2132</v>
      </c>
      <c r="B1041" s="8" t="s">
        <v>2379</v>
      </c>
      <c r="C1041" s="8" t="s">
        <v>3558</v>
      </c>
      <c r="D1041" s="8"/>
      <c r="E1041" t="str">
        <f>_xlfn.XLOOKUP(Table2[[#This Row],[RARC CODE]],'New Rarc Code'!A1041:A1958,'New Rarc Code'!C1041:C1958,"Not Active")</f>
        <v>Not Active</v>
      </c>
    </row>
    <row r="1042" spans="1:5" x14ac:dyDescent="0.25">
      <c r="A1042" s="5" t="s">
        <v>2133</v>
      </c>
      <c r="B1042" s="8" t="s">
        <v>2380</v>
      </c>
      <c r="C1042" s="8" t="s">
        <v>3559</v>
      </c>
      <c r="D1042" s="8"/>
      <c r="E1042" t="str">
        <f>_xlfn.XLOOKUP(Table2[[#This Row],[RARC CODE]],'New Rarc Code'!A1042:A1959,'New Rarc Code'!C1042:C1959,"Not Active")</f>
        <v>Not Active</v>
      </c>
    </row>
    <row r="1043" spans="1:5" x14ac:dyDescent="0.25">
      <c r="A1043" s="5" t="s">
        <v>751</v>
      </c>
      <c r="B1043" s="7" t="s">
        <v>752</v>
      </c>
      <c r="C1043" s="7" t="s">
        <v>3560</v>
      </c>
      <c r="D1043" s="7"/>
      <c r="E1043" t="str">
        <f>_xlfn.XLOOKUP(Table2[[#This Row],[RARC CODE]],'New Rarc Code'!A1043:A1960,'New Rarc Code'!C1043:C1960,"Not Active")</f>
        <v>Not Active</v>
      </c>
    </row>
    <row r="1044" spans="1:5" x14ac:dyDescent="0.25">
      <c r="A1044" s="5" t="s">
        <v>2134</v>
      </c>
      <c r="B1044" s="8" t="s">
        <v>2381</v>
      </c>
      <c r="C1044" s="8" t="s">
        <v>3561</v>
      </c>
      <c r="D1044" s="8"/>
      <c r="E1044" t="str">
        <f>_xlfn.XLOOKUP(Table2[[#This Row],[RARC CODE]],'New Rarc Code'!A1044:A1961,'New Rarc Code'!C1044:C1961,"Not Active")</f>
        <v>Not Active</v>
      </c>
    </row>
    <row r="1045" spans="1:5" x14ac:dyDescent="0.25">
      <c r="A1045" s="5" t="s">
        <v>2135</v>
      </c>
      <c r="B1045" s="8" t="s">
        <v>2382</v>
      </c>
      <c r="C1045" s="8" t="s">
        <v>3562</v>
      </c>
      <c r="D1045" s="8"/>
      <c r="E1045" t="str">
        <f>_xlfn.XLOOKUP(Table2[[#This Row],[RARC CODE]],'New Rarc Code'!A1045:A1962,'New Rarc Code'!C1045:C1962,"Not Active")</f>
        <v>Not Active</v>
      </c>
    </row>
    <row r="1046" spans="1:5" x14ac:dyDescent="0.25">
      <c r="A1046" s="5" t="s">
        <v>2136</v>
      </c>
      <c r="B1046" s="8" t="s">
        <v>2383</v>
      </c>
      <c r="C1046" s="8" t="s">
        <v>3563</v>
      </c>
      <c r="D1046" s="8"/>
      <c r="E1046" t="str">
        <f>_xlfn.XLOOKUP(Table2[[#This Row],[RARC CODE]],'New Rarc Code'!A1046:A1963,'New Rarc Code'!C1046:C1963,"Not Active")</f>
        <v>Not Active</v>
      </c>
    </row>
    <row r="1047" spans="1:5" x14ac:dyDescent="0.25">
      <c r="A1047" s="5" t="s">
        <v>2137</v>
      </c>
      <c r="B1047" s="8" t="s">
        <v>2384</v>
      </c>
      <c r="C1047" s="8" t="s">
        <v>3564</v>
      </c>
      <c r="D1047" s="8"/>
      <c r="E1047" t="str">
        <f>_xlfn.XLOOKUP(Table2[[#This Row],[RARC CODE]],'New Rarc Code'!A1047:A1964,'New Rarc Code'!C1047:C1964,"Not Active")</f>
        <v>Not Active</v>
      </c>
    </row>
    <row r="1048" spans="1:5" x14ac:dyDescent="0.25">
      <c r="A1048" s="5" t="s">
        <v>2138</v>
      </c>
      <c r="B1048" s="8" t="s">
        <v>2385</v>
      </c>
      <c r="C1048" s="8" t="s">
        <v>3565</v>
      </c>
      <c r="D1048" s="8"/>
      <c r="E1048" t="str">
        <f>_xlfn.XLOOKUP(Table2[[#This Row],[RARC CODE]],'New Rarc Code'!A1048:A1965,'New Rarc Code'!C1048:C1965,"Not Active")</f>
        <v>Not Active</v>
      </c>
    </row>
    <row r="1049" spans="1:5" x14ac:dyDescent="0.25">
      <c r="A1049" s="5" t="s">
        <v>2139</v>
      </c>
      <c r="B1049" s="8" t="s">
        <v>2386</v>
      </c>
      <c r="C1049" s="8" t="s">
        <v>3566</v>
      </c>
      <c r="D1049" s="8"/>
      <c r="E1049" t="str">
        <f>_xlfn.XLOOKUP(Table2[[#This Row],[RARC CODE]],'New Rarc Code'!A1049:A1966,'New Rarc Code'!C1049:C1966,"Not Active")</f>
        <v>Not Active</v>
      </c>
    </row>
    <row r="1050" spans="1:5" x14ac:dyDescent="0.25">
      <c r="A1050" s="5" t="s">
        <v>2140</v>
      </c>
      <c r="B1050" s="8" t="s">
        <v>2387</v>
      </c>
      <c r="C1050" s="8" t="s">
        <v>3567</v>
      </c>
      <c r="D1050" s="8"/>
      <c r="E1050" t="str">
        <f>_xlfn.XLOOKUP(Table2[[#This Row],[RARC CODE]],'New Rarc Code'!A1050:A1967,'New Rarc Code'!C1050:C1967,"Not Active")</f>
        <v>Not Active</v>
      </c>
    </row>
    <row r="1051" spans="1:5" x14ac:dyDescent="0.25">
      <c r="A1051" s="5" t="s">
        <v>2141</v>
      </c>
      <c r="B1051" s="8" t="s">
        <v>2388</v>
      </c>
      <c r="C1051" s="8" t="s">
        <v>3568</v>
      </c>
      <c r="D1051" s="8"/>
      <c r="E1051" t="str">
        <f>_xlfn.XLOOKUP(Table2[[#This Row],[RARC CODE]],'New Rarc Code'!A1051:A1968,'New Rarc Code'!C1051:C1968,"Not Active")</f>
        <v>Not Active</v>
      </c>
    </row>
    <row r="1052" spans="1:5" x14ac:dyDescent="0.25">
      <c r="A1052" s="5" t="s">
        <v>2142</v>
      </c>
      <c r="B1052" s="8" t="s">
        <v>2389</v>
      </c>
      <c r="C1052" s="8" t="s">
        <v>3569</v>
      </c>
      <c r="D1052" s="8"/>
      <c r="E1052" t="str">
        <f>_xlfn.XLOOKUP(Table2[[#This Row],[RARC CODE]],'New Rarc Code'!A1052:A1969,'New Rarc Code'!C1052:C1969,"Not Active")</f>
        <v>Not Active</v>
      </c>
    </row>
    <row r="1053" spans="1:5" x14ac:dyDescent="0.25">
      <c r="A1053" s="5" t="s">
        <v>2143</v>
      </c>
      <c r="B1053" s="8" t="s">
        <v>2390</v>
      </c>
      <c r="C1053" s="8" t="s">
        <v>3570</v>
      </c>
      <c r="D1053" s="8"/>
      <c r="E1053" t="str">
        <f>_xlfn.XLOOKUP(Table2[[#This Row],[RARC CODE]],'New Rarc Code'!A1053:A1970,'New Rarc Code'!C1053:C1970,"Not Active")</f>
        <v>Not Active</v>
      </c>
    </row>
    <row r="1054" spans="1:5" x14ac:dyDescent="0.25">
      <c r="A1054" s="5" t="s">
        <v>753</v>
      </c>
      <c r="B1054" s="7" t="s">
        <v>754</v>
      </c>
      <c r="C1054" s="7" t="s">
        <v>3571</v>
      </c>
      <c r="D1054" s="7"/>
      <c r="E1054" t="str">
        <f>_xlfn.XLOOKUP(Table2[[#This Row],[RARC CODE]],'New Rarc Code'!A1054:A1971,'New Rarc Code'!C1054:C1971,"Not Active")</f>
        <v>Not Active</v>
      </c>
    </row>
    <row r="1055" spans="1:5" x14ac:dyDescent="0.25">
      <c r="A1055" s="5" t="s">
        <v>2144</v>
      </c>
      <c r="B1055" s="8" t="s">
        <v>2391</v>
      </c>
      <c r="C1055" s="8" t="s">
        <v>3572</v>
      </c>
      <c r="D1055" s="8"/>
      <c r="E1055" t="str">
        <f>_xlfn.XLOOKUP(Table2[[#This Row],[RARC CODE]],'New Rarc Code'!A1055:A1972,'New Rarc Code'!C1055:C1972,"Not Active")</f>
        <v>Not Active</v>
      </c>
    </row>
    <row r="1056" spans="1:5" x14ac:dyDescent="0.25">
      <c r="A1056" s="5" t="s">
        <v>2145</v>
      </c>
      <c r="B1056" s="8" t="s">
        <v>2392</v>
      </c>
      <c r="C1056" s="8" t="s">
        <v>3573</v>
      </c>
      <c r="D1056" s="8"/>
      <c r="E1056" t="str">
        <f>_xlfn.XLOOKUP(Table2[[#This Row],[RARC CODE]],'New Rarc Code'!A1056:A1973,'New Rarc Code'!C1056:C1973,"Not Active")</f>
        <v>Not Active</v>
      </c>
    </row>
    <row r="1057" spans="1:5" x14ac:dyDescent="0.25">
      <c r="A1057" s="5" t="s">
        <v>2146</v>
      </c>
      <c r="B1057" s="8" t="s">
        <v>2393</v>
      </c>
      <c r="C1057" s="8" t="s">
        <v>3574</v>
      </c>
      <c r="D1057" s="8"/>
      <c r="E1057" t="str">
        <f>_xlfn.XLOOKUP(Table2[[#This Row],[RARC CODE]],'New Rarc Code'!A1057:A1974,'New Rarc Code'!C1057:C1974,"Not Active")</f>
        <v>Not Active</v>
      </c>
    </row>
    <row r="1058" spans="1:5" x14ac:dyDescent="0.25">
      <c r="A1058" s="5" t="s">
        <v>2147</v>
      </c>
      <c r="B1058" s="8" t="s">
        <v>2394</v>
      </c>
      <c r="C1058" s="8" t="s">
        <v>3575</v>
      </c>
      <c r="D1058" s="8"/>
      <c r="E1058" t="str">
        <f>_xlfn.XLOOKUP(Table2[[#This Row],[RARC CODE]],'New Rarc Code'!A1058:A1975,'New Rarc Code'!C1058:C1975,"Not Active")</f>
        <v>Not Active</v>
      </c>
    </row>
    <row r="1059" spans="1:5" x14ac:dyDescent="0.25">
      <c r="A1059" s="5" t="s">
        <v>2148</v>
      </c>
      <c r="B1059" s="8" t="s">
        <v>2395</v>
      </c>
      <c r="C1059" s="8" t="s">
        <v>3576</v>
      </c>
      <c r="D1059" s="8"/>
      <c r="E1059" t="str">
        <f>_xlfn.XLOOKUP(Table2[[#This Row],[RARC CODE]],'New Rarc Code'!A1059:A1976,'New Rarc Code'!C1059:C1976,"Not Active")</f>
        <v>Not Active</v>
      </c>
    </row>
    <row r="1060" spans="1:5" x14ac:dyDescent="0.25">
      <c r="A1060" s="5" t="s">
        <v>2149</v>
      </c>
      <c r="B1060" s="8" t="s">
        <v>2396</v>
      </c>
      <c r="C1060" s="8" t="s">
        <v>3577</v>
      </c>
      <c r="D1060" s="8"/>
      <c r="E1060" t="str">
        <f>_xlfn.XLOOKUP(Table2[[#This Row],[RARC CODE]],'New Rarc Code'!A1060:A1977,'New Rarc Code'!C1060:C1977,"Not Active")</f>
        <v>Not Active</v>
      </c>
    </row>
    <row r="1061" spans="1:5" x14ac:dyDescent="0.25">
      <c r="A1061" s="5" t="s">
        <v>2150</v>
      </c>
      <c r="B1061" s="8" t="s">
        <v>2397</v>
      </c>
      <c r="C1061" s="8" t="s">
        <v>3578</v>
      </c>
      <c r="D1061" s="8"/>
      <c r="E1061" t="str">
        <f>_xlfn.XLOOKUP(Table2[[#This Row],[RARC CODE]],'New Rarc Code'!A1061:A1978,'New Rarc Code'!C1061:C1978,"Not Active")</f>
        <v>Not Active</v>
      </c>
    </row>
    <row r="1062" spans="1:5" x14ac:dyDescent="0.25">
      <c r="A1062" s="5" t="s">
        <v>2151</v>
      </c>
      <c r="B1062" s="8" t="s">
        <v>2398</v>
      </c>
      <c r="C1062" s="8" t="s">
        <v>3579</v>
      </c>
      <c r="D1062" s="8"/>
      <c r="E1062" t="str">
        <f>_xlfn.XLOOKUP(Table2[[#This Row],[RARC CODE]],'New Rarc Code'!A1062:A1979,'New Rarc Code'!C1062:C1979,"Not Active")</f>
        <v>Not Active</v>
      </c>
    </row>
    <row r="1063" spans="1:5" x14ac:dyDescent="0.25">
      <c r="A1063" s="5" t="s">
        <v>2152</v>
      </c>
      <c r="B1063" s="8" t="s">
        <v>2399</v>
      </c>
      <c r="C1063" s="8" t="s">
        <v>3580</v>
      </c>
      <c r="D1063" s="8"/>
      <c r="E1063" t="str">
        <f>_xlfn.XLOOKUP(Table2[[#This Row],[RARC CODE]],'New Rarc Code'!A1063:A1980,'New Rarc Code'!C1063:C1980,"Not Active")</f>
        <v>Not Active</v>
      </c>
    </row>
    <row r="1064" spans="1:5" x14ac:dyDescent="0.25">
      <c r="A1064" s="5" t="s">
        <v>2153</v>
      </c>
      <c r="B1064" s="8" t="s">
        <v>2400</v>
      </c>
      <c r="C1064" s="8" t="s">
        <v>3581</v>
      </c>
      <c r="D1064" s="8"/>
      <c r="E1064" t="str">
        <f>_xlfn.XLOOKUP(Table2[[#This Row],[RARC CODE]],'New Rarc Code'!A1064:A1981,'New Rarc Code'!C1064:C1981,"Not Active")</f>
        <v>Not Active</v>
      </c>
    </row>
    <row r="1065" spans="1:5" x14ac:dyDescent="0.25">
      <c r="A1065" s="5" t="s">
        <v>755</v>
      </c>
      <c r="B1065" s="8" t="s">
        <v>2266</v>
      </c>
      <c r="C1065" s="8" t="s">
        <v>3582</v>
      </c>
      <c r="D1065" s="8"/>
      <c r="E1065" t="str">
        <f>_xlfn.XLOOKUP(Table2[[#This Row],[RARC CODE]],'New Rarc Code'!A1065:A1982,'New Rarc Code'!C1065:C1982,"Not Active")</f>
        <v>Not Active</v>
      </c>
    </row>
    <row r="1066" spans="1:5" x14ac:dyDescent="0.25">
      <c r="A1066" s="5" t="s">
        <v>2154</v>
      </c>
      <c r="B1066" s="7" t="s">
        <v>2155</v>
      </c>
      <c r="C1066" s="7" t="s">
        <v>3583</v>
      </c>
      <c r="D1066" s="7"/>
      <c r="E1066" t="str">
        <f>_xlfn.XLOOKUP(Table2[[#This Row],[RARC CODE]],'New Rarc Code'!A1066:A1983,'New Rarc Code'!C1066:C1983,"Not Active")</f>
        <v>Not Active</v>
      </c>
    </row>
    <row r="1067" spans="1:5" x14ac:dyDescent="0.25">
      <c r="A1067" s="5" t="s">
        <v>2156</v>
      </c>
      <c r="B1067" s="7" t="s">
        <v>2157</v>
      </c>
      <c r="C1067" s="7" t="s">
        <v>3584</v>
      </c>
      <c r="D1067" s="7"/>
      <c r="E1067" t="str">
        <f>_xlfn.XLOOKUP(Table2[[#This Row],[RARC CODE]],'New Rarc Code'!A1067:A1984,'New Rarc Code'!C1067:C1984,"Not Active")</f>
        <v>Not Active</v>
      </c>
    </row>
    <row r="1068" spans="1:5" x14ac:dyDescent="0.25">
      <c r="A1068" s="5" t="s">
        <v>2158</v>
      </c>
      <c r="B1068" s="8" t="s">
        <v>2401</v>
      </c>
      <c r="C1068" s="8" t="s">
        <v>3585</v>
      </c>
      <c r="D1068" s="8"/>
      <c r="E1068" t="str">
        <f>_xlfn.XLOOKUP(Table2[[#This Row],[RARC CODE]],'New Rarc Code'!A1068:A1985,'New Rarc Code'!C1068:C1985,"Not Active")</f>
        <v>Not Active</v>
      </c>
    </row>
    <row r="1069" spans="1:5" x14ac:dyDescent="0.25">
      <c r="A1069" s="5" t="s">
        <v>2159</v>
      </c>
      <c r="B1069" s="8" t="s">
        <v>2402</v>
      </c>
      <c r="C1069" s="8" t="s">
        <v>3586</v>
      </c>
      <c r="D1069" s="8"/>
      <c r="E1069" t="str">
        <f>_xlfn.XLOOKUP(Table2[[#This Row],[RARC CODE]],'New Rarc Code'!A1069:A1986,'New Rarc Code'!C1069:C1986,"Not Active")</f>
        <v>Not Active</v>
      </c>
    </row>
    <row r="1070" spans="1:5" x14ac:dyDescent="0.25">
      <c r="A1070" s="5" t="s">
        <v>2160</v>
      </c>
      <c r="B1070" s="8" t="s">
        <v>2403</v>
      </c>
      <c r="C1070" s="8" t="s">
        <v>3587</v>
      </c>
      <c r="D1070" s="8"/>
      <c r="E1070" t="str">
        <f>_xlfn.XLOOKUP(Table2[[#This Row],[RARC CODE]],'New Rarc Code'!A1070:A1987,'New Rarc Code'!C1070:C1987,"Not Active")</f>
        <v>Not Active</v>
      </c>
    </row>
    <row r="1071" spans="1:5" x14ac:dyDescent="0.25">
      <c r="A1071" s="5" t="s">
        <v>2161</v>
      </c>
      <c r="B1071" s="8" t="s">
        <v>2404</v>
      </c>
      <c r="C1071" s="8" t="s">
        <v>3588</v>
      </c>
      <c r="D1071" s="8"/>
      <c r="E1071" t="str">
        <f>_xlfn.XLOOKUP(Table2[[#This Row],[RARC CODE]],'New Rarc Code'!A1071:A1988,'New Rarc Code'!C1071:C1988,"Not Active")</f>
        <v>Not Active</v>
      </c>
    </row>
    <row r="1072" spans="1:5" x14ac:dyDescent="0.25">
      <c r="A1072" s="5" t="s">
        <v>2162</v>
      </c>
      <c r="B1072" s="8" t="s">
        <v>2405</v>
      </c>
      <c r="C1072" s="8" t="s">
        <v>3589</v>
      </c>
      <c r="D1072" s="8"/>
      <c r="E1072" t="str">
        <f>_xlfn.XLOOKUP(Table2[[#This Row],[RARC CODE]],'New Rarc Code'!A1072:A1989,'New Rarc Code'!C1072:C1989,"Not Active")</f>
        <v>Not Active</v>
      </c>
    </row>
    <row r="1073" spans="1:5" x14ac:dyDescent="0.25">
      <c r="A1073" s="5" t="s">
        <v>2163</v>
      </c>
      <c r="B1073" s="7" t="s">
        <v>2164</v>
      </c>
      <c r="C1073" s="7" t="s">
        <v>3590</v>
      </c>
      <c r="D1073" s="7"/>
      <c r="E1073" t="str">
        <f>_xlfn.XLOOKUP(Table2[[#This Row],[RARC CODE]],'New Rarc Code'!A1073:A1990,'New Rarc Code'!C1073:C1990,"Not Active")</f>
        <v>Not Active</v>
      </c>
    </row>
    <row r="1074" spans="1:5" x14ac:dyDescent="0.25">
      <c r="A1074" s="5" t="s">
        <v>2165</v>
      </c>
      <c r="B1074" s="8" t="s">
        <v>2406</v>
      </c>
      <c r="C1074" s="8" t="s">
        <v>3591</v>
      </c>
      <c r="D1074" s="8"/>
      <c r="E1074" t="str">
        <f>_xlfn.XLOOKUP(Table2[[#This Row],[RARC CODE]],'New Rarc Code'!A1074:A1991,'New Rarc Code'!C1074:C1991,"Not Active")</f>
        <v>Not Active</v>
      </c>
    </row>
    <row r="1075" spans="1:5" x14ac:dyDescent="0.25">
      <c r="A1075" s="5" t="s">
        <v>2166</v>
      </c>
      <c r="B1075" s="8" t="s">
        <v>2407</v>
      </c>
      <c r="C1075" s="8" t="s">
        <v>3592</v>
      </c>
      <c r="D1075" s="8"/>
      <c r="E1075" t="str">
        <f>_xlfn.XLOOKUP(Table2[[#This Row],[RARC CODE]],'New Rarc Code'!A1075:A1992,'New Rarc Code'!C1075:C1992,"Not Active")</f>
        <v>Not Active</v>
      </c>
    </row>
    <row r="1076" spans="1:5" x14ac:dyDescent="0.25">
      <c r="A1076" s="5" t="s">
        <v>756</v>
      </c>
      <c r="B1076" s="8" t="s">
        <v>2267</v>
      </c>
      <c r="C1076" s="8" t="s">
        <v>3593</v>
      </c>
      <c r="D1076" s="8"/>
      <c r="E1076" t="str">
        <f>_xlfn.XLOOKUP(Table2[[#This Row],[RARC CODE]],'New Rarc Code'!A1076:A1993,'New Rarc Code'!C1076:C1993,"Not Active")</f>
        <v>Not Active</v>
      </c>
    </row>
    <row r="1077" spans="1:5" x14ac:dyDescent="0.25">
      <c r="A1077" s="5" t="s">
        <v>2167</v>
      </c>
      <c r="B1077" s="7" t="s">
        <v>2168</v>
      </c>
      <c r="C1077" s="7" t="s">
        <v>3594</v>
      </c>
      <c r="D1077" s="7"/>
      <c r="E1077" t="str">
        <f>_xlfn.XLOOKUP(Table2[[#This Row],[RARC CODE]],'New Rarc Code'!A1077:A1994,'New Rarc Code'!C1077:C1994,"Not Active")</f>
        <v>Not Active</v>
      </c>
    </row>
    <row r="1078" spans="1:5" x14ac:dyDescent="0.25">
      <c r="A1078" s="5" t="s">
        <v>2169</v>
      </c>
      <c r="B1078" s="7" t="s">
        <v>2170</v>
      </c>
      <c r="C1078" s="7" t="s">
        <v>3595</v>
      </c>
      <c r="D1078" s="7"/>
      <c r="E1078" t="str">
        <f>_xlfn.XLOOKUP(Table2[[#This Row],[RARC CODE]],'New Rarc Code'!A1078:A1995,'New Rarc Code'!C1078:C1995,"Not Active")</f>
        <v>Not Active</v>
      </c>
    </row>
    <row r="1079" spans="1:5" x14ac:dyDescent="0.25">
      <c r="A1079" s="5" t="s">
        <v>2171</v>
      </c>
      <c r="B1079" s="7" t="s">
        <v>2172</v>
      </c>
      <c r="C1079" s="7" t="s">
        <v>3596</v>
      </c>
      <c r="D1079" s="7"/>
      <c r="E1079" t="str">
        <f>_xlfn.XLOOKUP(Table2[[#This Row],[RARC CODE]],'New Rarc Code'!A1079:A1996,'New Rarc Code'!C1079:C1996,"Not Active")</f>
        <v>Not Active</v>
      </c>
    </row>
    <row r="1080" spans="1:5" x14ac:dyDescent="0.25">
      <c r="A1080" s="5" t="s">
        <v>2173</v>
      </c>
      <c r="B1080" s="7" t="s">
        <v>2174</v>
      </c>
      <c r="C1080" s="7" t="s">
        <v>3597</v>
      </c>
      <c r="D1080" s="7"/>
      <c r="E1080" t="str">
        <f>_xlfn.XLOOKUP(Table2[[#This Row],[RARC CODE]],'New Rarc Code'!A1080:A1997,'New Rarc Code'!C1080:C1997,"Not Active")</f>
        <v>Not Active</v>
      </c>
    </row>
    <row r="1081" spans="1:5" x14ac:dyDescent="0.25">
      <c r="A1081" s="5" t="s">
        <v>2175</v>
      </c>
      <c r="B1081" s="8" t="s">
        <v>2408</v>
      </c>
      <c r="C1081" s="8" t="s">
        <v>3598</v>
      </c>
      <c r="D1081" s="8"/>
      <c r="E1081" t="str">
        <f>_xlfn.XLOOKUP(Table2[[#This Row],[RARC CODE]],'New Rarc Code'!A1081:A1998,'New Rarc Code'!C1081:C1998,"Not Active")</f>
        <v>Not Active</v>
      </c>
    </row>
    <row r="1082" spans="1:5" x14ac:dyDescent="0.25">
      <c r="A1082" s="5" t="s">
        <v>2176</v>
      </c>
      <c r="B1082" s="7" t="s">
        <v>2177</v>
      </c>
      <c r="C1082" s="7" t="s">
        <v>3599</v>
      </c>
      <c r="D1082" s="7"/>
      <c r="E1082" t="str">
        <f>_xlfn.XLOOKUP(Table2[[#This Row],[RARC CODE]],'New Rarc Code'!A1082:A1999,'New Rarc Code'!C1082:C1999,"Not Active")</f>
        <v>Not Active</v>
      </c>
    </row>
    <row r="1083" spans="1:5" x14ac:dyDescent="0.25">
      <c r="A1083" s="5" t="s">
        <v>2178</v>
      </c>
      <c r="B1083" s="7" t="s">
        <v>2179</v>
      </c>
      <c r="C1083" s="7" t="s">
        <v>3600</v>
      </c>
      <c r="D1083" s="7"/>
      <c r="E1083" t="str">
        <f>_xlfn.XLOOKUP(Table2[[#This Row],[RARC CODE]],'New Rarc Code'!A1083:A2000,'New Rarc Code'!C1083:C2000,"Not Active")</f>
        <v>Not Active</v>
      </c>
    </row>
    <row r="1084" spans="1:5" x14ac:dyDescent="0.25">
      <c r="A1084" s="5" t="s">
        <v>2180</v>
      </c>
      <c r="B1084" s="7" t="s">
        <v>2181</v>
      </c>
      <c r="C1084" s="7" t="s">
        <v>3601</v>
      </c>
      <c r="D1084" s="7"/>
      <c r="E1084" t="str">
        <f>_xlfn.XLOOKUP(Table2[[#This Row],[RARC CODE]],'New Rarc Code'!A1084:A2001,'New Rarc Code'!C1084:C2001,"Not Active")</f>
        <v>Not Active</v>
      </c>
    </row>
    <row r="1085" spans="1:5" x14ac:dyDescent="0.25">
      <c r="A1085" s="5" t="s">
        <v>2182</v>
      </c>
      <c r="B1085" s="7" t="s">
        <v>2183</v>
      </c>
      <c r="C1085" s="7" t="s">
        <v>3602</v>
      </c>
      <c r="D1085" s="7"/>
      <c r="E1085" t="str">
        <f>_xlfn.XLOOKUP(Table2[[#This Row],[RARC CODE]],'New Rarc Code'!A1085:A2002,'New Rarc Code'!C1085:C2002,"Not Active")</f>
        <v>Not Active</v>
      </c>
    </row>
    <row r="1086" spans="1:5" x14ac:dyDescent="0.25">
      <c r="A1086" s="5" t="s">
        <v>2184</v>
      </c>
      <c r="B1086" s="7" t="s">
        <v>2185</v>
      </c>
      <c r="C1086" s="7" t="s">
        <v>3603</v>
      </c>
      <c r="D1086" s="7"/>
      <c r="E1086" t="str">
        <f>_xlfn.XLOOKUP(Table2[[#This Row],[RARC CODE]],'New Rarc Code'!A1086:A2003,'New Rarc Code'!C1086:C2003,"Not Active")</f>
        <v>Not Active</v>
      </c>
    </row>
    <row r="1087" spans="1:5" x14ac:dyDescent="0.25">
      <c r="A1087" s="5" t="s">
        <v>624</v>
      </c>
      <c r="B1087" s="7" t="s">
        <v>625</v>
      </c>
      <c r="C1087" s="7" t="s">
        <v>3604</v>
      </c>
      <c r="D1087" s="7"/>
      <c r="E1087" t="str">
        <f>_xlfn.XLOOKUP(Table2[[#This Row],[RARC CODE]],'New Rarc Code'!A1087:A2004,'New Rarc Code'!C1087:C2004,"Not Active")</f>
        <v>Not Active</v>
      </c>
    </row>
    <row r="1088" spans="1:5" x14ac:dyDescent="0.25">
      <c r="A1088" s="5" t="s">
        <v>757</v>
      </c>
      <c r="B1088" s="7" t="s">
        <v>758</v>
      </c>
      <c r="C1088" s="7" t="s">
        <v>3605</v>
      </c>
      <c r="D1088" s="7"/>
      <c r="E1088" t="str">
        <f>_xlfn.XLOOKUP(Table2[[#This Row],[RARC CODE]],'New Rarc Code'!A1088:A2005,'New Rarc Code'!C1088:C2005,"Not Active")</f>
        <v>Not Active</v>
      </c>
    </row>
    <row r="1089" spans="1:5" x14ac:dyDescent="0.25">
      <c r="A1089" s="5" t="s">
        <v>2186</v>
      </c>
      <c r="B1089" s="7" t="s">
        <v>2187</v>
      </c>
      <c r="C1089" s="7" t="s">
        <v>3606</v>
      </c>
      <c r="D1089" s="7"/>
      <c r="E1089" t="str">
        <f>_xlfn.XLOOKUP(Table2[[#This Row],[RARC CODE]],'New Rarc Code'!A1089:A2006,'New Rarc Code'!C1089:C2006,"Not Active")</f>
        <v>Not Active</v>
      </c>
    </row>
    <row r="1090" spans="1:5" x14ac:dyDescent="0.25">
      <c r="A1090" s="5" t="s">
        <v>2188</v>
      </c>
      <c r="B1090" s="7" t="s">
        <v>2189</v>
      </c>
      <c r="C1090" s="7" t="s">
        <v>3607</v>
      </c>
      <c r="D1090" s="7"/>
      <c r="E1090" t="str">
        <f>_xlfn.XLOOKUP(Table2[[#This Row],[RARC CODE]],'New Rarc Code'!A1090:A2007,'New Rarc Code'!C1090:C2007,"Not Active")</f>
        <v>Not Active</v>
      </c>
    </row>
    <row r="1091" spans="1:5" x14ac:dyDescent="0.25">
      <c r="A1091" s="5" t="s">
        <v>2190</v>
      </c>
      <c r="B1091" s="7" t="s">
        <v>2191</v>
      </c>
      <c r="C1091" s="7" t="s">
        <v>3608</v>
      </c>
      <c r="D1091" s="7"/>
      <c r="E1091" t="str">
        <f>_xlfn.XLOOKUP(Table2[[#This Row],[RARC CODE]],'New Rarc Code'!A1091:A2008,'New Rarc Code'!C1091:C2008,"Not Active")</f>
        <v>Not Active</v>
      </c>
    </row>
    <row r="1092" spans="1:5" x14ac:dyDescent="0.25">
      <c r="A1092" s="5" t="s">
        <v>2192</v>
      </c>
      <c r="B1092" s="7" t="s">
        <v>2193</v>
      </c>
      <c r="C1092" s="7" t="s">
        <v>3609</v>
      </c>
      <c r="D1092" s="7"/>
      <c r="E1092" t="str">
        <f>_xlfn.XLOOKUP(Table2[[#This Row],[RARC CODE]],'New Rarc Code'!A1092:A2009,'New Rarc Code'!C1092:C2009,"Not Active")</f>
        <v>Not Active</v>
      </c>
    </row>
    <row r="1093" spans="1:5" x14ac:dyDescent="0.25">
      <c r="A1093" s="5" t="s">
        <v>2194</v>
      </c>
      <c r="B1093" s="7" t="s">
        <v>2195</v>
      </c>
      <c r="C1093" s="7" t="s">
        <v>3610</v>
      </c>
      <c r="D1093" s="7"/>
      <c r="E1093" t="str">
        <f>_xlfn.XLOOKUP(Table2[[#This Row],[RARC CODE]],'New Rarc Code'!A1093:A2010,'New Rarc Code'!C1093:C2010,"Not Active")</f>
        <v>Not Active</v>
      </c>
    </row>
    <row r="1094" spans="1:5" x14ac:dyDescent="0.25">
      <c r="A1094" s="5" t="s">
        <v>2196</v>
      </c>
      <c r="B1094" s="7" t="s">
        <v>2197</v>
      </c>
      <c r="C1094" s="7" t="s">
        <v>3611</v>
      </c>
      <c r="D1094" s="7"/>
      <c r="E1094" t="str">
        <f>_xlfn.XLOOKUP(Table2[[#This Row],[RARC CODE]],'New Rarc Code'!A1094:A2011,'New Rarc Code'!C1094:C2011,"Not Active")</f>
        <v>Not Active</v>
      </c>
    </row>
    <row r="1095" spans="1:5" x14ac:dyDescent="0.25">
      <c r="A1095" s="5" t="s">
        <v>2198</v>
      </c>
      <c r="B1095" s="7" t="s">
        <v>2199</v>
      </c>
      <c r="C1095" s="7" t="s">
        <v>3612</v>
      </c>
      <c r="D1095" s="7"/>
      <c r="E1095" t="str">
        <f>_xlfn.XLOOKUP(Table2[[#This Row],[RARC CODE]],'New Rarc Code'!A1095:A2012,'New Rarc Code'!C1095:C2012,"Not Active")</f>
        <v>Not Active</v>
      </c>
    </row>
    <row r="1096" spans="1:5" x14ac:dyDescent="0.25">
      <c r="A1096" s="5" t="s">
        <v>2200</v>
      </c>
      <c r="B1096" s="7" t="s">
        <v>2201</v>
      </c>
      <c r="C1096" s="7" t="s">
        <v>3613</v>
      </c>
      <c r="D1096" s="7"/>
      <c r="E1096" t="str">
        <f>_xlfn.XLOOKUP(Table2[[#This Row],[RARC CODE]],'New Rarc Code'!A1096:A2013,'New Rarc Code'!C1096:C2013,"Not Active")</f>
        <v>Not Active</v>
      </c>
    </row>
    <row r="1097" spans="1:5" x14ac:dyDescent="0.25">
      <c r="A1097" s="5" t="s">
        <v>2202</v>
      </c>
      <c r="B1097" s="7" t="s">
        <v>2203</v>
      </c>
      <c r="C1097" s="7" t="s">
        <v>3614</v>
      </c>
      <c r="D1097" s="7"/>
      <c r="E1097" t="str">
        <f>_xlfn.XLOOKUP(Table2[[#This Row],[RARC CODE]],'New Rarc Code'!A1097:A2014,'New Rarc Code'!C1097:C2014,"Not Active")</f>
        <v>Not Active</v>
      </c>
    </row>
    <row r="1098" spans="1:5" x14ac:dyDescent="0.25">
      <c r="A1098" s="5" t="s">
        <v>2204</v>
      </c>
      <c r="B1098" s="7" t="s">
        <v>2205</v>
      </c>
      <c r="C1098" s="7" t="s">
        <v>3615</v>
      </c>
      <c r="D1098" s="7"/>
      <c r="E1098" t="str">
        <f>_xlfn.XLOOKUP(Table2[[#This Row],[RARC CODE]],'New Rarc Code'!A1098:A2015,'New Rarc Code'!C1098:C2015,"Not Active")</f>
        <v>Not Active</v>
      </c>
    </row>
    <row r="1099" spans="1:5" x14ac:dyDescent="0.25">
      <c r="A1099" s="5" t="s">
        <v>759</v>
      </c>
      <c r="B1099" s="7" t="s">
        <v>760</v>
      </c>
      <c r="C1099" s="7" t="s">
        <v>3616</v>
      </c>
      <c r="D1099" s="7"/>
      <c r="E1099" t="str">
        <f>_xlfn.XLOOKUP(Table2[[#This Row],[RARC CODE]],'New Rarc Code'!A1099:A2016,'New Rarc Code'!C1099:C2016,"Not Active")</f>
        <v>Not Active</v>
      </c>
    </row>
    <row r="1100" spans="1:5" x14ac:dyDescent="0.25">
      <c r="A1100" s="5" t="s">
        <v>2206</v>
      </c>
      <c r="B1100" s="7" t="s">
        <v>2207</v>
      </c>
      <c r="C1100" s="7" t="s">
        <v>3617</v>
      </c>
      <c r="D1100" s="7"/>
      <c r="E1100" t="str">
        <f>_xlfn.XLOOKUP(Table2[[#This Row],[RARC CODE]],'New Rarc Code'!A1100:A2017,'New Rarc Code'!C1100:C2017,"Not Active")</f>
        <v>Not Active</v>
      </c>
    </row>
    <row r="1101" spans="1:5" x14ac:dyDescent="0.25">
      <c r="A1101" s="5" t="s">
        <v>2208</v>
      </c>
      <c r="B1101" s="7" t="s">
        <v>2209</v>
      </c>
      <c r="C1101" s="7" t="s">
        <v>3618</v>
      </c>
      <c r="D1101" s="7"/>
      <c r="E1101" t="str">
        <f>_xlfn.XLOOKUP(Table2[[#This Row],[RARC CODE]],'New Rarc Code'!A1101:A2018,'New Rarc Code'!C1101:C2018,"Not Active")</f>
        <v>Not Active</v>
      </c>
    </row>
    <row r="1102" spans="1:5" x14ac:dyDescent="0.25">
      <c r="A1102" s="5" t="s">
        <v>2210</v>
      </c>
      <c r="B1102" s="7" t="s">
        <v>2211</v>
      </c>
      <c r="C1102" s="7" t="s">
        <v>3619</v>
      </c>
      <c r="D1102" s="7"/>
      <c r="E1102" t="str">
        <f>_xlfn.XLOOKUP(Table2[[#This Row],[RARC CODE]],'New Rarc Code'!A1102:A2019,'New Rarc Code'!C1102:C2019,"Not Active")</f>
        <v>Not Active</v>
      </c>
    </row>
    <row r="1103" spans="1:5" x14ac:dyDescent="0.25">
      <c r="A1103" s="5" t="s">
        <v>2212</v>
      </c>
      <c r="B1103" s="7" t="s">
        <v>2213</v>
      </c>
      <c r="C1103" s="7" t="s">
        <v>3620</v>
      </c>
      <c r="D1103" s="7"/>
      <c r="E1103" t="str">
        <f>_xlfn.XLOOKUP(Table2[[#This Row],[RARC CODE]],'New Rarc Code'!A1103:A2020,'New Rarc Code'!C1103:C2020,"Not Active")</f>
        <v>Not Active</v>
      </c>
    </row>
    <row r="1104" spans="1:5" x14ac:dyDescent="0.25">
      <c r="A1104" s="5" t="s">
        <v>2214</v>
      </c>
      <c r="B1104" s="7" t="s">
        <v>2215</v>
      </c>
      <c r="C1104" s="7" t="s">
        <v>3621</v>
      </c>
      <c r="D1104" s="7"/>
      <c r="E1104" t="str">
        <f>_xlfn.XLOOKUP(Table2[[#This Row],[RARC CODE]],'New Rarc Code'!A1104:A2021,'New Rarc Code'!C1104:C2021,"Not Active")</f>
        <v>Not Active</v>
      </c>
    </row>
    <row r="1105" spans="1:5" x14ac:dyDescent="0.25">
      <c r="A1105" s="5" t="s">
        <v>2216</v>
      </c>
      <c r="B1105" s="7" t="s">
        <v>2217</v>
      </c>
      <c r="C1105" s="7" t="s">
        <v>3622</v>
      </c>
      <c r="D1105" s="7"/>
      <c r="E1105" t="str">
        <f>_xlfn.XLOOKUP(Table2[[#This Row],[RARC CODE]],'New Rarc Code'!A1105:A2022,'New Rarc Code'!C1105:C2022,"Not Active")</f>
        <v>Not Active</v>
      </c>
    </row>
    <row r="1106" spans="1:5" x14ac:dyDescent="0.25">
      <c r="A1106" s="5" t="s">
        <v>2218</v>
      </c>
      <c r="B1106" s="7" t="s">
        <v>2219</v>
      </c>
      <c r="C1106" s="7" t="s">
        <v>3623</v>
      </c>
      <c r="D1106" s="7"/>
      <c r="E1106" t="str">
        <f>_xlfn.XLOOKUP(Table2[[#This Row],[RARC CODE]],'New Rarc Code'!A1106:A2023,'New Rarc Code'!C1106:C2023,"Not Active")</f>
        <v>Not Active</v>
      </c>
    </row>
    <row r="1107" spans="1:5" x14ac:dyDescent="0.25">
      <c r="A1107" s="5" t="s">
        <v>761</v>
      </c>
      <c r="B1107" s="7" t="s">
        <v>762</v>
      </c>
      <c r="C1107" s="7" t="s">
        <v>3624</v>
      </c>
      <c r="D1107" s="7"/>
      <c r="E1107" t="str">
        <f>_xlfn.XLOOKUP(Table2[[#This Row],[RARC CODE]],'New Rarc Code'!A1107:A2024,'New Rarc Code'!C1107:C2024,"Not Active")</f>
        <v>Not Active</v>
      </c>
    </row>
    <row r="1108" spans="1:5" x14ac:dyDescent="0.25">
      <c r="A1108" s="5" t="s">
        <v>763</v>
      </c>
      <c r="B1108" s="7" t="s">
        <v>764</v>
      </c>
      <c r="C1108" s="7" t="s">
        <v>3625</v>
      </c>
      <c r="D1108" s="7"/>
      <c r="E1108" t="str">
        <f>_xlfn.XLOOKUP(Table2[[#This Row],[RARC CODE]],'New Rarc Code'!A1108:A2025,'New Rarc Code'!C1108:C2025,"Not Active")</f>
        <v>Not Active</v>
      </c>
    </row>
    <row r="1109" spans="1:5" x14ac:dyDescent="0.25">
      <c r="A1109" s="5" t="s">
        <v>765</v>
      </c>
      <c r="B1109" s="7" t="s">
        <v>766</v>
      </c>
      <c r="C1109" s="7" t="s">
        <v>3626</v>
      </c>
      <c r="D1109" s="7"/>
      <c r="E1109" t="str">
        <f>_xlfn.XLOOKUP(Table2[[#This Row],[RARC CODE]],'New Rarc Code'!A1109:A2026,'New Rarc Code'!C1109:C2026,"Not Active")</f>
        <v>Not Active</v>
      </c>
    </row>
    <row r="1110" spans="1:5" x14ac:dyDescent="0.25">
      <c r="A1110" s="5" t="s">
        <v>767</v>
      </c>
      <c r="B1110" s="7" t="s">
        <v>768</v>
      </c>
      <c r="C1110" s="7" t="s">
        <v>3627</v>
      </c>
      <c r="D1110" s="7" t="s">
        <v>3694</v>
      </c>
      <c r="E1110" t="str">
        <f>_xlfn.XLOOKUP(Table2[[#This Row],[RARC CODE]],'New Rarc Code'!A1110:A2027,'New Rarc Code'!C1110:C2027,"Not Active")</f>
        <v>Not Active</v>
      </c>
    </row>
    <row r="1111" spans="1:5" x14ac:dyDescent="0.25">
      <c r="A1111" s="5" t="s">
        <v>769</v>
      </c>
      <c r="B1111" s="7" t="s">
        <v>770</v>
      </c>
      <c r="C1111" s="7" t="s">
        <v>3628</v>
      </c>
      <c r="D1111" s="7"/>
      <c r="E1111" t="str">
        <f>_xlfn.XLOOKUP(Table2[[#This Row],[RARC CODE]],'New Rarc Code'!A1111:A2028,'New Rarc Code'!C1111:C2028,"Not Active")</f>
        <v>Not Active</v>
      </c>
    </row>
    <row r="1112" spans="1:5" x14ac:dyDescent="0.25">
      <c r="A1112" s="5" t="s">
        <v>771</v>
      </c>
      <c r="B1112" s="7" t="s">
        <v>772</v>
      </c>
      <c r="C1112" s="7" t="s">
        <v>3629</v>
      </c>
      <c r="D1112" s="7"/>
      <c r="E1112" t="str">
        <f>_xlfn.XLOOKUP(Table2[[#This Row],[RARC CODE]],'New Rarc Code'!A1112:A2029,'New Rarc Code'!C1112:C2029,"Not Active")</f>
        <v>Not Active</v>
      </c>
    </row>
    <row r="1113" spans="1:5" x14ac:dyDescent="0.25">
      <c r="A1113" s="5" t="s">
        <v>773</v>
      </c>
      <c r="B1113" s="7" t="s">
        <v>774</v>
      </c>
      <c r="C1113" s="7" t="s">
        <v>3630</v>
      </c>
      <c r="D1113" s="7"/>
      <c r="E1113" t="str">
        <f>_xlfn.XLOOKUP(Table2[[#This Row],[RARC CODE]],'New Rarc Code'!A1113:A2030,'New Rarc Code'!C1113:C2030,"Not Active")</f>
        <v>Not Active</v>
      </c>
    </row>
    <row r="1114" spans="1:5" x14ac:dyDescent="0.25">
      <c r="A1114" s="6" t="s">
        <v>775</v>
      </c>
      <c r="B1114" s="11" t="s">
        <v>776</v>
      </c>
      <c r="C1114" s="11" t="s">
        <v>3631</v>
      </c>
      <c r="D1114" s="11"/>
      <c r="E1114" t="str">
        <f>_xlfn.XLOOKUP(Table2[[#This Row],[RARC CODE]],'New Rarc Code'!A1114:A2031,'New Rarc Code'!C1114:C2031,"Not Active")</f>
        <v>Not Active</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CB9C5-2651-4268-8157-C540E7C9EF27}">
  <dimension ref="A1:J43"/>
  <sheetViews>
    <sheetView tabSelected="1" topLeftCell="A25" workbookViewId="0">
      <selection activeCell="A50" sqref="A50"/>
    </sheetView>
  </sheetViews>
  <sheetFormatPr defaultRowHeight="15" x14ac:dyDescent="0.25"/>
  <cols>
    <col min="1" max="1" width="32.28515625" bestFit="1" customWidth="1"/>
    <col min="2" max="2" width="45" bestFit="1" customWidth="1"/>
    <col min="3" max="3" width="13.5703125" bestFit="1" customWidth="1"/>
    <col min="4" max="4" width="21.85546875" bestFit="1" customWidth="1"/>
    <col min="5" max="5" width="31.28515625" bestFit="1" customWidth="1"/>
    <col min="6" max="6" width="87.7109375" bestFit="1" customWidth="1"/>
    <col min="7" max="8" width="9.5703125" bestFit="1" customWidth="1"/>
    <col min="9" max="10" width="255.7109375" bestFit="1" customWidth="1"/>
  </cols>
  <sheetData>
    <row r="1" spans="1:10" x14ac:dyDescent="0.25">
      <c r="A1" s="80" t="s">
        <v>6093</v>
      </c>
      <c r="B1" s="81" t="s">
        <v>6094</v>
      </c>
      <c r="C1" s="81" t="s">
        <v>6096</v>
      </c>
      <c r="D1" s="81" t="s">
        <v>6097</v>
      </c>
      <c r="E1" s="81" t="s">
        <v>6098</v>
      </c>
      <c r="F1" s="82" t="s">
        <v>6166</v>
      </c>
      <c r="G1" s="81" t="s">
        <v>172</v>
      </c>
      <c r="H1" s="81" t="s">
        <v>6112</v>
      </c>
      <c r="I1" s="83" t="s">
        <v>6167</v>
      </c>
      <c r="J1" s="83" t="s">
        <v>6168</v>
      </c>
    </row>
    <row r="2" spans="1:10" x14ac:dyDescent="0.25">
      <c r="A2" s="84" t="s">
        <v>6169</v>
      </c>
      <c r="B2" s="84" t="s">
        <v>6170</v>
      </c>
      <c r="C2" s="84" t="s">
        <v>6171</v>
      </c>
      <c r="D2" s="84" t="s">
        <v>6119</v>
      </c>
      <c r="E2" s="85" t="s">
        <v>6172</v>
      </c>
      <c r="F2" s="86" t="s">
        <v>1586</v>
      </c>
      <c r="G2" s="84">
        <v>96</v>
      </c>
      <c r="H2" s="84" t="s">
        <v>1275</v>
      </c>
      <c r="I2"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data-status="ASC Quality Reporting Program" data-action="Client Assistance Required" data-source="Analyse|Web|Call" data-category="Assistance Needed From NSHA" data-sub="APG Rate Code Missing" data-reason="Payment adjusted based on the Ambulatory Surgical Center (ASC) Quality Reporting Program." data-carc="96" data-rarc="N381"&gt;
  &lt;td class="c-code"&gt;ASC Quality Reporting Program&lt;/td&gt;
  &lt;td class="c-code"&gt;Client Assistance Required&lt;/td&gt;
  &lt;td class="c-code"&gt;Analyse|Web|Call&lt;/td&gt;
  &lt;td&gt;&lt;span class="chip chip-amber"&gt;⚙ Assistance Needed From NSHA&lt;/span&gt;&lt;/td&gt;
  &lt;td class="c-code"&gt;APG Rate Code Missing&lt;/td&gt;
  &lt;td class="c-wrap"&gt;&lt;span class="deny-text"&gt;Payment adjusted based on the Ambulatory Surgical Center (ASC) Quality Reporting Program.&lt;/span&gt;&lt;/td&gt;
  &lt;td&gt;&lt;span class="code-pill carc"&gt;96&lt;/span&gt;&lt;/td&gt;
  &lt;td&gt;&lt;span class="code-pill rarc"&gt;N381&lt;/span&gt;&lt;/td&gt;
&lt;/tr&gt;</v>
      </c>
      <c r="J2" s="84" t="s">
        <v>6173</v>
      </c>
    </row>
    <row r="3" spans="1:10" x14ac:dyDescent="0.25">
      <c r="A3" s="84" t="s">
        <v>6174</v>
      </c>
      <c r="B3" s="84" t="s">
        <v>6117</v>
      </c>
      <c r="C3" s="84" t="s">
        <v>6171</v>
      </c>
      <c r="D3" s="84" t="s">
        <v>6119</v>
      </c>
      <c r="E3" s="85" t="s">
        <v>6120</v>
      </c>
      <c r="F3" s="86" t="s">
        <v>4928</v>
      </c>
      <c r="G3" s="84">
        <v>109</v>
      </c>
      <c r="H3" s="84" t="s">
        <v>924</v>
      </c>
      <c r="I3"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data-status="Covered By Another Payer/COB" data-action="No Other Payer Found | Recommend Balance Transfer to Patient" data-source="Analyse|Web|Call" data-category="Assistance Needed From NSHA" data-sub="Eligibility / Coverage" data-reason="Claim/service not covered by this payer/contractor. You must send the claim/service to the correct payer/contractor" data-carc="109" data-rarc="N193"&gt;
  &lt;td class="c-code"&gt;Covered By Another Payer/COB&lt;/td&gt;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rarc"&gt;N193&lt;/span&gt;&lt;/td&gt;
&lt;/tr&gt;</v>
      </c>
      <c r="J3" s="84" t="s">
        <v>6175</v>
      </c>
    </row>
    <row r="4" spans="1:10" x14ac:dyDescent="0.25">
      <c r="A4" s="84" t="s">
        <v>6176</v>
      </c>
      <c r="B4" s="84" t="s">
        <v>6117</v>
      </c>
      <c r="C4" s="84" t="s">
        <v>6171</v>
      </c>
      <c r="D4" s="84" t="s">
        <v>6119</v>
      </c>
      <c r="E4" s="85" t="s">
        <v>6120</v>
      </c>
      <c r="F4" s="86" t="s">
        <v>2440</v>
      </c>
      <c r="G4" s="84">
        <v>32</v>
      </c>
      <c r="H4" s="84" t="s">
        <v>693</v>
      </c>
      <c r="I4"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data-status="Dependent Not Eligible" data-action="No Other Payer Found | Recommend Balance Transfer to Patient" data-source="Analyse|Web|Call" data-category="Assistance Needed From NSHA" data-sub="Eligibility / Coverage" data-reason="Non-covered charge(s)." data-carc="32" data-rarc="N52"&gt;
  &lt;td class="c-code"&gt;Dependent Not Eligible&lt;/td&gt;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class="deny-text"&gt;Non-covered charge(s).&lt;/span&gt;&lt;/td&gt;
  &lt;td&gt;&lt;span class="code-pill carc"&gt;32&lt;/span&gt;&lt;/td&gt;
  &lt;td&gt;&lt;span class="code-pill rarc"&gt;N52&lt;/span&gt;&lt;/td&gt;
&lt;/tr&gt;</v>
      </c>
      <c r="J4" s="84" t="s">
        <v>6177</v>
      </c>
    </row>
    <row r="5" spans="1:10" x14ac:dyDescent="0.25">
      <c r="A5" s="84" t="s">
        <v>6176</v>
      </c>
      <c r="B5" s="84" t="s">
        <v>6127</v>
      </c>
      <c r="C5" s="84" t="s">
        <v>6171</v>
      </c>
      <c r="D5" s="84" t="s">
        <v>6119</v>
      </c>
      <c r="E5" s="85" t="s">
        <v>6120</v>
      </c>
      <c r="F5" s="86" t="s">
        <v>2440</v>
      </c>
      <c r="G5" s="84">
        <v>32</v>
      </c>
      <c r="H5" s="84" t="s">
        <v>693</v>
      </c>
      <c r="I5"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data-status="Dependent Not Eligible" data-action="Verified | Submitted to Correct Insurance" data-source="Analyse|Web|Call" data-category="Assistance Needed From NSHA" data-sub="Eligibility / Coverage" data-reason="Non-covered charge(s)." data-carc="32" data-rarc="N52"&gt;
  &lt;td class="c-code"&gt;Dependent Not Eligible&lt;/td&gt;
  &lt;td class="c-code"&gt;Verified | Submitted to Correct Insurance&lt;/td&gt;
  &lt;td class="c-code"&gt;Analyse|Web|Call&lt;/td&gt;
  &lt;td&gt;&lt;span class="chip chip-amber"&gt;⚙ Assistance Needed From NSHA&lt;/span&gt;&lt;/td&gt;
  &lt;td class="c-code"&gt;Eligibility / Coverage&lt;/td&gt;
  &lt;td class="c-wrap"&gt;&lt;span class="deny-text"&gt;Non-covered charge(s).&lt;/span&gt;&lt;/td&gt;
  &lt;td&gt;&lt;span class="code-pill carc"&gt;32&lt;/span&gt;&lt;/td&gt;
  &lt;td&gt;&lt;span class="code-pill rarc"&gt;N52&lt;/span&gt;&lt;/td&gt;
&lt;/tr&gt;</v>
      </c>
      <c r="J5" s="84" t="s">
        <v>6178</v>
      </c>
    </row>
    <row r="6" spans="1:10" x14ac:dyDescent="0.25">
      <c r="A6" s="84" t="s">
        <v>6147</v>
      </c>
      <c r="B6" s="84" t="s">
        <v>6170</v>
      </c>
      <c r="C6" s="84" t="s">
        <v>6171</v>
      </c>
      <c r="D6" s="84" t="s">
        <v>6119</v>
      </c>
      <c r="E6" s="85" t="s">
        <v>6179</v>
      </c>
      <c r="F6" s="86" t="s">
        <v>4994</v>
      </c>
      <c r="G6" s="84" t="s">
        <v>2517</v>
      </c>
      <c r="H6" s="84" t="s">
        <v>1289</v>
      </c>
      <c r="I6"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data-status="Duplicate Claim" data-action="Client Assistance Required" data-source="Analyse|Web|Call" data-category="Assistance Needed From NSHA" data-sub="To Fix split claim" data-reason="Exact duplicate claim/service" data-carc="CO 18" data-rarc="N389"&gt;
  &lt;td class="c-code"&gt;Duplicate Claim&lt;/td&gt;
  &lt;td class="c-code"&gt;Client Assistance Required&lt;/td&gt;
  &lt;td class="c-code"&gt;Analyse|Web|Call&lt;/td&gt;
  &lt;td&gt;&lt;span class="chip chip-amber"&gt;⚙ Assistance Needed From NSHA&lt;/span&gt;&lt;/td&gt;
  &lt;td class="c-code"&gt;To Fix split claim&lt;/td&gt;
  &lt;td class="c-wrap"&gt;&lt;span class="deny-text"&gt;Exact duplicate claim/service&lt;/span&gt;&lt;/td&gt;
  &lt;td&gt;&lt;span class="code-pill carc"&gt;CO 18&lt;/span&gt;&lt;/td&gt;
  &lt;td&gt;&lt;span class="code-pill rarc"&gt;N389&lt;/span&gt;&lt;/td&gt;
&lt;/tr&gt;</v>
      </c>
      <c r="J6" s="84" t="s">
        <v>6180</v>
      </c>
    </row>
    <row r="7" spans="1:10" x14ac:dyDescent="0.25">
      <c r="A7" s="84" t="s">
        <v>6163</v>
      </c>
      <c r="B7" s="84" t="s">
        <v>6170</v>
      </c>
      <c r="C7" s="84" t="s">
        <v>6171</v>
      </c>
      <c r="D7" s="84" t="s">
        <v>6119</v>
      </c>
      <c r="E7" s="85" t="s">
        <v>6181</v>
      </c>
      <c r="F7" s="86" t="s">
        <v>4937</v>
      </c>
      <c r="G7" s="84" t="s">
        <v>3717</v>
      </c>
      <c r="H7" s="84" t="s">
        <v>1244</v>
      </c>
      <c r="I7"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data-status="Exceeded Units/Benefits Exhaustion" data-action="Client Assistance Required" data-source="Analyse|Web|Call" data-category="Assistance Needed From NSHA" data-sub="Exceeded Units/Visits" data-reason="Benefit maximum for this time period or occurrence has been reached" data-carc="CO 119" data-rarc="N362"&gt;
  &lt;td class="c-code"&gt;Exceeded Units/Benefits Exhaustion&lt;/td&gt;
  &lt;td class="c-code"&gt;Client Assistance Required&lt;/td&gt;
  &lt;td class="c-code"&gt;Analyse|Web|Call&lt;/td&gt;
  &lt;td&gt;&lt;span class="chip chip-amber"&gt;⚙ Assistance Needed From NSHA&lt;/span&gt;&lt;/td&gt;
  &lt;td class="c-code"&gt;Exceeded Units/Visits&lt;/td&gt;
  &lt;td class="c-wrap"&gt;&lt;span class="deny-text"&gt;Benefit maximum for this time period or occurrence has been reached&lt;/span&gt;&lt;/td&gt;
  &lt;td&gt;&lt;span class="code-pill carc"&gt;CO 119&lt;/span&gt;&lt;/td&gt;
  &lt;td&gt;&lt;span class="code-pill rarc"&gt;N362&lt;/span&gt;&lt;/td&gt;
&lt;/tr&gt;</v>
      </c>
      <c r="J7" s="84" t="s">
        <v>6182</v>
      </c>
    </row>
    <row r="8" spans="1:10" x14ac:dyDescent="0.25">
      <c r="A8" s="84" t="s">
        <v>6163</v>
      </c>
      <c r="B8" s="84" t="s">
        <v>6170</v>
      </c>
      <c r="C8" s="84" t="s">
        <v>6171</v>
      </c>
      <c r="D8" s="84" t="s">
        <v>6119</v>
      </c>
      <c r="E8" s="85" t="s">
        <v>6181</v>
      </c>
      <c r="F8" s="86" t="s">
        <v>4966</v>
      </c>
      <c r="G8" s="84" t="s">
        <v>6183</v>
      </c>
      <c r="H8" s="84" t="s">
        <v>1161</v>
      </c>
      <c r="I8"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data-status="Exceeded Units/Benefits Exhaustion" data-action="Client Assistance Required" data-source="Analyse|Web|Call" data-category="Assistance Needed From NSHA" data-sub="Exceeded Units/Visits" data-reason="Payment adjusted because the payer deems the information submitted does not support this many/frequency of services" data-carc="CO 151" data-rarc="N317"&gt;
  &lt;td class="c-code"&gt;Exceeded Units/Benefits Exhaustion&lt;/td&gt;
  &lt;td class="c-code"&gt;Client Assistance Required&lt;/td&gt;
  &lt;td class="c-code"&gt;Analyse|Web|Call&lt;/td&gt;
  &lt;td&gt;&lt;span class="chip chip-amber"&gt;⚙ Assistance Needed From NSHA&lt;/span&gt;&lt;/td&gt;
  &lt;td class="c-code"&gt;Exceeded Units/Visits&lt;/td&gt;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v>
      </c>
      <c r="J8" s="84" t="s">
        <v>6184</v>
      </c>
    </row>
    <row r="9" spans="1:10" x14ac:dyDescent="0.25">
      <c r="A9" s="84" t="s">
        <v>6135</v>
      </c>
      <c r="B9" s="84" t="s">
        <v>6117</v>
      </c>
      <c r="C9" s="84" t="s">
        <v>6171</v>
      </c>
      <c r="D9" s="84" t="s">
        <v>6119</v>
      </c>
      <c r="E9" s="85" t="s">
        <v>6120</v>
      </c>
      <c r="F9" s="86" t="s">
        <v>5077</v>
      </c>
      <c r="G9" s="84">
        <v>27</v>
      </c>
      <c r="H9" s="84" t="s">
        <v>655</v>
      </c>
      <c r="I9"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data-status="Expenses Incurred After Coverage Terminated" data-action="No Other Payer Found | Recommend Balance Transfer to Patient" data-source="Analyse|Web|Call" data-category="Assistance Needed From NSHA" data-sub="Eligibility / Coverage" data-reason="Expenses incurred after coverage terminated" data-carc="27" data-rarc="N30"&gt;
  &lt;td class="c-code"&gt;Expenses Incurred After Coverage Terminated&lt;/td&gt;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class="deny-text"&gt;Expenses incurred after coverage terminated&lt;/span&gt;&lt;/td&gt;
  &lt;td&gt;&lt;span class="code-pill carc"&gt;27&lt;/span&gt;&lt;/td&gt;
  &lt;td&gt;&lt;span class="code-pill rarc"&gt;N30&lt;/span&gt;&lt;/td&gt;
&lt;/tr&gt;</v>
      </c>
      <c r="J9" s="84" t="s">
        <v>6185</v>
      </c>
    </row>
    <row r="10" spans="1:10" x14ac:dyDescent="0.25">
      <c r="A10" s="84" t="s">
        <v>6143</v>
      </c>
      <c r="B10" s="84" t="s">
        <v>6117</v>
      </c>
      <c r="C10" s="84" t="s">
        <v>6171</v>
      </c>
      <c r="D10" s="84" t="s">
        <v>6119</v>
      </c>
      <c r="E10" s="85" t="s">
        <v>6120</v>
      </c>
      <c r="F10" s="86" t="s">
        <v>148</v>
      </c>
      <c r="G10" s="84">
        <v>26</v>
      </c>
      <c r="H10" s="84" t="s">
        <v>655</v>
      </c>
      <c r="I10"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data-status="Expenses Incurred Prior to Coverage" data-action="No Other Payer Found | Recommend Balance Transfer to Patient" data-source="Analyse|Web|Call" data-category="Assistance Needed From NSHA" data-sub="Eligibility / Coverage" data-reason="Expenses incurred prior to coverage." data-carc="26" data-rarc="N30"&gt;
  &lt;td class="c-code"&gt;Expenses Incurred Prior to Coverage&lt;/td&gt;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class="deny-text"&gt;Expenses incurred prior to coverage.&lt;/span&gt;&lt;/td&gt;
  &lt;td&gt;&lt;span class="code-pill carc"&gt;26&lt;/span&gt;&lt;/td&gt;
  &lt;td&gt;&lt;span class="code-pill rarc"&gt;N30&lt;/span&gt;&lt;/td&gt;
&lt;/tr&gt;</v>
      </c>
      <c r="J10" s="84" t="s">
        <v>6186</v>
      </c>
    </row>
    <row r="11" spans="1:10" x14ac:dyDescent="0.25">
      <c r="A11" s="84" t="s">
        <v>3708</v>
      </c>
      <c r="B11" s="84" t="s">
        <v>6170</v>
      </c>
      <c r="C11" s="84" t="s">
        <v>6171</v>
      </c>
      <c r="D11" s="84" t="s">
        <v>6119</v>
      </c>
      <c r="E11" s="85" t="s">
        <v>6187</v>
      </c>
      <c r="F11" s="86" t="s">
        <v>154</v>
      </c>
      <c r="G11" s="84" t="s">
        <v>3710</v>
      </c>
      <c r="H11" s="84" t="s">
        <v>280</v>
      </c>
      <c r="I11"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data-status="Invalid Authorization" data-action="Client Assistance Required" data-source="Analyse|Web|Call" data-category="Assistance Needed From NSHA" data-sub="Authorization/Referral" data-reason="Precertification/authorization/notification/pre-treatment absent." data-carc="CO 197" data-rarc="M62"&gt;
  &lt;td class="c-code"&gt;Invalid Authorization&lt;/td&gt;
  &lt;td class="c-code"&gt;Client Assistance Required&lt;/td&gt;
  &lt;td class="c-code"&gt;Analyse|Web|Call&lt;/td&gt;
  &lt;td&gt;&lt;span class="chip chip-amber"&gt;⚙ Assistance Needed From NSHA&lt;/span&gt;&lt;/td&gt;
  &lt;td class="c-code"&gt;Authorization/Referral&lt;/td&gt;
  &lt;td class="c-wrap"&gt;&lt;span class="deny-text"&gt;Precertification/authorization/notification/pre-treatment absent.&lt;/span&gt;&lt;/td&gt;
  &lt;td&gt;&lt;span class="code-pill carc"&gt;CO 197&lt;/span&gt;&lt;/td&gt;
  &lt;td&gt;&lt;span class="code-pill rarc"&gt;M62&lt;/span&gt;&lt;/td&gt;
&lt;/tr&gt;</v>
      </c>
      <c r="J11" s="84" t="s">
        <v>6188</v>
      </c>
    </row>
    <row r="12" spans="1:10" x14ac:dyDescent="0.25">
      <c r="A12" s="84" t="s">
        <v>3708</v>
      </c>
      <c r="B12" s="84" t="s">
        <v>6170</v>
      </c>
      <c r="C12" s="84" t="s">
        <v>6171</v>
      </c>
      <c r="D12" s="84" t="s">
        <v>6119</v>
      </c>
      <c r="E12" s="85" t="s">
        <v>6187</v>
      </c>
      <c r="F12" s="86" t="s">
        <v>149</v>
      </c>
      <c r="G12" s="84" t="s">
        <v>6189</v>
      </c>
      <c r="H12" s="84" t="s">
        <v>280</v>
      </c>
      <c r="I12"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data-status="Invalid Authorization" data-action="Client Assistance Required" data-source="Analyse|Web|Call" data-category="Assistance Needed From NSHA" data-sub="Authorization/Referral" data-reason="Services denied at the time authorization/pre-certification was requested." data-carc="CO 39" data-rarc="M62"&gt;
  &lt;td class="c-code"&gt;Invalid Authorization&lt;/td&gt;
  &lt;td class="c-code"&gt;Client Assistance Required&lt;/td&gt;
  &lt;td class="c-code"&gt;Analyse|Web|Call&lt;/td&gt;
  &lt;td&gt;&lt;span class="chip chip-amber"&gt;⚙ Assistance Needed From NSHA&lt;/span&gt;&lt;/td&gt;
  &lt;td class="c-code"&gt;Authorization/Referral&lt;/td&gt;
  &lt;td class="c-wrap"&gt;&lt;span class="deny-text"&gt;Services denied at the time authorization/pre-certification was requested.&lt;/span&gt;&lt;/td&gt;
  &lt;td&gt;&lt;span class="code-pill carc"&gt;CO 39&lt;/span&gt;&lt;/td&gt;
  &lt;td&gt;&lt;span class="code-pill rarc"&gt;M62&lt;/span&gt;&lt;/td&gt;
&lt;/tr&gt;</v>
      </c>
      <c r="J12" s="84" t="s">
        <v>6190</v>
      </c>
    </row>
    <row r="13" spans="1:10" x14ac:dyDescent="0.25">
      <c r="A13" s="84" t="s">
        <v>6116</v>
      </c>
      <c r="B13" s="84" t="s">
        <v>6117</v>
      </c>
      <c r="C13" s="84" t="s">
        <v>6171</v>
      </c>
      <c r="D13" s="84" t="s">
        <v>6119</v>
      </c>
      <c r="E13" s="85" t="s">
        <v>6120</v>
      </c>
      <c r="F13" s="86" t="s">
        <v>5036</v>
      </c>
      <c r="G13" s="84">
        <v>227</v>
      </c>
      <c r="H13" s="84" t="s">
        <v>545</v>
      </c>
      <c r="I13"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data-status="Missing Plan Information for Other Insurance" data-action="No Other Payer Found | Recommend Balance Transfer to Patient" data-source="Analyse|Web|Call" data-category="Assistance Needed From NSHA" data-sub="Eligibility / Coverage" data-reason="Information requested from the patient/insured/responsible party was not provided or was insufficient/incomplete" data-carc="227" data-rarc="MA92"&gt;
  &lt;td class="c-code"&gt;Missing Plan Information for Other Insurance&lt;/td&gt;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class="deny-text"&gt;Information requested from the patient/insured/responsible party was not provided or was insufficient/incomplete&lt;/span&gt;&lt;/td&gt;
  &lt;td&gt;&lt;span class="code-pill carc"&gt;227&lt;/span&gt;&lt;/td&gt;
  &lt;td&gt;&lt;span class="code-pill rarc"&gt;MA92&lt;/span&gt;&lt;/td&gt;
&lt;/tr&gt;</v>
      </c>
      <c r="J13" s="84" t="s">
        <v>6191</v>
      </c>
    </row>
    <row r="14" spans="1:10" x14ac:dyDescent="0.25">
      <c r="A14" s="84" t="s">
        <v>6192</v>
      </c>
      <c r="B14" s="84" t="s">
        <v>6170</v>
      </c>
      <c r="C14" s="84" t="s">
        <v>6171</v>
      </c>
      <c r="D14" s="84" t="s">
        <v>6119</v>
      </c>
      <c r="E14" s="85" t="s">
        <v>6193</v>
      </c>
      <c r="F14" s="86" t="s">
        <v>4985</v>
      </c>
      <c r="G14" s="84" t="s">
        <v>6194</v>
      </c>
      <c r="H14" s="84" t="s">
        <v>450</v>
      </c>
      <c r="I14"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data-status="Missing/incomplete/Invalid Type of Bill" data-action="Client Assistance Required" data-source="Analyse|Web|Call" data-category="Assistance Needed From NSHA" data-sub="Incorrect/Invalid/Missing POS|TOB" data-reason="Payment is denied when performed/billed by this type of provider in this type of facility" data-carc="CO 171" data-rarc="MA30"&gt;
  &lt;td class="c-code"&gt;Missing/incomplete/Invalid Type of Bill&lt;/td&gt;
  &lt;td class="c-code"&gt;Client Assistance Required&lt;/td&gt;
  &lt;td class="c-code"&gt;Analyse|Web|Call&lt;/td&gt;
  &lt;td&gt;&lt;span class="chip chip-amber"&gt;⚙ Assistance Needed From NSHA&lt;/span&gt;&lt;/td&gt;
  &lt;td class="c-code"&gt;Incorrect/Invalid/Missing POS|TOB&lt;/td&gt;
  &lt;td class="c-wrap"&gt;&lt;span class="deny-text"&gt;Payment is denied when performed/billed by this type of provider in this type of facility&lt;/span&gt;&lt;/td&gt;
  &lt;td&gt;&lt;span class="code-pill carc"&gt;CO 171&lt;/span&gt;&lt;/td&gt;
  &lt;td&gt;&lt;span class="code-pill rarc"&gt;MA30&lt;/span&gt;&lt;/td&gt;
&lt;/tr&gt;</v>
      </c>
      <c r="J14" s="84" t="s">
        <v>6195</v>
      </c>
    </row>
    <row r="15" spans="1:10" x14ac:dyDescent="0.25">
      <c r="A15" s="84" t="s">
        <v>6192</v>
      </c>
      <c r="B15" s="84" t="s">
        <v>6196</v>
      </c>
      <c r="C15" s="84" t="s">
        <v>6171</v>
      </c>
      <c r="D15" s="84" t="s">
        <v>6119</v>
      </c>
      <c r="E15" s="85" t="s">
        <v>6193</v>
      </c>
      <c r="F15" s="86" t="s">
        <v>4985</v>
      </c>
      <c r="G15" s="84" t="s">
        <v>6194</v>
      </c>
      <c r="H15" s="84" t="s">
        <v>450</v>
      </c>
      <c r="I15"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data-status="Missing/incomplete/Invalid Type of Bill" data-action="Corrected Claim Resubmitted" data-source="Analyse|Web|Call" data-category="Assistance Needed From NSHA" data-sub="Incorrect/Invalid/Missing POS|TOB" data-reason="Payment is denied when performed/billed by this type of provider in this type of facility" data-carc="CO 171" data-rarc="MA30"&gt;
  &lt;td class="c-code"&gt;Missing/incomplete/Invalid Type of Bill&lt;/td&gt;
  &lt;td class="c-code"&gt;Corrected Claim Resubmitted&lt;/td&gt;
  &lt;td class="c-code"&gt;Analyse|Web|Call&lt;/td&gt;
  &lt;td&gt;&lt;span class="chip chip-amber"&gt;⚙ Assistance Needed From NSHA&lt;/span&gt;&lt;/td&gt;
  &lt;td class="c-code"&gt;Incorrect/Invalid/Missing POS|TOB&lt;/td&gt;
  &lt;td class="c-wrap"&gt;&lt;span class="deny-text"&gt;Payment is denied when performed/billed by this type of provider in this type of facility&lt;/span&gt;&lt;/td&gt;
  &lt;td&gt;&lt;span class="code-pill carc"&gt;CO 171&lt;/span&gt;&lt;/td&gt;
  &lt;td&gt;&lt;span class="code-pill rarc"&gt;MA30&lt;/span&gt;&lt;/td&gt;
&lt;/tr&gt;</v>
      </c>
      <c r="J15" s="84" t="s">
        <v>6197</v>
      </c>
    </row>
    <row r="16" spans="1:10" x14ac:dyDescent="0.25">
      <c r="A16" s="84" t="s">
        <v>6198</v>
      </c>
      <c r="B16" s="84" t="s">
        <v>6170</v>
      </c>
      <c r="C16" s="84" t="s">
        <v>6171</v>
      </c>
      <c r="D16" s="84" t="s">
        <v>6119</v>
      </c>
      <c r="E16" s="85" t="s">
        <v>6199</v>
      </c>
      <c r="F16" s="86" t="s">
        <v>4974</v>
      </c>
      <c r="G16" s="84">
        <v>16</v>
      </c>
      <c r="H16" s="84" t="s">
        <v>262</v>
      </c>
      <c r="I16"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data-status="New Patient Qualifications were not met" data-action="Client Assistance Required" data-source="Analyse|Web|Call" data-category="Assistance Needed From NSHA" data-sub="Procedure Related" data-reason="Claim/service lacks information or has submission/billing error(s) which is needed for adjudication" data-carc="16" data-rarc="M51"&gt;
  &lt;td class="c-code"&gt;New Patient Qualifications were not met&lt;/td&gt;
  &lt;td class="c-code"&gt;Client Assistance Required&lt;/td&gt;
  &lt;td class="c-code"&gt;Analyse|Web|Call&lt;/td&gt;
  &lt;td&gt;&lt;span class="chip chip-amber"&gt;⚙ Assistance Needed From NSHA&lt;/span&gt;&lt;/td&gt;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rarc"&gt;M51&lt;/span&gt;&lt;/td&gt;
&lt;/tr&gt;</v>
      </c>
      <c r="J16" s="84" t="s">
        <v>6200</v>
      </c>
    </row>
    <row r="17" spans="1:10" x14ac:dyDescent="0.25">
      <c r="A17" s="84" t="s">
        <v>6201</v>
      </c>
      <c r="B17" s="84" t="s">
        <v>6117</v>
      </c>
      <c r="C17" s="84" t="s">
        <v>6171</v>
      </c>
      <c r="D17" s="84" t="s">
        <v>6119</v>
      </c>
      <c r="E17" s="85" t="s">
        <v>6202</v>
      </c>
      <c r="F17" s="86" t="s">
        <v>163</v>
      </c>
      <c r="G17" s="84">
        <v>242</v>
      </c>
      <c r="H17" s="84" t="s">
        <v>1326</v>
      </c>
      <c r="I17"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data-status="No Denial | Claim Paid" data-action="No Other Payer Found | Recommend Balance Transfer to Patient" data-source="Analyse|Web|Call" data-category="Assistance Needed From NSHA" data-sub="No Secondary Active - Bal Transfer to Patient" data-reason="Services not provided by network/primary care providers." data-carc="242" data-rarc="N408"&gt;
  &lt;td class="c-code"&gt;No Denial | Claim Paid&lt;/td&gt;
  &lt;td class="c-code"&gt;No Other Payer Found | Recommend Balance Transfer to Patient&lt;/td&gt;
  &lt;td class="c-code"&gt;Analyse|Web|Call&lt;/td&gt;
  &lt;td&gt;&lt;span class="chip chip-amber"&gt;⚙ Assistance Needed From NSHA&lt;/span&gt;&lt;/td&gt;
  &lt;td class="c-code"&gt;No Secondary Active - Bal Transfer to Patient&lt;/td&gt;
  &lt;td class="c-wrap"&gt;&lt;span class="deny-text"&gt;Services not provided by network/primary care providers.&lt;/span&gt;&lt;/td&gt;
  &lt;td&gt;&lt;span class="code-pill carc"&gt;242&lt;/span&gt;&lt;/td&gt;
  &lt;td&gt;&lt;span class="code-pill rarc"&gt;N408&lt;/span&gt;&lt;/td&gt;
&lt;/tr&gt;</v>
      </c>
      <c r="J17" s="84" t="s">
        <v>6203</v>
      </c>
    </row>
    <row r="18" spans="1:10" x14ac:dyDescent="0.25">
      <c r="A18" s="84" t="s">
        <v>6201</v>
      </c>
      <c r="B18" s="84" t="s">
        <v>6204</v>
      </c>
      <c r="C18" s="84" t="s">
        <v>6171</v>
      </c>
      <c r="D18" s="84" t="s">
        <v>6119</v>
      </c>
      <c r="E18" s="85" t="s">
        <v>6156</v>
      </c>
      <c r="F18" s="86" t="s">
        <v>4966</v>
      </c>
      <c r="G18" s="84" t="s">
        <v>6183</v>
      </c>
      <c r="H18" s="84" t="s">
        <v>1161</v>
      </c>
      <c r="I18"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data-status="No Denial | Claim Paid" data-action="Payment Already Posted In CPSI | Ignored" data-source="Analyse|Web|Call" data-category="Assistance Needed From NSHA" data-sub="Paid" data-reason="Payment adjusted because the payer deems the information submitted does not support this many/frequency of services" data-carc="CO 151" data-rarc="N317"&gt;
  &lt;td class="c-code"&gt;No Denial | Claim Paid&lt;/td&gt;
  &lt;td class="c-code"&gt;Payment Already Posted In CPSI | Ignored&lt;/td&gt;
  &lt;td class="c-code"&gt;Analyse|Web|Call&lt;/td&gt;
  &lt;td&gt;&lt;span class="chip chip-amber"&gt;⚙ Assistance Needed From NSHA&lt;/span&gt;&lt;/td&gt;
  &lt;td class="c-code"&gt;Paid&lt;/td&gt;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v>
      </c>
      <c r="J18" s="84" t="s">
        <v>6205</v>
      </c>
    </row>
    <row r="19" spans="1:10" x14ac:dyDescent="0.25">
      <c r="A19" s="84" t="s">
        <v>6206</v>
      </c>
      <c r="B19" s="84" t="s">
        <v>6117</v>
      </c>
      <c r="C19" s="84" t="s">
        <v>6171</v>
      </c>
      <c r="D19" s="84" t="s">
        <v>6119</v>
      </c>
      <c r="E19" s="85" t="s">
        <v>6207</v>
      </c>
      <c r="F19" s="86" t="s">
        <v>1404</v>
      </c>
      <c r="G19" s="84">
        <v>96</v>
      </c>
      <c r="H19" s="84" t="s">
        <v>1403</v>
      </c>
      <c r="I19"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data-status="Non-Covered Service Under Patient" data-action="No Other Payer Found | Recommend Balance Transfer to Patient" data-source="Analyse|Web|Call" data-category="Assistance Needed From NSHA" data-sub="Non-Covered Service" data-reason="This drug/service/supply is not included in the fee schedule or contracted/legislated fee arrangement." data-carc="96" data-rarc="N448"&gt;
  &lt;td class="c-code"&gt;Non-Covered Service Under Patient&lt;/td&gt;
  &lt;td class="c-code"&gt;No Other Payer Found | Recommend Balance Transfer to Patient&lt;/td&gt;
  &lt;td class="c-code"&gt;Analyse|Web|Call&lt;/td&gt;
  &lt;td&gt;&lt;span class="chip chip-amber"&gt;⚙ Assistance Needed From NSHA&lt;/span&gt;&lt;/td&gt;
  &lt;td class="c-code"&gt;Non-Covered Service&lt;/td&gt;
  &lt;td class="c-wrap"&gt;&lt;span class="deny-text"&gt;This drug/service/supply is not included in the fee schedule or contracted/legislated fee arrangement.&lt;/span&gt;&lt;/td&gt;
  &lt;td&gt;&lt;span class="code-pill carc"&gt;96&lt;/span&gt;&lt;/td&gt;
  &lt;td&gt;&lt;span class="code-pill rarc"&gt;N448&lt;/span&gt;&lt;/td&gt;
&lt;/tr&gt;</v>
      </c>
      <c r="J19" s="84" t="s">
        <v>6208</v>
      </c>
    </row>
    <row r="20" spans="1:10" x14ac:dyDescent="0.25">
      <c r="A20" s="84" t="s">
        <v>6209</v>
      </c>
      <c r="B20" s="84" t="s">
        <v>6170</v>
      </c>
      <c r="C20" s="84" t="s">
        <v>6171</v>
      </c>
      <c r="D20" s="84" t="s">
        <v>6119</v>
      </c>
      <c r="E20" s="85" t="s">
        <v>6207</v>
      </c>
      <c r="F20" s="86" t="s">
        <v>6210</v>
      </c>
      <c r="G20" s="84">
        <v>96</v>
      </c>
      <c r="H20" s="84" t="s">
        <v>491</v>
      </c>
      <c r="I20"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data-status="Non-Covered Service Under Provider" data-action="Client Assistance Required" data-source="Analyse|Web|Call" data-category="Assistance Needed From NSHA" data-sub="Non-Covered Service" data-reason="This service is not covered when performed by this provider." data-carc="96" data-rarc="MA56"&gt;
  &lt;td class="c-code"&gt;Non-Covered Service Under Provider&lt;/td&gt;
  &lt;td class="c-code"&gt;Client Assistance Required&lt;/td&gt;
  &lt;td class="c-code"&gt;Analyse|Web|Call&lt;/td&gt;
  &lt;td&gt;&lt;span class="chip chip-amber"&gt;⚙ Assistance Needed From NSHA&lt;/span&gt;&lt;/td&gt;
  &lt;td class="c-code"&gt;Non-Covered Service&lt;/td&gt;
  &lt;td class="c-wrap"&gt;&lt;span class="deny-text"&gt;This service is not covered when performed by this provider.&lt;/span&gt;&lt;/td&gt;
  &lt;td&gt;&lt;span class="code-pill carc"&gt;96&lt;/span&gt;&lt;/td&gt;
  &lt;td&gt;&lt;span class="code-pill rarc"&gt;MA56&lt;/span&gt;&lt;/td&gt;
&lt;/tr&gt;</v>
      </c>
      <c r="J20" s="84" t="s">
        <v>6211</v>
      </c>
    </row>
    <row r="21" spans="1:10" x14ac:dyDescent="0.25">
      <c r="A21" s="84" t="s">
        <v>6212</v>
      </c>
      <c r="B21" s="84" t="s">
        <v>6170</v>
      </c>
      <c r="C21" s="84" t="s">
        <v>6171</v>
      </c>
      <c r="D21" s="84" t="s">
        <v>6119</v>
      </c>
      <c r="E21" s="85" t="s">
        <v>6212</v>
      </c>
      <c r="F21" s="86" t="s">
        <v>4974</v>
      </c>
      <c r="G21" s="84">
        <v>16</v>
      </c>
      <c r="H21" s="84" t="s">
        <v>557</v>
      </c>
      <c r="I21"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data-status="Occurrence Code/Date Related" data-action="Client Assistance Required" data-source="Analyse|Web|Call" data-category="Assistance Needed From NSHA" data-sub="Occurrence Code/Date Related" data-reason="Claim/service lacks information or has submission/billing error(s) which is needed for adjudication" data-carc="16" data-rarc="MA100"&gt;
  &lt;td class="c-code"&gt;Occurrence Code/Date Related&lt;/td&gt;
  &lt;td class="c-code"&gt;Client Assistance Required&lt;/td&gt;
  &lt;td class="c-code"&gt;Analyse|Web|Call&lt;/td&gt;
  &lt;td&gt;&lt;span class="chip chip-amber"&gt;⚙ Assistance Needed From NSHA&lt;/span&gt;&lt;/td&gt;
  &lt;td class="c-code"&gt;Occurrence Code/Date Related&lt;/td&gt;
  &lt;td class="c-wrap"&gt;&lt;span class="deny-text"&gt;Claim/service lacks information or has submission/billing error(s) which is needed for adjudication&lt;/span&gt;&lt;/td&gt;
  &lt;td&gt;&lt;span class="code-pill carc"&gt;16&lt;/span&gt;&lt;/td&gt;
  &lt;td&gt;&lt;span class="code-pill rarc"&gt;MA100&lt;/span&gt;&lt;/td&gt;
&lt;/tr&gt;</v>
      </c>
      <c r="J21" s="84" t="s">
        <v>6213</v>
      </c>
    </row>
    <row r="22" spans="1:10" x14ac:dyDescent="0.25">
      <c r="A22" s="84" t="s">
        <v>6142</v>
      </c>
      <c r="B22" s="84" t="s">
        <v>6131</v>
      </c>
      <c r="C22" s="84" t="s">
        <v>6171</v>
      </c>
      <c r="D22" s="84" t="s">
        <v>6119</v>
      </c>
      <c r="E22" s="85" t="s">
        <v>6120</v>
      </c>
      <c r="F22" s="86" t="s">
        <v>4974</v>
      </c>
      <c r="G22" s="84">
        <v>16</v>
      </c>
      <c r="H22" s="84" t="s">
        <v>1276</v>
      </c>
      <c r="I22"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data-status="Patient Cannot be Identified as Our Insured" data-action="Member ID Not Found |Recommend Balance Transfer to Patient" data-source="Analyse|Web|Call" data-category="Assistance Needed From NSHA" data-sub="Eligibility / Coverage" data-reason="Claim/service lacks information or has submission/billing error(s) which is needed for adjudication" data-carc="16" data-rarc="N382"&gt;
  &lt;td class="c-code"&gt;Patient Cannot be Identified as Our Insured&lt;/td&gt;
  &lt;td class="c-code"&gt;Member ID Not Found |Recommend Balance Transfer to Patient&lt;/td&gt;
  &lt;td class="c-code"&gt;Analyse|Web|Call&lt;/td&gt;
  &lt;td&gt;&lt;span class="chip chip-amber"&gt;⚙ Assistance Needed From NSHA&lt;/span&gt;&lt;/td&gt;
  &lt;td class="c-code"&gt;Eligibility / Coverage&lt;/td&gt;
  &lt;td class="c-wrap"&gt;&lt;span class="deny-text"&gt;Claim/service lacks information or has submission/billing error(s) which is needed for adjudication&lt;/span&gt;&lt;/td&gt;
  &lt;td&gt;&lt;span class="code-pill carc"&gt;16&lt;/span&gt;&lt;/td&gt;
  &lt;td&gt;&lt;span class="code-pill rarc"&gt;N382&lt;/span&gt;&lt;/td&gt;
&lt;/tr&gt;</v>
      </c>
      <c r="J22" s="84" t="s">
        <v>6214</v>
      </c>
    </row>
    <row r="23" spans="1:10" x14ac:dyDescent="0.25">
      <c r="A23" s="84" t="s">
        <v>6142</v>
      </c>
      <c r="B23" s="84" t="s">
        <v>6117</v>
      </c>
      <c r="C23" s="84" t="s">
        <v>6171</v>
      </c>
      <c r="D23" s="84" t="s">
        <v>6119</v>
      </c>
      <c r="E23" s="85" t="s">
        <v>6120</v>
      </c>
      <c r="F23" s="86" t="s">
        <v>5105</v>
      </c>
      <c r="G23" s="84">
        <v>31</v>
      </c>
      <c r="H23" s="84" t="s">
        <v>500</v>
      </c>
      <c r="I23"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data-status="Patient Cannot be Identified as Our Insured" data-action="No Other Payer Found | Recommend Balance Transfer to Patient" data-source="Analyse|Web|Call" data-category="Assistance Needed From NSHA" data-sub="Eligibility / Coverage" data-reason="Patient cannot be identified as our insured" data-carc="31" data-rarc="MA61"&gt;
  &lt;td class="c-code"&gt;Patient Cannot be Identified as Our Insured&lt;/td&gt;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class="deny-text"&gt;Patient cannot be identified as our insured&lt;/span&gt;&lt;/td&gt;
  &lt;td&gt;&lt;span class="code-pill carc"&gt;31&lt;/span&gt;&lt;/td&gt;
  &lt;td&gt;&lt;span class="code-pill rarc"&gt;MA61&lt;/span&gt;&lt;/td&gt;
&lt;/tr&gt;</v>
      </c>
      <c r="J23" s="84" t="s">
        <v>6215</v>
      </c>
    </row>
    <row r="24" spans="1:10" x14ac:dyDescent="0.25">
      <c r="A24" s="84" t="s">
        <v>6216</v>
      </c>
      <c r="B24" s="84" t="s">
        <v>6170</v>
      </c>
      <c r="C24" s="84" t="s">
        <v>6171</v>
      </c>
      <c r="D24" s="84" t="s">
        <v>6119</v>
      </c>
      <c r="E24" s="85" t="s">
        <v>6217</v>
      </c>
      <c r="F24" s="86" t="s">
        <v>4974</v>
      </c>
      <c r="G24" s="84">
        <v>16</v>
      </c>
      <c r="H24" s="84" t="s">
        <v>6218</v>
      </c>
      <c r="I24"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data-status="Patient Not Found CPSI" data-action="Client Assistance Required" data-source="Analyse|Web|Call" data-category="Assistance Needed From NSHA" data-sub="Patient Account Numbe Invalid" data-reason="Claim/service lacks information or has submission/billing error(s) which is needed for adjudication" data-carc="16" data-rarc="-"&gt;
  &lt;td class="c-code"&gt;Patient Not Found CPSI&lt;/td&gt;
  &lt;td class="c-code"&gt;Client Assistance Required&lt;/td&gt;
  &lt;td class="c-code"&gt;Analyse|Web|Call&lt;/td&gt;
  &lt;td&gt;&lt;span class="chip chip-amber"&gt;⚙ Assistance Needed From NSHA&lt;/span&gt;&lt;/td&gt;
  &lt;td class="c-code"&gt;Patient Account Numbe Invalid&lt;/td&gt;
  &lt;td class="c-wrap"&gt;&lt;span class="deny-text"&gt;Claim/service lacks information or has submission/billing error(s) which is needed for adjudication&lt;/span&gt;&lt;/td&gt;
  &lt;td&gt;&lt;span class="code-pill carc"&gt;16&lt;/span&gt;&lt;/td&gt;
  &lt;td&gt;&lt;span class="code-pill rarc"&gt;-&lt;/span&gt;&lt;/td&gt;
&lt;/tr&gt;</v>
      </c>
      <c r="J24" s="84" t="s">
        <v>6219</v>
      </c>
    </row>
    <row r="25" spans="1:10" x14ac:dyDescent="0.25">
      <c r="A25" s="84" t="s">
        <v>6220</v>
      </c>
      <c r="B25" s="84" t="s">
        <v>6170</v>
      </c>
      <c r="C25" s="84" t="s">
        <v>6171</v>
      </c>
      <c r="D25" s="84" t="s">
        <v>6119</v>
      </c>
      <c r="E25" s="85" t="s">
        <v>6193</v>
      </c>
      <c r="F25" s="86" t="s">
        <v>5120</v>
      </c>
      <c r="G25" s="84" t="s">
        <v>6221</v>
      </c>
      <c r="H25" s="84" t="s">
        <v>337</v>
      </c>
      <c r="I25"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data-status="POS &amp; Procedure Not Matched" data-action="Client Assistance Required" data-source="Analyse|Web|Call" data-category="Assistance Needed From NSHA" data-sub="Incorrect/Invalid/Missing POS|TOB" data-reason="The procedure code/bill type is inconsistent with the place of service" data-carc="CO 5" data-rarc="M97"&gt;
  &lt;td class="c-code"&gt;POS &amp; Procedure Not Matched&lt;/td&gt;
  &lt;td class="c-code"&gt;Client Assistance Required&lt;/td&gt;
  &lt;td class="c-code"&gt;Analyse|Web|Call&lt;/td&gt;
  &lt;td&gt;&lt;span class="chip chip-amber"&gt;⚙ Assistance Needed From NSHA&lt;/span&gt;&lt;/td&gt;
  &lt;td class="c-code"&gt;Incorrect/Invalid/Missing POS|TOB&lt;/td&gt;
  &lt;td class="c-wrap"&gt;&lt;span class="deny-text"&gt;The procedure code/bill type is inconsistent with the place of service&lt;/span&gt;&lt;/td&gt;
  &lt;td&gt;&lt;span class="code-pill carc"&gt;CO 5&lt;/span&gt;&lt;/td&gt;
  &lt;td&gt;&lt;span class="code-pill rarc"&gt;M97&lt;/span&gt;&lt;/td&gt;
&lt;/tr&gt;</v>
      </c>
      <c r="J25" s="84" t="s">
        <v>6222</v>
      </c>
    </row>
    <row r="26" spans="1:10" x14ac:dyDescent="0.25">
      <c r="A26" s="84" t="s">
        <v>6220</v>
      </c>
      <c r="B26" s="84" t="s">
        <v>6179</v>
      </c>
      <c r="C26" s="84" t="s">
        <v>6171</v>
      </c>
      <c r="D26" s="84" t="s">
        <v>6119</v>
      </c>
      <c r="E26" s="85" t="s">
        <v>6193</v>
      </c>
      <c r="F26" s="86" t="s">
        <v>5120</v>
      </c>
      <c r="G26" s="84" t="s">
        <v>6221</v>
      </c>
      <c r="H26" s="84" t="s">
        <v>337</v>
      </c>
      <c r="I26"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data-status="POS &amp; Procedure Not Matched" data-action="To Fix split claim" data-source="Analyse|Web|Call" data-category="Assistance Needed From NSHA" data-sub="Incorrect/Invalid/Missing POS|TOB" data-reason="The procedure code/bill type is inconsistent with the place of service" data-carc="CO 5" data-rarc="M97"&gt;
  &lt;td class="c-code"&gt;POS &amp; Procedure Not Matched&lt;/td&gt;
  &lt;td class="c-code"&gt;To Fix split claim&lt;/td&gt;
  &lt;td class="c-code"&gt;Analyse|Web|Call&lt;/td&gt;
  &lt;td&gt;&lt;span class="chip chip-amber"&gt;⚙ Assistance Needed From NSHA&lt;/span&gt;&lt;/td&gt;
  &lt;td class="c-code"&gt;Incorrect/Invalid/Missing POS|TOB&lt;/td&gt;
  &lt;td class="c-wrap"&gt;&lt;span class="deny-text"&gt;The procedure code/bill type is inconsistent with the place of service&lt;/span&gt;&lt;/td&gt;
  &lt;td&gt;&lt;span class="code-pill carc"&gt;CO 5&lt;/span&gt;&lt;/td&gt;
  &lt;td&gt;&lt;span class="code-pill rarc"&gt;M97&lt;/span&gt;&lt;/td&gt;
&lt;/tr&gt;</v>
      </c>
      <c r="J26" s="84" t="s">
        <v>6223</v>
      </c>
    </row>
    <row r="27" spans="1:10" x14ac:dyDescent="0.25">
      <c r="A27" s="84" t="s">
        <v>6126</v>
      </c>
      <c r="B27" s="84" t="s">
        <v>6117</v>
      </c>
      <c r="C27" s="84" t="s">
        <v>6171</v>
      </c>
      <c r="D27" s="84" t="s">
        <v>6119</v>
      </c>
      <c r="E27" s="85" t="s">
        <v>6120</v>
      </c>
      <c r="F27" s="86" t="s">
        <v>5061</v>
      </c>
      <c r="G27" s="84">
        <v>252</v>
      </c>
      <c r="H27" s="84" t="s">
        <v>615</v>
      </c>
      <c r="I27"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data-status="Primary Carrier EOB Missing" data-action="No Other Payer Found | Recommend Balance Transfer to Patient" data-source="Analyse|Web|Call" data-category="Assistance Needed From NSHA" data-sub="Eligibility / Coverage" data-reason="An attachment/other documentation is required to adjudicate this claim/service. At least one Remark Code must be provided" data-carc="252" data-rarc="N4"&gt;
  &lt;td class="c-code"&gt;Primary Carrier EOB Missing&lt;/td&gt;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v>
      </c>
      <c r="J27" s="84" t="s">
        <v>6224</v>
      </c>
    </row>
    <row r="28" spans="1:10" x14ac:dyDescent="0.25">
      <c r="A28" s="84" t="s">
        <v>6126</v>
      </c>
      <c r="B28" s="84" t="s">
        <v>6117</v>
      </c>
      <c r="C28" s="84" t="s">
        <v>6171</v>
      </c>
      <c r="D28" s="84" t="s">
        <v>6119</v>
      </c>
      <c r="E28" s="85" t="s">
        <v>6120</v>
      </c>
      <c r="F28" s="86" t="s">
        <v>4974</v>
      </c>
      <c r="G28" s="84">
        <v>16</v>
      </c>
      <c r="H28" s="84" t="s">
        <v>417</v>
      </c>
      <c r="I28"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data-status="Primary Carrier EOB Missing" data-action="No Other Payer Found | Recommend Balance Transfer to Patient" data-source="Analyse|Web|Call" data-category="Assistance Needed From NSHA" data-sub="Eligibility / Coverage" data-reason="Claim/service lacks information or has submission/billing error(s) which is needed for adjudication" data-carc="16" data-rarc="MA04"&gt;
  &lt;td class="c-code"&gt;Primary Carrier EOB Missing&lt;/td&gt;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class="deny-text"&gt;Claim/service lacks information or has submission/billing error(s) which is needed for adjudication&lt;/span&gt;&lt;/td&gt;
  &lt;td&gt;&lt;span class="code-pill carc"&gt;16&lt;/span&gt;&lt;/td&gt;
  &lt;td&gt;&lt;span class="code-pill rarc"&gt;MA04&lt;/span&gt;&lt;/td&gt;
&lt;/tr&gt;</v>
      </c>
      <c r="J28" s="84" t="s">
        <v>6225</v>
      </c>
    </row>
    <row r="29" spans="1:10" x14ac:dyDescent="0.25">
      <c r="A29" s="84" t="s">
        <v>6126</v>
      </c>
      <c r="B29" s="84" t="s">
        <v>6226</v>
      </c>
      <c r="C29" s="84" t="s">
        <v>6171</v>
      </c>
      <c r="D29" s="84" t="s">
        <v>6119</v>
      </c>
      <c r="E29" s="85" t="s">
        <v>6120</v>
      </c>
      <c r="F29" s="86" t="s">
        <v>5061</v>
      </c>
      <c r="G29" s="84">
        <v>252</v>
      </c>
      <c r="H29" s="84" t="s">
        <v>615</v>
      </c>
      <c r="I29"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data-status="Primary Carrier EOB Missing" data-action="Paper Submission Required EOB" data-source="Analyse|Web|Call" data-category="Assistance Needed From NSHA" data-sub="Eligibility / Coverage" data-reason="An attachment/other documentation is required to adjudicate this claim/service. At least one Remark Code must be provided" data-carc="252" data-rarc="N4"&gt;
  &lt;td class="c-code"&gt;Primary Carrier EOB Missing&lt;/td&gt;
  &lt;td class="c-code"&gt;Paper Submission Required EOB&lt;/td&gt;
  &lt;td class="c-code"&gt;Analyse|Web|Call&lt;/td&gt;
  &lt;td&gt;&lt;span class="chip chip-amber"&gt;⚙ Assistance Needed From NSHA&lt;/span&gt;&lt;/td&gt;
  &lt;td class="c-code"&gt;Eligibility / Coverage&lt;/td&gt;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v>
      </c>
      <c r="J29" s="84" t="s">
        <v>6227</v>
      </c>
    </row>
    <row r="30" spans="1:10" x14ac:dyDescent="0.25">
      <c r="A30" s="84" t="s">
        <v>6162</v>
      </c>
      <c r="B30" s="84" t="s">
        <v>6170</v>
      </c>
      <c r="C30" s="84" t="s">
        <v>6171</v>
      </c>
      <c r="D30" s="84" t="s">
        <v>6119</v>
      </c>
      <c r="E30" s="85" t="s">
        <v>6156</v>
      </c>
      <c r="F30" s="86" t="s">
        <v>5039</v>
      </c>
      <c r="G30" s="84">
        <v>23</v>
      </c>
      <c r="H30" s="84">
        <v>275</v>
      </c>
      <c r="I30"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data-status="Primary Paid More Than Secondary Allowable" data-action="Client Assistance Required" data-source="Analyse|Web|Call" data-category="Assistance Needed From NSHA" data-sub="Paid" data-reason="The impact of prior payer(s) adjudication including payments and/or adjustments" data-carc="23" data-rarc="275"&gt;
  &lt;td class="c-code"&gt;Primary Paid More Than Secondary Allowable&lt;/td&gt;
  &lt;td class="c-code"&gt;Client Assistance Required&lt;/td&gt;
  &lt;td class="c-code"&gt;Analyse|Web|Call&lt;/td&gt;
  &lt;td&gt;&lt;span class="chip chip-amber"&gt;⚙ Assistance Needed From NSHA&lt;/span&gt;&lt;/td&gt;
  &lt;td class="c-code"&gt;Paid&lt;/td&gt;
  &lt;td class="c-wrap"&gt;&lt;span class="deny-text"&gt;The impact of prior payer(s) adjudication including payments and/or adjustments&lt;/span&gt;&lt;/td&gt;
  &lt;td&gt;&lt;span class="code-pill carc"&gt;23&lt;/span&gt;&lt;/td&gt;
  &lt;td&gt;&lt;span class="code-pill rarc"&gt;275&lt;/span&gt;&lt;/td&gt;
&lt;/tr&gt;</v>
      </c>
      <c r="J30" s="84" t="s">
        <v>6228</v>
      </c>
    </row>
    <row r="31" spans="1:10" x14ac:dyDescent="0.25">
      <c r="A31" s="84" t="s">
        <v>166</v>
      </c>
      <c r="B31" s="84" t="s">
        <v>6170</v>
      </c>
      <c r="C31" s="84" t="s">
        <v>6171</v>
      </c>
      <c r="D31" s="84" t="s">
        <v>6119</v>
      </c>
      <c r="E31" s="85" t="s">
        <v>6187</v>
      </c>
      <c r="F31" s="86" t="s">
        <v>166</v>
      </c>
      <c r="G31" s="84" t="s">
        <v>6229</v>
      </c>
      <c r="H31" s="84" t="s">
        <v>1726</v>
      </c>
      <c r="I31"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data-status="Referral absent" data-action="Client Assistance Required" data-source="Analyse|Web|Call" data-category="Assistance Needed From NSHA" data-sub="Authorization/Referral" data-reason="Referral absent" data-carc="CO 288" data-rarc="N630"&gt;
  &lt;td class="c-code"&gt;Referral absent&lt;/td&gt;
  &lt;td class="c-code"&gt;Client Assistance Required&lt;/td&gt;
  &lt;td class="c-code"&gt;Analyse|Web|Call&lt;/td&gt;
  &lt;td&gt;&lt;span class="chip chip-amber"&gt;⚙ Assistance Needed From NSHA&lt;/span&gt;&lt;/td&gt;
  &lt;td class="c-code"&gt;Authorization/Referral&lt;/td&gt;
  &lt;td class="c-wrap"&gt;&lt;span class="deny-text"&gt;Referral absent&lt;/span&gt;&lt;/td&gt;
  &lt;td&gt;&lt;span class="code-pill carc"&gt;CO 288&lt;/span&gt;&lt;/td&gt;
  &lt;td&gt;&lt;span class="code-pill rarc"&gt;N630&lt;/span&gt;&lt;/td&gt;
&lt;/tr&gt;</v>
      </c>
      <c r="J31" s="84" t="s">
        <v>6230</v>
      </c>
    </row>
    <row r="32" spans="1:10" x14ac:dyDescent="0.25">
      <c r="A32" s="84" t="s">
        <v>6231</v>
      </c>
      <c r="B32" s="84" t="s">
        <v>6170</v>
      </c>
      <c r="C32" s="84" t="s">
        <v>6171</v>
      </c>
      <c r="D32" s="84" t="s">
        <v>6119</v>
      </c>
      <c r="E32" s="85" t="s">
        <v>6231</v>
      </c>
      <c r="F32" s="86" t="s">
        <v>4974</v>
      </c>
      <c r="G32" s="84">
        <v>16</v>
      </c>
      <c r="H32" s="84" t="s">
        <v>1197</v>
      </c>
      <c r="I32"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data-status="Referral Date Missing" data-action="Client Assistance Required" data-source="Analyse|Web|Call" data-category="Assistance Needed From NSHA" data-sub="Referral Date Missing" data-reason="Claim/service lacks information or has submission/billing error(s) which is needed for adjudication" data-carc="16" data-rarc="N335"&gt;
  &lt;td class="c-code"&gt;Referral Date Missing&lt;/td&gt;
  &lt;td class="c-code"&gt;Client Assistance Required&lt;/td&gt;
  &lt;td class="c-code"&gt;Analyse|Web|Call&lt;/td&gt;
  &lt;td&gt;&lt;span class="chip chip-amber"&gt;⚙ Assistance Needed From NSHA&lt;/span&gt;&lt;/td&gt;
  &lt;td class="c-code"&gt;Referral Date Missing&lt;/td&gt;
  &lt;td class="c-wrap"&gt;&lt;span class="deny-text"&gt;Claim/service lacks information or has submission/billing error(s) which is needed for adjudication&lt;/span&gt;&lt;/td&gt;
  &lt;td&gt;&lt;span class="code-pill carc"&gt;16&lt;/span&gt;&lt;/td&gt;
  &lt;td&gt;&lt;span class="code-pill rarc"&gt;N335&lt;/span&gt;&lt;/td&gt;
&lt;/tr&gt;</v>
      </c>
      <c r="J32" s="84" t="s">
        <v>6232</v>
      </c>
    </row>
    <row r="33" spans="1:10" x14ac:dyDescent="0.25">
      <c r="A33" s="84" t="s">
        <v>6233</v>
      </c>
      <c r="B33" s="84" t="s">
        <v>6170</v>
      </c>
      <c r="C33" s="84" t="s">
        <v>6171</v>
      </c>
      <c r="D33" s="84" t="s">
        <v>6119</v>
      </c>
      <c r="E33" s="85" t="s">
        <v>6234</v>
      </c>
      <c r="F33" s="86" t="s">
        <v>5000</v>
      </c>
      <c r="G33" s="84" t="s">
        <v>6235</v>
      </c>
      <c r="H33" s="84" t="s">
        <v>1548</v>
      </c>
      <c r="I33"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data-status="Rendering Provider/Group is Not Eligible" data-action="Client Assistance Required" data-source="Analyse|Web|Call" data-category="Assistance Needed From NSHA" data-sub="Enrolment Expired/Pending" data-reason="The rendering provider is not eligible to perform/render the service billed" data-carc="CO 185" data-rarc="N530"&gt;
  &lt;td class="c-code"&gt;Rendering Provider/Group is Not Eligible&lt;/td&gt;
  &lt;td class="c-code"&gt;Client Assistance Required&lt;/td&gt;
  &lt;td class="c-code"&gt;Analyse|Web|Call&lt;/td&gt;
  &lt;td&gt;&lt;span class="chip chip-amber"&gt;⚙ Assistance Needed From NSHA&lt;/span&gt;&lt;/td&gt;
  &lt;td class="c-code"&gt;Enrolment Expired/Pending&lt;/td&gt;
  &lt;td class="c-wrap"&gt;&lt;span class="deny-text"&gt;The rendering provider is not eligible to perform/render the service billed&lt;/span&gt;&lt;/td&gt;
  &lt;td&gt;&lt;span class="code-pill carc"&gt;CO 185&lt;/span&gt;&lt;/td&gt;
  &lt;td&gt;&lt;span class="code-pill rarc"&gt;N530&lt;/span&gt;&lt;/td&gt;
&lt;/tr&gt;</v>
      </c>
      <c r="J33" s="84" t="s">
        <v>6236</v>
      </c>
    </row>
    <row r="34" spans="1:10" x14ac:dyDescent="0.25">
      <c r="A34" s="84" t="s">
        <v>6237</v>
      </c>
      <c r="B34" s="84" t="s">
        <v>6238</v>
      </c>
      <c r="C34" s="84" t="s">
        <v>6171</v>
      </c>
      <c r="D34" s="84" t="s">
        <v>6119</v>
      </c>
      <c r="E34" s="85" t="s">
        <v>6237</v>
      </c>
      <c r="F34" s="86" t="s">
        <v>6239</v>
      </c>
      <c r="G34" s="84">
        <v>115</v>
      </c>
      <c r="H34" s="84" t="s">
        <v>2003</v>
      </c>
      <c r="I34"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data-status="Reporting Code Not Payable" data-action="Recommend Adjust Off (0501F-0503F Codes are not payable)" data-source="Analyse|Web|Call" data-category="Assistance Needed From NSHA" data-sub="Reporting Code Not Payable" data-reason="This procedure code is for quality reporting/informational purposes only." data-carc="115" data-rarc="N782"&gt;
  &lt;td class="c-code"&gt;Reporting Code Not Payable&lt;/td&gt;
  &lt;td class="c-code"&gt;Recommend Adjust Off (0501F-0503F Codes are not payable)&lt;/td&gt;
  &lt;td class="c-code"&gt;Analyse|Web|Call&lt;/td&gt;
  &lt;td&gt;&lt;span class="chip chip-amber"&gt;⚙ Assistance Needed From NSHA&lt;/span&gt;&lt;/td&gt;
  &lt;td class="c-code"&gt;Reporting Code Not Payable&lt;/td&gt;
  &lt;td class="c-wrap"&gt;&lt;span class="deny-text"&gt;This procedure code is for quality reporting/informational purposes only.&lt;/span&gt;&lt;/td&gt;
  &lt;td&gt;&lt;span class="code-pill carc"&gt;115&lt;/span&gt;&lt;/td&gt;
  &lt;td&gt;&lt;span class="code-pill rarc"&gt;N782&lt;/span&gt;&lt;/td&gt;
&lt;/tr&gt;</v>
      </c>
      <c r="J34" s="84" t="s">
        <v>6240</v>
      </c>
    </row>
    <row r="35" spans="1:10" x14ac:dyDescent="0.25">
      <c r="A35" s="84" t="s">
        <v>6241</v>
      </c>
      <c r="B35" s="84" t="s">
        <v>6226</v>
      </c>
      <c r="C35" s="84" t="s">
        <v>6171</v>
      </c>
      <c r="D35" s="84" t="s">
        <v>6119</v>
      </c>
      <c r="E35" s="85" t="s">
        <v>6242</v>
      </c>
      <c r="F35" s="86" t="s">
        <v>5060</v>
      </c>
      <c r="G35" s="84" t="s">
        <v>6243</v>
      </c>
      <c r="H35" s="84" t="s">
        <v>6244</v>
      </c>
      <c r="I35"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data-status="Requested MR/Itemized Bill" data-action="Paper Submission Required EOB" data-source="Analyse|Web|Call" data-category="Assistance Needed From NSHA" data-sub="Document Requested Itemized Bill | MR" data-reason="The attachment/other documentation is not required for adjudication of this claim/service" data-carc="CO 251" data-rarc="N29"&gt;
  &lt;td class="c-code"&gt;Requested MR/Itemized Bill&lt;/td&gt;
  &lt;td class="c-code"&gt;Paper Submission Required EOB&lt;/td&gt;
  &lt;td class="c-code"&gt;Analyse|Web|Call&lt;/td&gt;
  &lt;td&gt;&lt;span class="chip chip-amber"&gt;⚙ Assistance Needed From NSHA&lt;/span&gt;&lt;/td&gt;
  &lt;td class="c-code"&gt;Document Requested Itemized Bill | MR&lt;/td&gt;
  &lt;td class="c-wrap"&gt;&lt;span class="deny-text"&gt;The attachment/other documentation is not required for adjudication of this claim/service&lt;/span&gt;&lt;/td&gt;
  &lt;td&gt;&lt;span class="code-pill carc"&gt;CO 251&lt;/span&gt;&lt;/td&gt;
  &lt;td&gt;&lt;span class="code-pill rarc"&gt;N29&lt;/span&gt;&lt;/td&gt;
&lt;/tr&gt;</v>
      </c>
      <c r="J35" s="84" t="s">
        <v>6245</v>
      </c>
    </row>
    <row r="36" spans="1:10" x14ac:dyDescent="0.25">
      <c r="A36" s="84" t="s">
        <v>6246</v>
      </c>
      <c r="B36" s="84" t="s">
        <v>6247</v>
      </c>
      <c r="C36" s="84" t="s">
        <v>6171</v>
      </c>
      <c r="D36" s="84" t="s">
        <v>6119</v>
      </c>
      <c r="E36" s="85" t="s">
        <v>6199</v>
      </c>
      <c r="F36" s="86" t="s">
        <v>155</v>
      </c>
      <c r="G36" s="84">
        <v>199</v>
      </c>
      <c r="H36" s="84" t="s">
        <v>1275</v>
      </c>
      <c r="I36"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data-status="Revenue and Procedure Code Mismatch" data-action="Coding Assistance" data-source="Analyse|Web|Call" data-category="Assistance Needed From NSHA" data-sub="Procedure Related" data-reason="Revenue code and Procedure code do not match." data-carc="199" data-rarc="N381"&gt;
  &lt;td class="c-code"&gt;Revenue and Procedure Code Mismatch&lt;/td&gt;
  &lt;td class="c-code"&gt;Coding Assistance&lt;/td&gt;
  &lt;td class="c-code"&gt;Analyse|Web|Call&lt;/td&gt;
  &lt;td&gt;&lt;span class="chip chip-amber"&gt;⚙ Assistance Needed From NSHA&lt;/span&gt;&lt;/td&gt;
  &lt;td class="c-code"&gt;Procedure Related&lt;/td&gt;
  &lt;td class="c-wrap"&gt;&lt;span class="deny-text"&gt;Revenue code and Procedure code do not match.&lt;/span&gt;&lt;/td&gt;
  &lt;td&gt;&lt;span class="code-pill carc"&gt;199&lt;/span&gt;&lt;/td&gt;
  &lt;td&gt;&lt;span class="code-pill rarc"&gt;N381&lt;/span&gt;&lt;/td&gt;
&lt;/tr&gt;</v>
      </c>
      <c r="J36" s="84" t="s">
        <v>6248</v>
      </c>
    </row>
    <row r="37" spans="1:10" x14ac:dyDescent="0.25">
      <c r="A37" s="84" t="s">
        <v>6249</v>
      </c>
      <c r="B37" s="84" t="s">
        <v>6170</v>
      </c>
      <c r="C37" s="84" t="s">
        <v>6171</v>
      </c>
      <c r="D37" s="84" t="s">
        <v>6119</v>
      </c>
      <c r="E37" s="85" t="s">
        <v>6249</v>
      </c>
      <c r="F37" s="86" t="s">
        <v>4974</v>
      </c>
      <c r="G37" s="84">
        <v>16</v>
      </c>
      <c r="H37" s="84" t="s">
        <v>901</v>
      </c>
      <c r="I37"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data-status="TPL Form Required" data-action="Client Assistance Required" data-source="Analyse|Web|Call" data-category="Assistance Needed From NSHA" data-sub="TPL Form Required" data-reason="Claim/service lacks information or has submission/billing error(s) which is needed for adjudication" data-carc="16" data-rarc="N179"&gt;
  &lt;td class="c-code"&gt;TPL Form Required&lt;/td&gt;
  &lt;td class="c-code"&gt;Client Assistance Required&lt;/td&gt;
  &lt;td class="c-code"&gt;Analyse|Web|Call&lt;/td&gt;
  &lt;td&gt;&lt;span class="chip chip-amber"&gt;⚙ Assistance Needed From NSHA&lt;/span&gt;&lt;/td&gt;
  &lt;td class="c-code"&gt;TPL Form Required&lt;/td&gt;
  &lt;td class="c-wrap"&gt;&lt;span class="deny-text"&gt;Claim/service lacks information or has submission/billing error(s) which is needed for adjudication&lt;/span&gt;&lt;/td&gt;
  &lt;td&gt;&lt;span class="code-pill carc"&gt;16&lt;/span&gt;&lt;/td&gt;
  &lt;td&gt;&lt;span class="code-pill rarc"&gt;N179&lt;/span&gt;&lt;/td&gt;
&lt;/tr&gt;</v>
      </c>
      <c r="J37" s="84" t="s">
        <v>6250</v>
      </c>
    </row>
    <row r="38" spans="1:10" x14ac:dyDescent="0.25">
      <c r="A38" s="84" t="s">
        <v>6160</v>
      </c>
      <c r="B38" s="84" t="s">
        <v>6148</v>
      </c>
      <c r="C38" s="84" t="s">
        <v>6171</v>
      </c>
      <c r="D38" s="84" t="s">
        <v>6119</v>
      </c>
      <c r="E38" s="85" t="s">
        <v>6251</v>
      </c>
      <c r="F38" s="86" t="s">
        <v>5128</v>
      </c>
      <c r="G38" s="84">
        <v>59</v>
      </c>
      <c r="H38" s="84" t="s">
        <v>171</v>
      </c>
      <c r="I38"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data-status="Workers' Comp Fee Schedule Adjustment" data-action="Procedure Already Paid | Ignored" data-source="Analyse|Web|Call" data-category="Assistance Needed From NSHA" data-sub="Claim Paid Reduction Rate" data-reason="Processed based on multiple or concurrent procedure rules" data-carc="59" data-rarc="P12"&gt;
  &lt;td class="c-code"&gt;Workers' Comp Fee Schedule Adjustment&lt;/td&gt;
  &lt;td class="c-code"&gt;Procedure Already Paid | Ignored&lt;/td&gt;
  &lt;td class="c-code"&gt;Analyse|Web|Call&lt;/td&gt;
  &lt;td&gt;&lt;span class="chip chip-amber"&gt;⚙ Assistance Needed From NSHA&lt;/span&gt;&lt;/td&gt;
  &lt;td class="c-code"&gt;Claim Paid Reduction Rate&lt;/td&gt;
  &lt;td class="c-wrap"&gt;&lt;span class="deny-text"&gt;Processed based on multiple or concurrent procedure rules&lt;/span&gt;&lt;/td&gt;
  &lt;td&gt;&lt;span class="code-pill carc"&gt;59&lt;/span&gt;&lt;/td&gt;
  &lt;td&gt;&lt;span class="code-pill rarc"&gt;P12&lt;/span&gt;&lt;/td&gt;
&lt;/tr&gt;</v>
      </c>
      <c r="J38" s="84" t="s">
        <v>6252</v>
      </c>
    </row>
    <row r="39" spans="1:10" x14ac:dyDescent="0.25">
      <c r="A39" s="84" t="s">
        <v>6122</v>
      </c>
      <c r="B39" s="84" t="s">
        <v>6117</v>
      </c>
      <c r="C39" s="84" t="s">
        <v>6171</v>
      </c>
      <c r="D39" s="84" t="s">
        <v>6119</v>
      </c>
      <c r="E39" s="85" t="s">
        <v>6120</v>
      </c>
      <c r="F39" s="86" t="s">
        <v>4928</v>
      </c>
      <c r="G39" s="84">
        <v>109</v>
      </c>
      <c r="H39" s="84" t="s">
        <v>924</v>
      </c>
      <c r="I39"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data-status="Wrong Payer Billed" data-action="No Other Payer Found | Recommend Balance Transfer to Patient" data-source="Analyse|Web|Call" data-category="Assistance Needed From NSHA" data-sub="Eligibility / Coverage" data-reason="Claim/service not covered by this payer/contractor. You must send the claim/service to the correct payer/contractor" data-carc="109" data-rarc="N193"&gt;
  &lt;td class="c-code"&gt;Wrong Payer Billed&lt;/td&gt;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rarc"&gt;N193&lt;/span&gt;&lt;/td&gt;
&lt;/tr&gt;</v>
      </c>
      <c r="J39" s="84" t="s">
        <v>6253</v>
      </c>
    </row>
    <row r="40" spans="1:10" x14ac:dyDescent="0.25">
      <c r="A40" s="84" t="s">
        <v>6122</v>
      </c>
      <c r="B40" s="84" t="s">
        <v>6117</v>
      </c>
      <c r="C40" s="84" t="s">
        <v>6171</v>
      </c>
      <c r="D40" s="84" t="s">
        <v>6119</v>
      </c>
      <c r="E40" s="85" t="s">
        <v>6120</v>
      </c>
      <c r="F40" s="86" t="s">
        <v>4928</v>
      </c>
      <c r="G40" s="84">
        <v>109</v>
      </c>
      <c r="H40" s="84" t="s">
        <v>1346</v>
      </c>
      <c r="I40"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data-status="Wrong Payer Billed" data-action="No Other Payer Found | Recommend Balance Transfer to Patient" data-source="Analyse|Web|Call" data-category="Assistance Needed From NSHA" data-sub="Eligibility / Coverage" data-reason="Claim/service not covered by this payer/contractor. You must send the claim/service to the correct payer/contractor" data-carc="109" data-rarc="N418"&gt;
  &lt;td class="c-code"&gt;Wrong Payer Billed&lt;/td&gt;
  &lt;td class="c-code"&gt;No Other Payer Found | Recommend Balance Transfer to Patient&lt;/td&gt;
  &lt;td class="c-code"&gt;Analyse|Web|Call&lt;/td&gt;
  &lt;td&gt;&lt;span class="chip chip-amber"&gt;⚙ Assistance Needed From NSHA&lt;/span&gt;&lt;/td&gt;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rarc"&gt;N418&lt;/span&gt;&lt;/td&gt;
&lt;/tr&gt;</v>
      </c>
      <c r="J40" s="84" t="s">
        <v>6254</v>
      </c>
    </row>
    <row r="41" spans="1:10" x14ac:dyDescent="0.25">
      <c r="A41" s="84" t="s">
        <v>6255</v>
      </c>
      <c r="B41" s="84" t="s">
        <v>6117</v>
      </c>
      <c r="C41" s="84" t="s">
        <v>6171</v>
      </c>
      <c r="D41" s="84" t="s">
        <v>6119</v>
      </c>
      <c r="E41" s="85" t="s">
        <v>6202</v>
      </c>
      <c r="F41" s="86" t="s">
        <v>163</v>
      </c>
      <c r="G41" s="84" t="s">
        <v>6256</v>
      </c>
      <c r="H41" s="84" t="s">
        <v>1520</v>
      </c>
      <c r="I41" s="84"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data-status="Out of Network | Paid &amp; Deductible Applied" data-action="No Other Payer Found | Recommend Balance Transfer to Patient" data-source="Analyse|Web|Call" data-category="Assistance Needed From NSHA" data-sub="No Secondary Active - Bal Transfer to Patient" data-reason="Services not provided by network/primary care providers." data-carc="CO 242" data-rarc="N513"&gt;
  &lt;td class="c-code"&gt;Out of Network | Paid &amp; Deductible Applied&lt;/td&gt;
  &lt;td class="c-code"&gt;No Other Payer Found | Recommend Balance Transfer to Patient&lt;/td&gt;
  &lt;td class="c-code"&gt;Analyse|Web|Call&lt;/td&gt;
  &lt;td&gt;&lt;span class="chip chip-amber"&gt;⚙ Assistance Needed From NSHA&lt;/span&gt;&lt;/td&gt;
  &lt;td class="c-code"&gt;No Secondary Active - Bal Transfer to Patient&lt;/td&gt;
  &lt;td class="c-wrap"&gt;&lt;span class="deny-text"&gt;Services not provided by network/primary care providers.&lt;/span&gt;&lt;/td&gt;
  &lt;td&gt;&lt;span class="code-pill carc"&gt;CO 242&lt;/span&gt;&lt;/td&gt;
  &lt;td&gt;&lt;span class="code-pill rarc"&gt;N513&lt;/span&gt;&lt;/td&gt;
&lt;/tr&gt;</v>
      </c>
      <c r="J41" s="84" t="s">
        <v>6257</v>
      </c>
    </row>
    <row r="42" spans="1:10" x14ac:dyDescent="0.25">
      <c r="A42" s="87" t="s">
        <v>6258</v>
      </c>
      <c r="B42" s="87" t="s">
        <v>6170</v>
      </c>
      <c r="C42" s="87" t="s">
        <v>6171</v>
      </c>
      <c r="D42" s="84" t="s">
        <v>6119</v>
      </c>
      <c r="E42" s="88" t="s">
        <v>6259</v>
      </c>
      <c r="F42" s="89" t="s">
        <v>150</v>
      </c>
      <c r="G42" s="87">
        <v>16</v>
      </c>
      <c r="H42" s="87" t="s">
        <v>305</v>
      </c>
      <c r="I42" s="87"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data-status="Zero Charges Billed" data-action="Client Assistance Required" data-source="Analyse|Web|Call" data-category="Assistance Needed From NSHA" data-sub="No Charges" data-reason="Claim/service not covered by this payer/contractor. You must send the claim/service to the correct payer/contractor." data-carc="16" data-rarc="M79"&gt;
  &lt;td class="c-code"&gt;Zero Charges Billed&lt;/td&gt;
  &lt;td class="c-code"&gt;Client Assistance Required&lt;/td&gt;
  &lt;td class="c-code"&gt;Analyse|Web|Call&lt;/td&gt;
  &lt;td&gt;&lt;span class="chip chip-amber"&gt;⚙ Assistance Needed From NSHA&lt;/span&gt;&lt;/td&gt;
  &lt;td class="c-code"&gt;No Charges&lt;/td&gt;
  &lt;td class="c-wrap"&gt;&lt;span class="deny-text"&gt;Claim/service not covered by this payer/contractor. You must send the claim/service to the correct payer/contractor.&lt;/span&gt;&lt;/td&gt;
  &lt;td&gt;&lt;span class="code-pill carc"&gt;16&lt;/span&gt;&lt;/td&gt;
  &lt;td&gt;&lt;span class="code-pill rarc"&gt;M79&lt;/span&gt;&lt;/td&gt;
&lt;/tr&gt;</v>
      </c>
      <c r="J42" s="87" t="s">
        <v>6260</v>
      </c>
    </row>
    <row r="43" spans="1:10" x14ac:dyDescent="0.25">
      <c r="A43" s="90" t="s">
        <v>6261</v>
      </c>
      <c r="B43" s="90" t="s">
        <v>6170</v>
      </c>
      <c r="C43" s="90" t="s">
        <v>6101</v>
      </c>
      <c r="D43" s="90" t="s">
        <v>6119</v>
      </c>
      <c r="E43" s="91" t="s">
        <v>6262</v>
      </c>
      <c r="F43" s="89" t="s">
        <v>150</v>
      </c>
      <c r="G43" s="87">
        <v>16</v>
      </c>
      <c r="H43" s="87" t="s">
        <v>369</v>
      </c>
      <c r="I43" s="87" t="str">
        <f>"&lt;tr data-status=""" &amp; Table27[[#This Row],[Status Code]] &amp; """ " &amp;
"data-action=""" &amp; Table27[[#This Row],[Action Code]] &amp; """ " &amp;
"data-source=""" &amp; Table27[[#This Row],[Source]] &amp; """ " &amp;
"data-category=""" &amp; Table27[[#This Row],[Category]] &amp; """ " &amp;
"data-sub=""" &amp; Table27[[#This Row],[Sub-Category]] &amp; """ " &amp;
"data-reason=""" &amp; Table27[[#This Row],[Denial Reason]] &amp; """ " &amp;
"data-carc=""" &amp; Table27[[#This Row],[CARC Code]] &amp; """ " &amp;
"data-rarc=""" &amp; Table27[[#This Row],[RARC Code]] &amp; """&gt;" &amp; CHAR(10) &amp;
"  &lt;td class=""c-code""&gt;" &amp; Table27[[#This Row],[Status Code]] &amp; "&lt;/td&gt;" &amp; CHAR(10) &amp;
"  &lt;td class=""c-code""&gt;" &amp; Table27[[#This Row],[Action Code]] &amp; "&lt;/td&gt;" &amp; CHAR(10) &amp;
"  &lt;td class=""c-code""&gt;" &amp; Table27[[#This Row],[Source]] &amp; "&lt;/td&gt;" &amp; CHAR(10) &amp;
"  &lt;td&gt;&lt;span class=""chip chip-amber""&gt;⚙ " &amp; Table27[[#This Row],[Category]] &amp; "&lt;/span&gt;&lt;/td&gt;" &amp; CHAR(10) &amp;
"  &lt;td class=""c-code""&gt;" &amp; Table27[[#This Row],[Sub-Category]] &amp; "&lt;/td&gt;" &amp; CHAR(10) &amp;
"  &lt;td class=""c-wrap""&gt;&lt;span class=""deny-text""&gt;" &amp;
Table27[[#This Row],[Denial Reason]] &amp; "&lt;/span&gt;&lt;/td&gt;" &amp; CHAR(10) &amp;
"  &lt;td&gt;&lt;span class=""code-pill carc""&gt;" &amp; Table27[[#This Row],[CARC Code]] &amp; "&lt;/span&gt;&lt;/td&gt;" &amp; CHAR(10) &amp;
"  &lt;td&gt;&lt;span class=""code-pill rarc""&gt;" &amp; Table27[[#This Row],[RARC Code]] &amp; "&lt;/span&gt;&lt;/td&gt;" &amp; CHAR(10) &amp;
"&lt;/tr&gt;"</f>
        <v>&lt;tr data-status="Invalid/Missing NDC Code" data-action="Client Assistance Required" data-source="Analyse" data-category="Assistance Needed From NSHA" data-sub="NDC Code Missing" data-reason="Claim/service not covered by this payer/contractor. You must send the claim/service to the correct payer/contractor." data-carc="16" data-rarc="M119"&gt;
  &lt;td class="c-code"&gt;Invalid/Missing NDC Code&lt;/td&gt;
  &lt;td class="c-code"&gt;Client Assistance Required&lt;/td&gt;
  &lt;td class="c-code"&gt;Analyse&lt;/td&gt;
  &lt;td&gt;&lt;span class="chip chip-amber"&gt;⚙ Assistance Needed From NSHA&lt;/span&gt;&lt;/td&gt;
  &lt;td class="c-code"&gt;NDC Code Missing&lt;/td&gt;
  &lt;td class="c-wrap"&gt;&lt;span class="deny-text"&gt;Claim/service not covered by this payer/contractor. You must send the claim/service to the correct payer/contractor.&lt;/span&gt;&lt;/td&gt;
  &lt;td&gt;&lt;span class="code-pill carc"&gt;16&lt;/span&gt;&lt;/td&gt;
  &lt;td&gt;&lt;span class="code-pill rarc"&gt;M119&lt;/span&gt;&lt;/td&gt;
&lt;/tr&gt;</v>
      </c>
      <c r="J43" s="87" t="s">
        <v>6263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13B67-CB08-495D-954B-CFF19095A571}">
  <dimension ref="A1:J18"/>
  <sheetViews>
    <sheetView workbookViewId="0">
      <selection sqref="A1:J18"/>
    </sheetView>
  </sheetViews>
  <sheetFormatPr defaultRowHeight="15" x14ac:dyDescent="0.25"/>
  <cols>
    <col min="1" max="1" width="33.28515625" bestFit="1" customWidth="1"/>
    <col min="2" max="2" width="15.42578125" bestFit="1" customWidth="1"/>
    <col min="3" max="3" width="15.7109375" bestFit="1" customWidth="1"/>
    <col min="4" max="4" width="8.5703125" bestFit="1" customWidth="1"/>
    <col min="5" max="5" width="15.42578125" bestFit="1" customWidth="1"/>
    <col min="6" max="6" width="135.7109375" bestFit="1" customWidth="1"/>
    <col min="7" max="8" width="9.5703125" bestFit="1" customWidth="1"/>
    <col min="9" max="10" width="255.7109375" bestFit="1" customWidth="1"/>
  </cols>
  <sheetData>
    <row r="1" spans="1:10" x14ac:dyDescent="0.25">
      <c r="A1" s="81" t="s">
        <v>6093</v>
      </c>
      <c r="B1" s="81" t="s">
        <v>6094</v>
      </c>
      <c r="C1" s="81" t="s">
        <v>6096</v>
      </c>
      <c r="D1" s="81" t="s">
        <v>6097</v>
      </c>
      <c r="E1" s="81" t="s">
        <v>6098</v>
      </c>
      <c r="F1" s="82" t="s">
        <v>6166</v>
      </c>
      <c r="G1" s="81" t="s">
        <v>172</v>
      </c>
      <c r="H1" s="81" t="s">
        <v>6112</v>
      </c>
      <c r="I1" s="92" t="s">
        <v>6167</v>
      </c>
      <c r="J1" s="92" t="s">
        <v>6168</v>
      </c>
    </row>
    <row r="2" spans="1:10" x14ac:dyDescent="0.25">
      <c r="A2" s="93" t="s">
        <v>6264</v>
      </c>
      <c r="B2" s="93" t="s">
        <v>6247</v>
      </c>
      <c r="C2" s="93" t="s">
        <v>6171</v>
      </c>
      <c r="D2" s="93" t="s">
        <v>6100</v>
      </c>
      <c r="E2" s="93" t="s">
        <v>6199</v>
      </c>
      <c r="F2" s="94" t="s">
        <v>4974</v>
      </c>
      <c r="G2" s="93">
        <v>16</v>
      </c>
      <c r="H2" s="93" t="s">
        <v>828</v>
      </c>
      <c r="I2"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data-status="Incorrect/Invaild/Missing Cpt" data-action="Coding Assistance" data-source="Analyse|Web|Call" data-category="Exception" data-sub="Procedure Related" data-reason="Claim/service lacks information or has submission/billing error(s) which is needed for adjudication" data-carc="16" data-rarc="N130"&gt;
  &lt;td class="c-code"&gt;Incorrect/Invaild/Missing Cpt&lt;/td&gt;
  &lt;td class="c-code"&gt;Coding Assistance&lt;/td&gt;
  &lt;td class="c-code"&gt;Analyse|Web|Call&lt;/td&gt;
  &lt;td&gt;&lt;span class="chip chip-red"&gt;✖ Exception&lt;/span&gt;&lt;/td&gt;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rarc"&gt;N130&lt;/span&gt;&lt;/td&gt;
&lt;/tr&gt;</v>
      </c>
      <c r="J2" s="96"/>
    </row>
    <row r="3" spans="1:10" x14ac:dyDescent="0.25">
      <c r="A3" s="71" t="s">
        <v>6264</v>
      </c>
      <c r="B3" s="71" t="s">
        <v>6247</v>
      </c>
      <c r="C3" s="71" t="s">
        <v>6171</v>
      </c>
      <c r="D3" s="71" t="s">
        <v>6100</v>
      </c>
      <c r="E3" s="71" t="s">
        <v>6199</v>
      </c>
      <c r="F3" s="32" t="s">
        <v>4974</v>
      </c>
      <c r="G3" s="71">
        <v>16</v>
      </c>
      <c r="H3" s="97" t="s">
        <v>828</v>
      </c>
      <c r="I3" s="98"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data-status="Incorrect/Invaild/Missing Cpt" data-action="Coding Assistance" data-source="Analyse|Web|Call" data-category="Exception" data-sub="Procedure Related" data-reason="Claim/service lacks information or has submission/billing error(s) which is needed for adjudication" data-carc="16" data-rarc="N130"&gt;
  &lt;td class="c-code"&gt;Incorrect/Invaild/Missing Cpt&lt;/td&gt;
  &lt;td class="c-code"&gt;Coding Assistance&lt;/td&gt;
  &lt;td class="c-code"&gt;Analyse|Web|Call&lt;/td&gt;
  &lt;td&gt;&lt;span class="chip chip-red"&gt;✖ Exception&lt;/span&gt;&lt;/td&gt;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rarc"&gt;N130&lt;/span&gt;&lt;/td&gt;
&lt;/tr&gt;</v>
      </c>
      <c r="J3" s="99"/>
    </row>
    <row r="4" spans="1:10" x14ac:dyDescent="0.25">
      <c r="A4" s="93" t="s">
        <v>6264</v>
      </c>
      <c r="B4" s="93" t="s">
        <v>6247</v>
      </c>
      <c r="C4" s="93" t="s">
        <v>6171</v>
      </c>
      <c r="D4" s="93" t="s">
        <v>6100</v>
      </c>
      <c r="E4" s="93" t="s">
        <v>6199</v>
      </c>
      <c r="F4" s="94" t="s">
        <v>4974</v>
      </c>
      <c r="G4" s="93">
        <v>16</v>
      </c>
      <c r="H4" s="100" t="s">
        <v>1289</v>
      </c>
      <c r="I4"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data-status="Incorrect/Invaild/Missing Cpt" data-action="Coding Assistance" data-source="Analyse|Web|Call" data-category="Exception" data-sub="Procedure Related" data-reason="Claim/service lacks information or has submission/billing error(s) which is needed for adjudication" data-carc="16" data-rarc="N389"&gt;
  &lt;td class="c-code"&gt;Incorrect/Invaild/Missing Cpt&lt;/td&gt;
  &lt;td class="c-code"&gt;Coding Assistance&lt;/td&gt;
  &lt;td class="c-code"&gt;Analyse|Web|Call&lt;/td&gt;
  &lt;td&gt;&lt;span class="chip chip-red"&gt;✖ Exception&lt;/span&gt;&lt;/td&gt;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rarc"&gt;N389&lt;/span&gt;&lt;/td&gt;
&lt;/tr&gt;</v>
      </c>
      <c r="J4" s="96"/>
    </row>
    <row r="5" spans="1:10" x14ac:dyDescent="0.25">
      <c r="A5" s="71" t="s">
        <v>6264</v>
      </c>
      <c r="B5" s="71" t="s">
        <v>6247</v>
      </c>
      <c r="C5" s="71" t="s">
        <v>6171</v>
      </c>
      <c r="D5" s="71" t="s">
        <v>6100</v>
      </c>
      <c r="E5" s="71" t="s">
        <v>6199</v>
      </c>
      <c r="F5" s="32" t="s">
        <v>4974</v>
      </c>
      <c r="G5" s="71">
        <v>16</v>
      </c>
      <c r="H5" s="97" t="s">
        <v>701</v>
      </c>
      <c r="I5" s="98"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data-status="Incorrect/Invaild/Missing Cpt" data-action="Coding Assistance" data-source="Analyse|Web|Call" data-category="Exception" data-sub="Procedure Related" data-reason="Claim/service lacks information or has submission/billing error(s) which is needed for adjudication" data-carc="16" data-rarc="N56"&gt;
  &lt;td class="c-code"&gt;Incorrect/Invaild/Missing Cpt&lt;/td&gt;
  &lt;td class="c-code"&gt;Coding Assistance&lt;/td&gt;
  &lt;td class="c-code"&gt;Analyse|Web|Call&lt;/td&gt;
  &lt;td&gt;&lt;span class="chip chip-red"&gt;✖ Exception&lt;/span&gt;&lt;/td&gt;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rarc"&gt;N56&lt;/span&gt;&lt;/td&gt;
&lt;/tr&gt;</v>
      </c>
      <c r="J5" s="99"/>
    </row>
    <row r="6" spans="1:10" x14ac:dyDescent="0.25">
      <c r="A6" s="93" t="s">
        <v>6264</v>
      </c>
      <c r="B6" s="93" t="s">
        <v>6247</v>
      </c>
      <c r="C6" s="93" t="s">
        <v>6171</v>
      </c>
      <c r="D6" s="93" t="s">
        <v>6100</v>
      </c>
      <c r="E6" s="93" t="s">
        <v>6199</v>
      </c>
      <c r="F6" s="94" t="s">
        <v>4974</v>
      </c>
      <c r="G6" s="93">
        <v>16</v>
      </c>
      <c r="H6" s="100" t="s">
        <v>2005</v>
      </c>
      <c r="I6"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data-status="Incorrect/Invaild/Missing Cpt" data-action="Coding Assistance" data-source="Analyse|Web|Call" data-category="Exception" data-sub="Procedure Related" data-reason="Claim/service lacks information or has submission/billing error(s) which is needed for adjudication" data-carc="16" data-rarc="N784"&gt;
  &lt;td class="c-code"&gt;Incorrect/Invaild/Missing Cpt&lt;/td&gt;
  &lt;td class="c-code"&gt;Coding Assistance&lt;/td&gt;
  &lt;td class="c-code"&gt;Analyse|Web|Call&lt;/td&gt;
  &lt;td&gt;&lt;span class="chip chip-red"&gt;✖ Exception&lt;/span&gt;&lt;/td&gt;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rarc"&gt;N784&lt;/span&gt;&lt;/td&gt;
&lt;/tr&gt;</v>
      </c>
      <c r="J6" s="96"/>
    </row>
    <row r="7" spans="1:10" x14ac:dyDescent="0.25">
      <c r="A7" s="71" t="s">
        <v>6264</v>
      </c>
      <c r="B7" s="71" t="s">
        <v>6247</v>
      </c>
      <c r="C7" s="71" t="s">
        <v>6171</v>
      </c>
      <c r="D7" s="71" t="s">
        <v>6100</v>
      </c>
      <c r="E7" s="71" t="s">
        <v>6199</v>
      </c>
      <c r="F7" s="32" t="s">
        <v>4974</v>
      </c>
      <c r="G7" s="71">
        <v>16</v>
      </c>
      <c r="H7" s="97" t="s">
        <v>262</v>
      </c>
      <c r="I7" s="98"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data-status="Incorrect/Invaild/Missing Cpt" data-action="Coding Assistance" data-source="Analyse|Web|Call" data-category="Exception" data-sub="Procedure Related" data-reason="Claim/service lacks information or has submission/billing error(s) which is needed for adjudication" data-carc="16" data-rarc="M51"&gt;
  &lt;td class="c-code"&gt;Incorrect/Invaild/Missing Cpt&lt;/td&gt;
  &lt;td class="c-code"&gt;Coding Assistance&lt;/td&gt;
  &lt;td class="c-code"&gt;Analyse|Web|Call&lt;/td&gt;
  &lt;td&gt;&lt;span class="chip chip-red"&gt;✖ Exception&lt;/span&gt;&lt;/td&gt;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rarc"&gt;M51&lt;/span&gt;&lt;/td&gt;
&lt;/tr&gt;</v>
      </c>
      <c r="J7" s="99"/>
    </row>
    <row r="8" spans="1:10" x14ac:dyDescent="0.25">
      <c r="A8" s="93" t="s">
        <v>6265</v>
      </c>
      <c r="B8" s="93" t="s">
        <v>6247</v>
      </c>
      <c r="C8" s="93" t="s">
        <v>6171</v>
      </c>
      <c r="D8" s="93" t="s">
        <v>6100</v>
      </c>
      <c r="E8" s="93" t="s">
        <v>6266</v>
      </c>
      <c r="F8" s="94" t="s">
        <v>177</v>
      </c>
      <c r="G8" s="93">
        <v>11</v>
      </c>
      <c r="H8" s="100" t="s">
        <v>638</v>
      </c>
      <c r="I8"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data-status="Incorrect/Invalid/Missing Dx" data-action="Coding Assistance" data-source="Analyse|Web|Call" data-category="Exception" data-sub="ICD Related" data-reason="The diagnosis is inconsistent with the procedure" data-carc="11" data-rarc="N19"&gt;
  &lt;td class="c-code"&gt;Incorrect/Invalid/Missing Dx&lt;/td&gt;
  &lt;td class="c-code"&gt;Coding Assistance&lt;/td&gt;
  &lt;td class="c-code"&gt;Analyse|Web|Call&lt;/td&gt;
  &lt;td&gt;&lt;span class="chip chip-red"&gt;✖ Exception&lt;/span&gt;&lt;/td&gt;
  &lt;td class="c-code"&gt;ICD Related&lt;/td&gt;
  &lt;td class="c-wrap"&gt;&lt;span class="deny-text"&gt;The diagnosis is inconsistent with the procedure&lt;/span&gt;&lt;/td&gt;
  &lt;td&gt;&lt;span class="code-pill carc"&gt;11&lt;/span&gt;&lt;/td&gt;
  &lt;td&gt;&lt;span class="code-pill rarc"&gt;N19&lt;/span&gt;&lt;/td&gt;
&lt;/tr&gt;</v>
      </c>
      <c r="J8" s="96"/>
    </row>
    <row r="9" spans="1:10" x14ac:dyDescent="0.25">
      <c r="A9" s="71" t="s">
        <v>6267</v>
      </c>
      <c r="B9" s="71" t="s">
        <v>6247</v>
      </c>
      <c r="C9" s="71" t="s">
        <v>6171</v>
      </c>
      <c r="D9" s="71" t="s">
        <v>6100</v>
      </c>
      <c r="E9" s="71" t="s">
        <v>6268</v>
      </c>
      <c r="F9" s="32" t="s">
        <v>5114</v>
      </c>
      <c r="G9" s="71">
        <v>4</v>
      </c>
      <c r="H9" s="97" t="s">
        <v>270</v>
      </c>
      <c r="I9" s="98"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data-status="Incorrect/Invalid/Missing Modifier" data-action="Coding Assistance" data-source="Analyse|Web|Call" data-category="Exception" data-sub="Modifier Related" data-reason="The procedure code is inconsistent with the modifier used or a required modifier is missing" data-carc="4" data-rarc="M55"&gt;
  &lt;td class="c-code"&gt;Incorrect/Invalid/Missing Modifier&lt;/td&gt;
  &lt;td class="c-code"&gt;Coding Assistance&lt;/td&gt;
  &lt;td class="c-code"&gt;Analyse|Web|Call&lt;/td&gt;
  &lt;td&gt;&lt;span class="chip chip-red"&gt;✖ Exception&lt;/span&gt;&lt;/td&gt;
  &lt;td class="c-code"&gt;Modifier Related&lt;/td&gt;
  &lt;td class="c-wrap"&gt;&lt;span class="deny-text"&gt;The procedure code is inconsistent with the modifier used or a required modifier is missing&lt;/span&gt;&lt;/td&gt;
  &lt;td&gt;&lt;span class="code-pill carc"&gt;4&lt;/span&gt;&lt;/td&gt;
  &lt;td&gt;&lt;span class="code-pill rarc"&gt;M55&lt;/span&gt;&lt;/td&gt;
&lt;/tr&gt;</v>
      </c>
      <c r="J9" s="99"/>
    </row>
    <row r="10" spans="1:10" x14ac:dyDescent="0.25">
      <c r="A10" s="93" t="s">
        <v>6267</v>
      </c>
      <c r="B10" s="93" t="s">
        <v>6247</v>
      </c>
      <c r="C10" s="93" t="s">
        <v>6171</v>
      </c>
      <c r="D10" s="93" t="s">
        <v>6100</v>
      </c>
      <c r="E10" s="93" t="s">
        <v>6268</v>
      </c>
      <c r="F10" s="94" t="s">
        <v>6269</v>
      </c>
      <c r="G10" s="93">
        <v>8</v>
      </c>
      <c r="H10" s="100" t="s">
        <v>2070</v>
      </c>
      <c r="I10"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data-status="Incorrect/Invalid/Missing Modifier" data-action="Coding Assistance" data-source="Analyse|Web|Call" data-category="Exception" data-sub="Modifier Related" data-reason="The procedure code is inconsistent with the provider type/specialty (taxonomy)." data-carc="8" data-rarc="N823"&gt;
  &lt;td class="c-code"&gt;Incorrect/Invalid/Missing Modifier&lt;/td&gt;
  &lt;td class="c-code"&gt;Coding Assistance&lt;/td&gt;
  &lt;td class="c-code"&gt;Analyse|Web|Call&lt;/td&gt;
  &lt;td&gt;&lt;span class="chip chip-red"&gt;✖ Exception&lt;/span&gt;&lt;/td&gt;
  &lt;td class="c-code"&gt;Modifier Related&lt;/td&gt;
  &lt;td class="c-wrap"&gt;&lt;span class="deny-text"&gt;The procedure code is inconsistent with the provider type/specialty (taxonomy).&lt;/span&gt;&lt;/td&gt;
  &lt;td&gt;&lt;span class="code-pill carc"&gt;8&lt;/span&gt;&lt;/td&gt;
  &lt;td&gt;&lt;span class="code-pill rarc"&gt;N823&lt;/span&gt;&lt;/td&gt;
&lt;/tr&gt;</v>
      </c>
      <c r="J10" s="96"/>
    </row>
    <row r="11" spans="1:10" x14ac:dyDescent="0.25">
      <c r="A11" s="71" t="s">
        <v>6270</v>
      </c>
      <c r="B11" s="71" t="s">
        <v>6247</v>
      </c>
      <c r="C11" s="71" t="s">
        <v>6171</v>
      </c>
      <c r="D11" s="71" t="s">
        <v>6100</v>
      </c>
      <c r="E11" s="71" t="s">
        <v>6266</v>
      </c>
      <c r="F11" s="32" t="s">
        <v>5676</v>
      </c>
      <c r="G11" s="71">
        <v>11</v>
      </c>
      <c r="H11" s="97" t="s">
        <v>638</v>
      </c>
      <c r="I11" s="98"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data-status="Invalid/Missing NCD|LCD" data-action="Coding Assistance" data-source="Analyse|Web|Call" data-category="Exception" data-sub="ICD Related" data-reason="This decision was based on a National Coverage Determination (NCD). An NCD provides a coverage determination as to whether a particular item or service is covered." data-carc="11" data-rarc="N19"&gt;
  &lt;td class="c-code"&gt;Invalid/Missing NCD|LCD&lt;/td&gt;
  &lt;td class="c-code"&gt;Coding Assistance&lt;/td&gt;
  &lt;td class="c-code"&gt;Analyse|Web|Call&lt;/td&gt;
  &lt;td&gt;&lt;span class="chip chip-red"&gt;✖ Exception&lt;/span&gt;&lt;/td&gt;
  &lt;td class="c-code"&gt;ICD Related&lt;/td&gt;
  &lt;td class="c-wrap"&gt;&lt;span class="deny-text"&gt;This decision was based on a National Coverage Determination (NCD). An NCD provides a coverage determination as to whether a particular item or service is covered.&lt;/span&gt;&lt;/td&gt;
  &lt;td&gt;&lt;span class="code-pill carc"&gt;11&lt;/span&gt;&lt;/td&gt;
  &lt;td&gt;&lt;span class="code-pill rarc"&gt;N19&lt;/span&gt;&lt;/td&gt;
&lt;/tr&gt;</v>
      </c>
      <c r="J11" s="99" t="s">
        <v>6271</v>
      </c>
    </row>
    <row r="12" spans="1:10" x14ac:dyDescent="0.25">
      <c r="A12" s="93" t="s">
        <v>6107</v>
      </c>
      <c r="B12" s="93" t="s">
        <v>6247</v>
      </c>
      <c r="C12" s="93" t="s">
        <v>6171</v>
      </c>
      <c r="D12" s="93" t="s">
        <v>6100</v>
      </c>
      <c r="E12" s="93" t="s">
        <v>6099</v>
      </c>
      <c r="F12" s="94" t="s">
        <v>5040</v>
      </c>
      <c r="G12" s="93">
        <v>231</v>
      </c>
      <c r="H12" s="100" t="s">
        <v>886</v>
      </c>
      <c r="I12"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data-status="Mutually Exclusive Procedures" data-action="Coding Assistance" data-source="Analyse|Web|Call" data-category="Exception" data-sub="Bundled" data-reason="Mutually exclusive procedures cannot be done in the same day/setting" data-carc="231" data-rarc="N171"&gt;
  &lt;td class="c-code"&gt;Mutually Exclusive Procedures&lt;/td&gt;
  &lt;td class="c-code"&gt;Coding Assistance&lt;/td&gt;
  &lt;td class="c-code"&gt;Analyse|Web|Call&lt;/td&gt;
  &lt;td&gt;&lt;span class="chip chip-red"&gt;✖ Exception&lt;/span&gt;&lt;/td&gt;
  &lt;td class="c-code"&gt;Bundled&lt;/td&gt;
  &lt;td class="c-wrap"&gt;&lt;span class="deny-text"&gt;Mutually exclusive procedures cannot be done in the same day/setting&lt;/span&gt;&lt;/td&gt;
  &lt;td&gt;&lt;span class="code-pill carc"&gt;231&lt;/span&gt;&lt;/td&gt;
  &lt;td&gt;&lt;span class="code-pill rarc"&gt;N171&lt;/span&gt;&lt;/td&gt;
&lt;/tr&gt;</v>
      </c>
      <c r="J12" s="96"/>
    </row>
    <row r="13" spans="1:10" x14ac:dyDescent="0.25">
      <c r="A13" s="71" t="s">
        <v>6107</v>
      </c>
      <c r="B13" s="71" t="s">
        <v>6247</v>
      </c>
      <c r="C13" s="71" t="s">
        <v>6171</v>
      </c>
      <c r="D13" s="71" t="s">
        <v>6100</v>
      </c>
      <c r="E13" s="71" t="s">
        <v>6099</v>
      </c>
      <c r="F13" s="32" t="s">
        <v>5040</v>
      </c>
      <c r="G13" s="71">
        <v>59</v>
      </c>
      <c r="H13" s="97" t="s">
        <v>886</v>
      </c>
      <c r="I13" s="98"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data-status="Mutually Exclusive Procedures" data-action="Coding Assistance" data-source="Analyse|Web|Call" data-category="Exception" data-sub="Bundled" data-reason="Mutually exclusive procedures cannot be done in the same day/setting" data-carc="59" data-rarc="N171"&gt;
  &lt;td class="c-code"&gt;Mutually Exclusive Procedures&lt;/td&gt;
  &lt;td class="c-code"&gt;Coding Assistance&lt;/td&gt;
  &lt;td class="c-code"&gt;Analyse|Web|Call&lt;/td&gt;
  &lt;td&gt;&lt;span class="chip chip-red"&gt;✖ Exception&lt;/span&gt;&lt;/td&gt;
  &lt;td class="c-code"&gt;Bundled&lt;/td&gt;
  &lt;td class="c-wrap"&gt;&lt;span class="deny-text"&gt;Mutually exclusive procedures cannot be done in the same day/setting&lt;/span&gt;&lt;/td&gt;
  &lt;td&gt;&lt;span class="code-pill carc"&gt;59&lt;/span&gt;&lt;/td&gt;
  &lt;td&gt;&lt;span class="code-pill rarc"&gt;N171&lt;/span&gt;&lt;/td&gt;
&lt;/tr&gt;</v>
      </c>
      <c r="J13" s="99"/>
    </row>
    <row r="14" spans="1:10" x14ac:dyDescent="0.25">
      <c r="A14" s="93" t="s">
        <v>6198</v>
      </c>
      <c r="B14" s="93" t="s">
        <v>6247</v>
      </c>
      <c r="C14" s="93" t="s">
        <v>6171</v>
      </c>
      <c r="D14" s="93" t="s">
        <v>6100</v>
      </c>
      <c r="E14" s="93" t="s">
        <v>6199</v>
      </c>
      <c r="F14" s="94" t="s">
        <v>4974</v>
      </c>
      <c r="G14" s="93">
        <v>16</v>
      </c>
      <c r="H14" s="100" t="s">
        <v>170</v>
      </c>
      <c r="I14"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data-status="New Patient Qualifications were not met" data-action="Coding Assistance" data-source="Analyse|Web|Call" data-category="Exception" data-sub="Procedure Related" data-reason="Claim/service lacks information or has submission/billing error(s) which is needed for adjudication" data-carc="16" data-rarc="B16"&gt;
  &lt;td class="c-code"&gt;New Patient Qualifications were not met&lt;/td&gt;
  &lt;td class="c-code"&gt;Coding Assistance&lt;/td&gt;
  &lt;td class="c-code"&gt;Analyse|Web|Call&lt;/td&gt;
  &lt;td&gt;&lt;span class="chip chip-red"&gt;✖ Exception&lt;/span&gt;&lt;/td&gt;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rarc"&gt;B16&lt;/span&gt;&lt;/td&gt;
&lt;/tr&gt;</v>
      </c>
      <c r="J14" s="96"/>
    </row>
    <row r="15" spans="1:10" x14ac:dyDescent="0.25">
      <c r="A15" s="71" t="s">
        <v>6272</v>
      </c>
      <c r="B15" s="71" t="s">
        <v>6247</v>
      </c>
      <c r="C15" s="71" t="s">
        <v>6171</v>
      </c>
      <c r="D15" s="71" t="s">
        <v>6100</v>
      </c>
      <c r="E15" s="71" t="s">
        <v>6266</v>
      </c>
      <c r="F15" s="32" t="s">
        <v>5121</v>
      </c>
      <c r="G15" s="71">
        <v>50</v>
      </c>
      <c r="H15" s="97" t="s">
        <v>1478</v>
      </c>
      <c r="I15" s="98"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data-status="Not Deemed Medical Necessity" data-action="Coding Assistance" data-source="Analyse|Web|Call" data-category="Exception" data-sub="ICD Related" data-reason="These are non-covered services because this is not deemed a medical necessity by the payer" data-carc="50" data-rarc="N488"&gt;
  &lt;td class="c-code"&gt;Not Deemed Medical Necessity&lt;/td&gt;
  &lt;td class="c-code"&gt;Coding Assistance&lt;/td&gt;
  &lt;td class="c-code"&gt;Analyse|Web|Call&lt;/td&gt;
  &lt;td&gt;&lt;span class="chip chip-red"&gt;✖ Exception&lt;/span&gt;&lt;/td&gt;
  &lt;td class="c-code"&gt;ICD Related&lt;/td&gt;
  &lt;td class="c-wrap"&gt;&lt;span class="deny-text"&gt;These are non-covered services because this is not deemed a medical necessity by the payer&lt;/span&gt;&lt;/td&gt;
  &lt;td&gt;&lt;span class="code-pill carc"&gt;50&lt;/span&gt;&lt;/td&gt;
  &lt;td&gt;&lt;span class="code-pill rarc"&gt;N488&lt;/span&gt;&lt;/td&gt;
&lt;/tr&gt;</v>
      </c>
      <c r="J15" s="99"/>
    </row>
    <row r="16" spans="1:10" x14ac:dyDescent="0.25">
      <c r="A16" s="93" t="s">
        <v>6105</v>
      </c>
      <c r="B16" s="93" t="s">
        <v>6247</v>
      </c>
      <c r="C16" s="93" t="s">
        <v>6171</v>
      </c>
      <c r="D16" s="93" t="s">
        <v>6100</v>
      </c>
      <c r="E16" s="93" t="s">
        <v>6099</v>
      </c>
      <c r="F16" s="94" t="s">
        <v>164</v>
      </c>
      <c r="G16" s="93">
        <v>97</v>
      </c>
      <c r="H16" s="100" t="s">
        <v>206</v>
      </c>
      <c r="I16"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data-status="Payments Included with Another CPT" data-action="Coding Assistance" data-source="Analyse|Web|Call" data-category="Exception" data-sub="Bundled" data-reason="Service not payable per managed care contract." data-carc="97" data-rarc="M15"&gt;
  &lt;td class="c-code"&gt;Payments Included with Another CPT&lt;/td&gt;
  &lt;td class="c-code"&gt;Coding Assistance&lt;/td&gt;
  &lt;td class="c-code"&gt;Analyse|Web|Call&lt;/td&gt;
  &lt;td&gt;&lt;span class="chip chip-red"&gt;✖ Exception&lt;/span&gt;&lt;/td&gt;
  &lt;td class="c-code"&gt;Bundled&lt;/td&gt;
  &lt;td class="c-wrap"&gt;&lt;span class="deny-text"&gt;Service not payable per managed care contract.&lt;/span&gt;&lt;/td&gt;
  &lt;td&gt;&lt;span class="code-pill carc"&gt;97&lt;/span&gt;&lt;/td&gt;
  &lt;td&gt;&lt;span class="code-pill rarc"&gt;M15&lt;/span&gt;&lt;/td&gt;
&lt;/tr&gt;</v>
      </c>
      <c r="J16" s="96"/>
    </row>
    <row r="17" spans="1:10" x14ac:dyDescent="0.25">
      <c r="A17" s="71" t="s">
        <v>6105</v>
      </c>
      <c r="B17" s="71" t="s">
        <v>6247</v>
      </c>
      <c r="C17" s="71" t="s">
        <v>6171</v>
      </c>
      <c r="D17" s="71" t="s">
        <v>6100</v>
      </c>
      <c r="E17" s="71" t="s">
        <v>6099</v>
      </c>
      <c r="F17" s="32" t="s">
        <v>5145</v>
      </c>
      <c r="G17" s="71">
        <v>97</v>
      </c>
      <c r="H17" s="97" t="s">
        <v>206</v>
      </c>
      <c r="I17" s="98"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data-status="Payments Included with Another CPT" data-action="Coding Assistance" data-source="Analyse|Web|Call" data-category="Exception" data-sub="Bundled" data-reason="The benefit for this service is included in the payment/allowance for another service/procedure that has already been adjudicated" data-carc="97" data-rarc="M15"&gt;
  &lt;td class="c-code"&gt;Payments Included with Another CPT&lt;/td&gt;
  &lt;td class="c-code"&gt;Coding Assistance&lt;/td&gt;
  &lt;td class="c-code"&gt;Analyse|Web|Call&lt;/td&gt;
  &lt;td&gt;&lt;span class="chip chip-red"&gt;✖ Exception&lt;/span&gt;&lt;/td&gt;
  &lt;td class="c-code"&gt;Bundled&lt;/td&gt;
  &lt;td class="c-wrap"&gt;&lt;span class="deny-text"&gt;The benefit for this service is included in the payment/allowance for another service/procedure that has already been adjudicated&lt;/span&gt;&lt;/td&gt;
  &lt;td&gt;&lt;span class="code-pill carc"&gt;97&lt;/span&gt;&lt;/td&gt;
  &lt;td&gt;&lt;span class="code-pill rarc"&gt;M15&lt;/span&gt;&lt;/td&gt;
&lt;/tr&gt;</v>
      </c>
      <c r="J17" s="99"/>
    </row>
    <row r="18" spans="1:10" x14ac:dyDescent="0.25">
      <c r="A18" s="93" t="s">
        <v>6102</v>
      </c>
      <c r="B18" s="93" t="s">
        <v>6247</v>
      </c>
      <c r="C18" s="93" t="s">
        <v>6171</v>
      </c>
      <c r="D18" s="93" t="s">
        <v>6100</v>
      </c>
      <c r="E18" s="93" t="s">
        <v>6099</v>
      </c>
      <c r="F18" s="94" t="s">
        <v>5043</v>
      </c>
      <c r="G18" s="93">
        <v>234</v>
      </c>
      <c r="H18" s="100" t="s">
        <v>206</v>
      </c>
      <c r="I18" s="95" t="str">
        <f>"&lt;tr data-status=""" &amp; [1]!Table3[[#This Row],[Status Code]] &amp; """ " &amp;
"data-action=""" &amp; [1]!Table3[[#This Row],[Action Code]] &amp; """ " &amp;
"data-source=""" &amp; [1]!Table3[[#This Row],[Source]] &amp; """ " &amp;
"data-category=""" &amp; [1]!Table3[[#This Row],[Category]] &amp; """ " &amp;
"data-sub=""" &amp; [1]!Table3[[#This Row],[Sub-Category]] &amp; """ " &amp;
"data-reason=""" &amp; [1]!Table3[[#This Row],[Denial Reason]] &amp; """ " &amp;
"data-carc=""" &amp; [1]!Table3[[#This Row],[CARC Code]] &amp; """ " &amp;
"data-rarc=""" &amp; [1]!Table3[[#This Row],[RARC Code]] &amp; """&gt;" &amp; CHAR(10) &amp;
"  &lt;td class=""c-code""&gt;" &amp; [1]!Table3[[#This Row],[Status Code]] &amp; "&lt;/td&gt;" &amp; CHAR(10) &amp;
"  &lt;td class=""c-code""&gt;" &amp; [1]!Table3[[#This Row],[Action Code]] &amp; "&lt;/td&gt;" &amp; CHAR(10) &amp;
"  &lt;td class=""c-code""&gt;" &amp; [1]!Table3[[#This Row],[Source]] &amp; "&lt;/td&gt;" &amp; CHAR(10) &amp;
"  &lt;td&gt;&lt;span class=""chip chip-red""&gt;✖ " &amp; [1]!Table3[[#This Row],[Category]] &amp; "&lt;/span&gt;&lt;/td&gt;" &amp; CHAR(10) &amp;
"  &lt;td class=""c-code""&gt;" &amp; [1]!Table3[[#This Row],[Sub-Category]] &amp; "&lt;/td&gt;" &amp; CHAR(10) &amp;
"  &lt;td class=""c-wrap""&gt;&lt;span class=""deny-text""&gt;" &amp;
[1]!Table3[[#This Row],[Denial Reason]] &amp; "&lt;/span&gt;&lt;/td&gt;" &amp; CHAR(10) &amp;
"  &lt;td&gt;&lt;span class=""code-pill carc""&gt;" &amp; [1]!Table3[[#This Row],[CARC Code]] &amp; "&lt;/span&gt;&lt;/td&gt;" &amp; CHAR(10) &amp;
"  &lt;td&gt;&lt;span class=""code-pill rarc""&gt;" &amp; [1]!Table3[[#This Row],[RARC Code]] &amp; "&lt;/span&gt;&lt;/td&gt;" &amp; CHAR(10) &amp;
"&lt;/tr&gt;"</f>
        <v>&lt;tr data-status="This Procedure is not Paid Separately" data-action="Coding Assistance" data-source="Analyse|Web|Call" data-category="Exception" data-sub="Bundled" data-reason="This procedure is not paid separately. At least one Remark Code must be provided" data-carc="234" data-rarc="M15"&gt;
  &lt;td class="c-code"&gt;This Procedure is not Paid Separately&lt;/td&gt;
  &lt;td class="c-code"&gt;Coding Assistance&lt;/td&gt;
  &lt;td class="c-code"&gt;Analyse|Web|Call&lt;/td&gt;
  &lt;td&gt;&lt;span class="chip chip-red"&gt;✖ Exception&lt;/span&gt;&lt;/td&gt;
  &lt;td class="c-code"&gt;Bundled&lt;/td&gt;
  &lt;td class="c-wrap"&gt;&lt;span class="deny-text"&gt;This procedure is not paid separately. At least one Remark Code must be provided&lt;/span&gt;&lt;/td&gt;
  &lt;td&gt;&lt;span class="code-pill carc"&gt;234&lt;/span&gt;&lt;/td&gt;
  &lt;td&gt;&lt;span class="code-pill rarc"&gt;M15&lt;/span&gt;&lt;/td&gt;
&lt;/tr&gt;</v>
      </c>
      <c r="J18" s="9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EAFB-762A-42DE-8BD0-B18698B72544}">
  <dimension ref="A1:J44"/>
  <sheetViews>
    <sheetView topLeftCell="B39" workbookViewId="0">
      <selection activeCell="B72" sqref="B72"/>
    </sheetView>
  </sheetViews>
  <sheetFormatPr defaultRowHeight="15" x14ac:dyDescent="0.25"/>
  <cols>
    <col min="1" max="1" width="37.140625" bestFit="1" customWidth="1"/>
    <col min="2" max="2" width="41.85546875" bestFit="1" customWidth="1"/>
    <col min="3" max="3" width="15.7109375" bestFit="1" customWidth="1"/>
    <col min="4" max="4" width="14.5703125" bestFit="1" customWidth="1"/>
    <col min="5" max="5" width="32.42578125" bestFit="1" customWidth="1"/>
    <col min="6" max="6" width="106.28515625" bestFit="1" customWidth="1"/>
    <col min="7" max="8" width="9.5703125" bestFit="1" customWidth="1"/>
  </cols>
  <sheetData>
    <row r="1" spans="1:10" x14ac:dyDescent="0.25">
      <c r="A1" s="80" t="s">
        <v>6093</v>
      </c>
      <c r="B1" s="81" t="s">
        <v>6094</v>
      </c>
      <c r="C1" s="81" t="s">
        <v>6096</v>
      </c>
      <c r="D1" s="81" t="s">
        <v>6097</v>
      </c>
      <c r="E1" s="81" t="s">
        <v>6098</v>
      </c>
      <c r="F1" s="101" t="s">
        <v>6166</v>
      </c>
      <c r="G1" s="81" t="s">
        <v>172</v>
      </c>
      <c r="H1" s="81" t="s">
        <v>6112</v>
      </c>
      <c r="I1" s="92" t="s">
        <v>6167</v>
      </c>
      <c r="J1" s="92" t="s">
        <v>6168</v>
      </c>
    </row>
    <row r="2" spans="1:10" x14ac:dyDescent="0.25">
      <c r="A2" s="71" t="s">
        <v>6147</v>
      </c>
      <c r="B2" s="71" t="s">
        <v>6273</v>
      </c>
      <c r="C2" s="71" t="s">
        <v>6171</v>
      </c>
      <c r="D2" s="71" t="s">
        <v>6124</v>
      </c>
      <c r="E2" s="71" t="s">
        <v>6149</v>
      </c>
      <c r="F2" s="71" t="s">
        <v>4994</v>
      </c>
      <c r="G2" s="71">
        <v>18</v>
      </c>
      <c r="H2" s="71" t="s">
        <v>1289</v>
      </c>
      <c r="I2"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data-status="Duplicate Claim" data-action="Claim Already Paid | Ignored" data-source="Analyse|Web|Call" data-category="Jorie Resolved" data-sub="Duplicate Billing" data-reason="Exact duplicate claim/service" data-carc="18" data-rarc="N389"&gt;
  &lt;td class="c-code"&gt;Duplicate Claim&lt;/td&gt;
  &lt;td class="c-code"&gt;Claim Already Paid | Ignored&lt;/td&gt;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v>
      </c>
      <c r="J2" t="s">
        <v>6274</v>
      </c>
    </row>
    <row r="3" spans="1:10" x14ac:dyDescent="0.25">
      <c r="A3" s="71" t="s">
        <v>6147</v>
      </c>
      <c r="B3" s="71" t="s">
        <v>6196</v>
      </c>
      <c r="C3" s="71" t="s">
        <v>6171</v>
      </c>
      <c r="D3" s="71" t="s">
        <v>6124</v>
      </c>
      <c r="E3" s="71" t="s">
        <v>6149</v>
      </c>
      <c r="F3" s="71" t="s">
        <v>4994</v>
      </c>
      <c r="G3" s="71">
        <v>18</v>
      </c>
      <c r="H3" s="71" t="s">
        <v>1289</v>
      </c>
      <c r="I3"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data-status="Duplicate Claim" data-action="Corrected Claim Resubmitted" data-source="Analyse|Web|Call" data-category="Jorie Resolved" data-sub="Duplicate Billing" data-reason="Exact duplicate claim/service" data-carc="18" data-rarc="N389"&gt;
  &lt;td class="c-code"&gt;Duplicate Claim&lt;/td&gt;
  &lt;td class="c-code"&gt;Corrected Claim Resubmitted&lt;/td&gt;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v>
      </c>
      <c r="J3" t="s">
        <v>6275</v>
      </c>
    </row>
    <row r="4" spans="1:10" x14ac:dyDescent="0.25">
      <c r="A4" s="71" t="s">
        <v>6147</v>
      </c>
      <c r="B4" s="71" t="s">
        <v>6151</v>
      </c>
      <c r="C4" s="71" t="s">
        <v>6171</v>
      </c>
      <c r="D4" s="71" t="s">
        <v>6124</v>
      </c>
      <c r="E4" s="71" t="s">
        <v>6149</v>
      </c>
      <c r="F4" s="71" t="s">
        <v>4994</v>
      </c>
      <c r="G4" s="71">
        <v>18</v>
      </c>
      <c r="H4" s="71" t="s">
        <v>1289</v>
      </c>
      <c r="I4"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data-status="Duplicate Claim" data-action="Duplicate Charges | Required Adjustment" data-source="Analyse|Web|Call" data-category="Jorie Resolved" data-sub="Duplicate Billing" data-reason="Exact duplicate claim/service" data-carc="18" data-rarc="N389"&gt;
  &lt;td class="c-code"&gt;Duplicate Claim&lt;/td&gt;
  &lt;td class="c-code"&gt;Duplicate Charges | Required Adjustment&lt;/td&gt;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v>
      </c>
      <c r="J4" t="s">
        <v>6276</v>
      </c>
    </row>
    <row r="5" spans="1:10" x14ac:dyDescent="0.25">
      <c r="A5" s="71" t="s">
        <v>6147</v>
      </c>
      <c r="B5" s="71" t="s">
        <v>6277</v>
      </c>
      <c r="C5" s="71" t="s">
        <v>6171</v>
      </c>
      <c r="D5" s="71" t="s">
        <v>6124</v>
      </c>
      <c r="E5" s="71" t="s">
        <v>6149</v>
      </c>
      <c r="F5" s="71" t="s">
        <v>4994</v>
      </c>
      <c r="G5" s="71">
        <v>18</v>
      </c>
      <c r="H5" s="71" t="s">
        <v>1289</v>
      </c>
      <c r="I5"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data-status="Duplicate Claim" data-action="Sent Back For Reprocessing" data-source="Analyse|Web|Call" data-category="Jorie Resolved" data-sub="Duplicate Billing" data-reason="Exact duplicate claim/service" data-carc="18" data-rarc="N389"&gt;
  &lt;td class="c-code"&gt;Duplicate Claim&lt;/td&gt;
  &lt;td class="c-code"&gt;Sent Back For Reprocessing&lt;/td&gt;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v>
      </c>
      <c r="J5" t="s">
        <v>6278</v>
      </c>
    </row>
    <row r="6" spans="1:10" x14ac:dyDescent="0.25">
      <c r="A6" s="71" t="s">
        <v>6135</v>
      </c>
      <c r="B6" s="71" t="s">
        <v>6127</v>
      </c>
      <c r="C6" s="71" t="s">
        <v>6171</v>
      </c>
      <c r="D6" s="71" t="s">
        <v>6124</v>
      </c>
      <c r="E6" s="71" t="s">
        <v>6120</v>
      </c>
      <c r="F6" s="71" t="s">
        <v>5077</v>
      </c>
      <c r="G6" s="71">
        <v>27</v>
      </c>
      <c r="H6" s="71" t="s">
        <v>655</v>
      </c>
      <c r="I6"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data-status="Expenses Incurred After Coverage Terminated" data-action="Verified | Submitted to Correct Insurance" data-source="Analyse|Web|Call" data-category="Jorie Resolved" data-sub="Eligibility / Coverage" data-reason="Expenses incurred after coverage terminated" data-carc="27" data-rarc="N30"&gt;
  &lt;td class="c-code"&gt;Expenses Incurred After Coverage Terminated&lt;/td&gt;
  &lt;td class="c-code"&gt;Verified | Submitted to Correct Insurance&lt;/td&gt;
  &lt;td class="c-code"&gt;Analyse|Web|Call&lt;/td&gt;
  &lt;td&gt;&lt;span class="chip chip-green"&gt;✔ Jorie Resolved&lt;/span&gt;&lt;/td&gt;
  &lt;td class="c-code"&gt;Eligibility / Coverage&lt;/td&gt;
  &lt;td class="c-wrap"&gt;&lt;span class="deny-text"&gt;Expenses incurred after coverage terminated&lt;/span&gt;&lt;/td&gt;
  &lt;td&gt;&lt;span class="code-pill carc"&gt;27&lt;/span&gt;&lt;/td&gt;
  &lt;td&gt;&lt;span class="code-pill rarc"&gt;N30&lt;/span&gt;&lt;/td&gt;
&lt;/tr&gt;</v>
      </c>
      <c r="J6" t="s">
        <v>6279</v>
      </c>
    </row>
    <row r="7" spans="1:10" x14ac:dyDescent="0.25">
      <c r="A7" s="71" t="s">
        <v>6143</v>
      </c>
      <c r="B7" s="71" t="s">
        <v>6127</v>
      </c>
      <c r="C7" s="71" t="s">
        <v>6171</v>
      </c>
      <c r="D7" s="71" t="s">
        <v>6124</v>
      </c>
      <c r="E7" s="71" t="s">
        <v>6120</v>
      </c>
      <c r="F7" s="71" t="s">
        <v>148</v>
      </c>
      <c r="G7" s="71">
        <v>26</v>
      </c>
      <c r="H7" s="71" t="s">
        <v>655</v>
      </c>
      <c r="I7"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data-status="Expenses Incurred Prior to Coverage" data-action="Verified | Submitted to Correct Insurance" data-source="Analyse|Web|Call" data-category="Jorie Resolved" data-sub="Eligibility / Coverage" data-reason="Expenses incurred prior to coverage." data-carc="26" data-rarc="N30"&gt;
  &lt;td class="c-code"&gt;Expenses Incurred Prior to Coverage&lt;/td&gt;
  &lt;td class="c-code"&gt;Verified | Submitted to Correct Insurance&lt;/td&gt;
  &lt;td class="c-code"&gt;Analyse|Web|Call&lt;/td&gt;
  &lt;td&gt;&lt;span class="chip chip-green"&gt;✔ Jorie Resolved&lt;/span&gt;&lt;/td&gt;
  &lt;td class="c-code"&gt;Eligibility / Coverage&lt;/td&gt;
  &lt;td class="c-wrap"&gt;&lt;span class="deny-text"&gt;Expenses incurred prior to coverage.&lt;/span&gt;&lt;/td&gt;
  &lt;td&gt;&lt;span class="code-pill carc"&gt;26&lt;/span&gt;&lt;/td&gt;
  &lt;td&gt;&lt;span class="code-pill rarc"&gt;N30&lt;/span&gt;&lt;/td&gt;
&lt;/tr&gt;</v>
      </c>
      <c r="J7" t="s">
        <v>6280</v>
      </c>
    </row>
    <row r="8" spans="1:10" x14ac:dyDescent="0.25">
      <c r="A8" s="71" t="s">
        <v>6264</v>
      </c>
      <c r="B8" s="71" t="s">
        <v>6196</v>
      </c>
      <c r="C8" s="71" t="s">
        <v>6171</v>
      </c>
      <c r="D8" s="71" t="s">
        <v>6124</v>
      </c>
      <c r="E8" s="71" t="s">
        <v>6199</v>
      </c>
      <c r="F8" s="71" t="s">
        <v>4974</v>
      </c>
      <c r="G8" s="71">
        <v>16</v>
      </c>
      <c r="H8" s="71" t="s">
        <v>2005</v>
      </c>
      <c r="I8"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data-status="Incorrect/Invaild/Missing Cpt" data-action="Corrected Claim Resubmitted" data-source="Analyse|Web|Call" data-category="Jorie Resolved" data-sub="Procedure Related" data-reason="Claim/service lacks information or has submission/billing error(s) which is needed for adjudication" data-carc="16" data-rarc="N784"&gt;
  &lt;td class="c-code"&gt;Incorrect/Invaild/Missing Cpt&lt;/td&gt;
  &lt;td class="c-code"&gt;Corrected Claim Resubmitted&lt;/td&gt;
  &lt;td class="c-code"&gt;Analyse|Web|Call&lt;/td&gt;
  &lt;td&gt;&lt;span class="chip chip-green"&gt;✔ Jorie Resolved&lt;/span&gt;&lt;/td&gt;
  &lt;td class="c-code"&gt;Procedure Related&lt;/td&gt;
  &lt;td class="c-wrap"&gt;&lt;span class="deny-text"&gt;Claim/service lacks information or has submission/billing error(s) which is needed for adjudication&lt;/span&gt;&lt;/td&gt;
  &lt;td&gt;&lt;span class="code-pill carc"&gt;16&lt;/span&gt;&lt;/td&gt;
  &lt;td&gt;&lt;span class="code-pill rarc"&gt;N784&lt;/span&gt;&lt;/td&gt;
&lt;/tr&gt;</v>
      </c>
      <c r="J8" t="s">
        <v>6281</v>
      </c>
    </row>
    <row r="9" spans="1:10" x14ac:dyDescent="0.25">
      <c r="A9" s="71" t="s">
        <v>6282</v>
      </c>
      <c r="B9" s="71" t="s">
        <v>6196</v>
      </c>
      <c r="C9" s="71" t="s">
        <v>6171</v>
      </c>
      <c r="D9" s="71" t="s">
        <v>6124</v>
      </c>
      <c r="E9" s="71" t="s">
        <v>6283</v>
      </c>
      <c r="F9" s="71" t="s">
        <v>4974</v>
      </c>
      <c r="G9" s="71">
        <v>16</v>
      </c>
      <c r="H9" s="71" t="s">
        <v>6218</v>
      </c>
      <c r="I9"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data-status="Incorrect/Missing Value code Amount" data-action="Corrected Claim Resubmitted" data-source="Analyse|Web|Call" data-category="Jorie Resolved" data-sub="Value code Amount" data-reason="Claim/service lacks information or has submission/billing error(s) which is needed for adjudication" data-carc="16" data-rarc="-"&gt;
  &lt;td class="c-code"&gt;Incorrect/Missing Value code Amount&lt;/td&gt;
  &lt;td class="c-code"&gt;Corrected Claim Resubmitted&lt;/td&gt;
  &lt;td class="c-code"&gt;Analyse|Web|Call&lt;/td&gt;
  &lt;td&gt;&lt;span class="chip chip-green"&gt;✔ Jorie Resolved&lt;/span&gt;&lt;/td&gt;
  &lt;td class="c-code"&gt;Value code Amount&lt;/td&gt;
  &lt;td class="c-wrap"&gt;&lt;span class="deny-text"&gt;Claim/service lacks information or has submission/billing error(s) which is needed for adjudication&lt;/span&gt;&lt;/td&gt;
  &lt;td&gt;&lt;span class="code-pill carc"&gt;16&lt;/span&gt;&lt;/td&gt;
  &lt;td&gt;&lt;span class="code-pill rarc"&gt;-&lt;/span&gt;&lt;/td&gt;
&lt;/tr&gt;</v>
      </c>
      <c r="J9" t="s">
        <v>6284</v>
      </c>
    </row>
    <row r="10" spans="1:10" x14ac:dyDescent="0.25">
      <c r="A10" s="71" t="s">
        <v>3708</v>
      </c>
      <c r="B10" s="71" t="s">
        <v>6277</v>
      </c>
      <c r="C10" s="71" t="s">
        <v>6171</v>
      </c>
      <c r="D10" s="71" t="s">
        <v>6124</v>
      </c>
      <c r="E10" s="71" t="s">
        <v>6187</v>
      </c>
      <c r="F10" s="71" t="s">
        <v>154</v>
      </c>
      <c r="G10" s="71" t="s">
        <v>3710</v>
      </c>
      <c r="H10" s="71" t="s">
        <v>280</v>
      </c>
      <c r="I10"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data-status="Invalid Authorization" data-action="Sent Back For Reprocessing" data-source="Analyse|Web|Call" data-category="Jorie Resolved" data-sub="Authorization/Referral" data-reason="Precertification/authorization/notification/pre-treatment absent." data-carc="CO 197" data-rarc="M62"&gt;
  &lt;td class="c-code"&gt;Invalid Authorization&lt;/td&gt;
  &lt;td class="c-code"&gt;Sent Back For Reprocessing&lt;/td&gt;
  &lt;td class="c-code"&gt;Analyse|Web|Call&lt;/td&gt;
  &lt;td&gt;&lt;span class="chip chip-green"&gt;✔ Jorie Resolved&lt;/span&gt;&lt;/td&gt;
  &lt;td class="c-code"&gt;Authorization/Referral&lt;/td&gt;
  &lt;td class="c-wrap"&gt;&lt;span class="deny-text"&gt;Precertification/authorization/notification/pre-treatment absent.&lt;/span&gt;&lt;/td&gt;
  &lt;td&gt;&lt;span class="code-pill carc"&gt;CO 197&lt;/span&gt;&lt;/td&gt;
  &lt;td&gt;&lt;span class="code-pill rarc"&gt;M62&lt;/span&gt;&lt;/td&gt;
&lt;/tr&gt;</v>
      </c>
      <c r="J10" t="s">
        <v>6285</v>
      </c>
    </row>
    <row r="11" spans="1:10" x14ac:dyDescent="0.25">
      <c r="A11" s="71" t="s">
        <v>6286</v>
      </c>
      <c r="B11" s="71" t="s">
        <v>6196</v>
      </c>
      <c r="C11" s="71" t="s">
        <v>6171</v>
      </c>
      <c r="D11" s="71" t="s">
        <v>6124</v>
      </c>
      <c r="E11" s="71" t="s">
        <v>6287</v>
      </c>
      <c r="F11" s="71" t="s">
        <v>4974</v>
      </c>
      <c r="G11" s="71">
        <v>16</v>
      </c>
      <c r="H11" s="71" t="s">
        <v>1530</v>
      </c>
      <c r="I11"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data-status="Mismatch Provider" data-action="Corrected Claim Resubmitted" data-source="Analyse|Web|Call" data-category="Jorie Resolved" data-sub="Mismatch Rendering Provider" data-reason="Claim/service lacks information or has submission/billing error(s) which is needed for adjudication" data-carc="16" data-rarc="N521"&gt;
  &lt;td class="c-code"&gt;Mismatch Provider&lt;/td&gt;
  &lt;td class="c-code"&gt;Corrected Claim Resubmitted&lt;/td&gt;
  &lt;td class="c-code"&gt;Analyse|Web|Call&lt;/td&gt;
  &lt;td&gt;&lt;span class="chip chip-green"&gt;✔ Jorie Resolved&lt;/span&gt;&lt;/td&gt;
  &lt;td class="c-code"&gt;Mismatch Rendering Provider&lt;/td&gt;
  &lt;td class="c-wrap"&gt;&lt;span class="deny-text"&gt;Claim/service lacks information or has submission/billing error(s) which is needed for adjudication&lt;/span&gt;&lt;/td&gt;
  &lt;td&gt;&lt;span class="code-pill carc"&gt;16&lt;/span&gt;&lt;/td&gt;
  &lt;td&gt;&lt;span class="code-pill rarc"&gt;N521&lt;/span&gt;&lt;/td&gt;
&lt;/tr&gt;</v>
      </c>
      <c r="J11" t="s">
        <v>6288</v>
      </c>
    </row>
    <row r="12" spans="1:10" x14ac:dyDescent="0.25">
      <c r="A12" s="71" t="s">
        <v>5571</v>
      </c>
      <c r="B12" s="71" t="s">
        <v>6196</v>
      </c>
      <c r="C12" s="71" t="s">
        <v>6171</v>
      </c>
      <c r="D12" s="71" t="s">
        <v>6124</v>
      </c>
      <c r="E12" s="71" t="s">
        <v>6289</v>
      </c>
      <c r="F12" s="71" t="s">
        <v>5018</v>
      </c>
      <c r="G12" s="71">
        <v>206</v>
      </c>
      <c r="H12" s="71" t="s">
        <v>1075</v>
      </c>
      <c r="I12"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data-status="Missing/incomplete/invalid NPI" data-action="Corrected Claim Resubmitted" data-source="Analyse|Web|Call" data-category="Jorie Resolved" data-sub="National Provider Identifier - Missing" data-reason="National Provider Identifier - missing" data-carc="206" data-rarc="N274"&gt;
  &lt;td class="c-code"&gt;Missing/incomplete/invalid NPI&lt;/td&gt;
  &lt;td class="c-code"&gt;Corrected Claim Resubmitted&lt;/td&gt;
  &lt;td class="c-code"&gt;Analyse|Web|Call&lt;/td&gt;
  &lt;td&gt;&lt;span class="chip chip-green"&gt;✔ Jorie Resolved&lt;/span&gt;&lt;/td&gt;
  &lt;td class="c-code"&gt;National Provider Identifier - Missing&lt;/td&gt;
  &lt;td class="c-wrap"&gt;&lt;span class="deny-text"&gt;National Provider Identifier - missing&lt;/span&gt;&lt;/td&gt;
  &lt;td&gt;&lt;span class="code-pill carc"&gt;206&lt;/span&gt;&lt;/td&gt;
  &lt;td&gt;&lt;span class="code-pill rarc"&gt;N274&lt;/span&gt;&lt;/td&gt;
&lt;/tr&gt;</v>
      </c>
      <c r="J12" t="s">
        <v>6290</v>
      </c>
    </row>
    <row r="13" spans="1:10" x14ac:dyDescent="0.25">
      <c r="A13" s="71" t="s">
        <v>6201</v>
      </c>
      <c r="B13" s="71" t="s">
        <v>6291</v>
      </c>
      <c r="C13" s="71" t="s">
        <v>6171</v>
      </c>
      <c r="D13" s="71" t="s">
        <v>6124</v>
      </c>
      <c r="E13" s="71" t="s">
        <v>6156</v>
      </c>
      <c r="F13" s="71" t="s">
        <v>4966</v>
      </c>
      <c r="G13" s="71" t="s">
        <v>6183</v>
      </c>
      <c r="H13" s="71" t="s">
        <v>1161</v>
      </c>
      <c r="I13"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data-status="No Denial | Claim Paid" data-action="Allow Time Payment Posting" data-source="Analyse|Web|Call" data-category="Jorie Resolved" data-sub="Paid" data-reason="Payment adjusted because the payer deems the information submitted does not support this many/frequency of services" data-carc="CO 151" data-rarc="N317"&gt;
  &lt;td class="c-code"&gt;No Denial | Claim Paid&lt;/td&gt;
  &lt;td class="c-code"&gt;Allow Time Payment Posting&lt;/td&gt;
  &lt;td class="c-code"&gt;Analyse|Web|Call&lt;/td&gt;
  &lt;td&gt;&lt;span class="chip chip-green"&gt;✔ Jorie Resolved&lt;/span&gt;&lt;/td&gt;
  &lt;td class="c-code"&gt;Paid&lt;/td&gt;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v>
      </c>
      <c r="J13" t="s">
        <v>6292</v>
      </c>
    </row>
    <row r="14" spans="1:10" x14ac:dyDescent="0.25">
      <c r="A14" s="71" t="s">
        <v>6201</v>
      </c>
      <c r="B14" s="71" t="s">
        <v>6291</v>
      </c>
      <c r="C14" s="71" t="s">
        <v>6171</v>
      </c>
      <c r="D14" s="71" t="s">
        <v>6124</v>
      </c>
      <c r="E14" s="71" t="s">
        <v>6156</v>
      </c>
      <c r="F14" s="71" t="s">
        <v>6293</v>
      </c>
      <c r="G14" s="71" t="s">
        <v>4890</v>
      </c>
      <c r="H14" s="71" t="s">
        <v>2002</v>
      </c>
      <c r="I14"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data-status="No Denial | Claim Paid" data-action="Allow Time Payment Posting" data-source="Analyse|Web|Call" data-category="Jorie Resolved" data-sub="Paid" data-reason="No deductible may be collected as patient is a Medicaid/Qualified Medicare Beneficiary" data-carc="CO 45" data-rarc="N781"&gt;
  &lt;td class="c-code"&gt;No Denial | Claim Paid&lt;/td&gt;
  &lt;td class="c-code"&gt;Allow Time Payment Posting&lt;/td&gt;
  &lt;td class="c-code"&gt;Analyse|Web|Call&lt;/td&gt;
  &lt;td&gt;&lt;span class="chip chip-green"&gt;✔ Jorie Resolved&lt;/span&gt;&lt;/td&gt;
  &lt;td class="c-code"&gt;Paid&lt;/td&gt;
  &lt;td class="c-wrap"&gt;&lt;span class="deny-text"&gt;No deductible may be collected as patient is a Medicaid/Qualified Medicare Beneficiary&lt;/span&gt;&lt;/td&gt;
  &lt;td&gt;&lt;span class="code-pill carc"&gt;CO 45&lt;/span&gt;&lt;/td&gt;
  &lt;td&gt;&lt;span class="code-pill rarc"&gt;N781&lt;/span&gt;&lt;/td&gt;
&lt;/tr&gt;</v>
      </c>
      <c r="J14" t="s">
        <v>6294</v>
      </c>
    </row>
    <row r="15" spans="1:10" x14ac:dyDescent="0.25">
      <c r="A15" s="71" t="s">
        <v>6201</v>
      </c>
      <c r="B15" s="71" t="s">
        <v>6273</v>
      </c>
      <c r="C15" s="71" t="s">
        <v>6171</v>
      </c>
      <c r="D15" s="71" t="s">
        <v>6124</v>
      </c>
      <c r="E15" s="71" t="s">
        <v>6181</v>
      </c>
      <c r="F15" s="71" t="s">
        <v>4966</v>
      </c>
      <c r="G15" s="71" t="s">
        <v>6183</v>
      </c>
      <c r="H15" s="71" t="s">
        <v>1161</v>
      </c>
      <c r="I15"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data-status="No Denial | Claim Paid" data-action="Claim Already Paid | Ignored" data-source="Analyse|Web|Call" data-category="Jorie Resolved" data-sub="Exceeded Units/Visits" data-reason="Payment adjusted because the payer deems the information submitted does not support this many/frequency of services" data-carc="CO 151" data-rarc="N317"&gt;
  &lt;td class="c-code"&gt;No Denial | Claim Paid&lt;/td&gt;
  &lt;td class="c-code"&gt;Claim Already Paid | Ignored&lt;/td&gt;
  &lt;td class="c-code"&gt;Analyse|Web|Call&lt;/td&gt;
  &lt;td&gt;&lt;span class="chip chip-green"&gt;✔ Jorie Resolved&lt;/span&gt;&lt;/td&gt;
  &lt;td class="c-code"&gt;Exceeded Units/Visits&lt;/td&gt;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v>
      </c>
      <c r="J15" t="s">
        <v>6295</v>
      </c>
    </row>
    <row r="16" spans="1:10" x14ac:dyDescent="0.25">
      <c r="A16" s="71" t="s">
        <v>6201</v>
      </c>
      <c r="B16" s="71" t="s">
        <v>6204</v>
      </c>
      <c r="C16" s="71" t="s">
        <v>6171</v>
      </c>
      <c r="D16" s="71" t="s">
        <v>6124</v>
      </c>
      <c r="E16" s="71" t="s">
        <v>6156</v>
      </c>
      <c r="F16" s="71" t="s">
        <v>4966</v>
      </c>
      <c r="G16" s="71" t="s">
        <v>6183</v>
      </c>
      <c r="H16" s="71" t="s">
        <v>1161</v>
      </c>
      <c r="I16"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data-status="No Denial | Claim Paid" data-action="Payment Already Posted In CPSI | Ignored" data-source="Analyse|Web|Call" data-category="Jorie Resolved" data-sub="Paid" data-reason="Payment adjusted because the payer deems the information submitted does not support this many/frequency of services" data-carc="CO 151" data-rarc="N317"&gt;
  &lt;td class="c-code"&gt;No Denial | Claim Paid&lt;/td&gt;
  &lt;td class="c-code"&gt;Payment Already Posted In CPSI | Ignored&lt;/td&gt;
  &lt;td class="c-code"&gt;Analyse|Web|Call&lt;/td&gt;
  &lt;td&gt;&lt;span class="chip chip-green"&gt;✔ Jorie Resolved&lt;/span&gt;&lt;/td&gt;
  &lt;td class="c-code"&gt;Paid&lt;/td&gt;
  &lt;td class="c-wrap"&gt;&lt;span class="deny-text"&gt;Payment adjusted because the payer deems the information submitted does not support this many/frequency of services&lt;/span&gt;&lt;/td&gt;
  &lt;td&gt;&lt;span class="code-pill carc"&gt;CO 151&lt;/span&gt;&lt;/td&gt;
  &lt;td&gt;&lt;span class="code-pill rarc"&gt;N317&lt;/span&gt;&lt;/td&gt;
&lt;/tr&gt;</v>
      </c>
      <c r="J16" t="s">
        <v>6296</v>
      </c>
    </row>
    <row r="17" spans="1:10" x14ac:dyDescent="0.25">
      <c r="A17" s="71" t="s">
        <v>6201</v>
      </c>
      <c r="B17" s="71" t="s">
        <v>6297</v>
      </c>
      <c r="C17" s="71" t="s">
        <v>6171</v>
      </c>
      <c r="D17" s="71" t="s">
        <v>6124</v>
      </c>
      <c r="E17" s="71" t="s">
        <v>6156</v>
      </c>
      <c r="F17" s="71" t="s">
        <v>5145</v>
      </c>
      <c r="G17" s="71">
        <v>97</v>
      </c>
      <c r="H17" s="71" t="s">
        <v>206</v>
      </c>
      <c r="I17"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data-status="No Denial | Claim Paid" data-action="Secondary Claim Submission" data-source="Analyse|Web|Call" data-category="Jorie Resolved" data-sub="Paid" data-reason="The benefit for this service is included in the payment/allowance for another service/procedure that has already been adjudicated" data-carc="97" data-rarc="M15"&gt;
  &lt;td class="c-code"&gt;No Denial | Claim Paid&lt;/td&gt;
  &lt;td class="c-code"&gt;Secondary Claim Submission&lt;/td&gt;
  &lt;td class="c-code"&gt;Analyse|Web|Call&lt;/td&gt;
  &lt;td&gt;&lt;span class="chip chip-green"&gt;✔ Jorie Resolved&lt;/span&gt;&lt;/td&gt;
  &lt;td class="c-code"&gt;Paid&lt;/td&gt;
  &lt;td class="c-wrap"&gt;&lt;span class="deny-text"&gt;The benefit for this service is included in the payment/allowance for another service/procedure that has already been adjudicated&lt;/span&gt;&lt;/td&gt;
  &lt;td&gt;&lt;span class="code-pill carc"&gt;97&lt;/span&gt;&lt;/td&gt;
  &lt;td&gt;&lt;span class="code-pill rarc"&gt;M15&lt;/span&gt;&lt;/td&gt;
&lt;/tr&gt;</v>
      </c>
      <c r="J17" t="s">
        <v>6298</v>
      </c>
    </row>
    <row r="18" spans="1:10" x14ac:dyDescent="0.25">
      <c r="A18" s="71" t="s">
        <v>6206</v>
      </c>
      <c r="B18" s="71" t="s">
        <v>6277</v>
      </c>
      <c r="C18" s="71" t="s">
        <v>6171</v>
      </c>
      <c r="D18" s="71" t="s">
        <v>6124</v>
      </c>
      <c r="E18" s="71" t="s">
        <v>6207</v>
      </c>
      <c r="F18" s="71" t="s">
        <v>1404</v>
      </c>
      <c r="G18" s="71">
        <v>96</v>
      </c>
      <c r="H18" s="71" t="s">
        <v>1403</v>
      </c>
      <c r="I18"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data-status="Non-Covered Service Under Patient" data-action="Sent Back For Reprocessing" data-source="Analyse|Web|Call" data-category="Jorie Resolved" data-sub="Non-Covered Service" data-reason="This drug/service/supply is not included in the fee schedule or contracted/legislated fee arrangement." data-carc="96" data-rarc="N448"&gt;
  &lt;td class="c-code"&gt;Non-Covered Service Under Patient&lt;/td&gt;
  &lt;td class="c-code"&gt;Sent Back For Reprocessing&lt;/td&gt;
  &lt;td class="c-code"&gt;Analyse|Web|Call&lt;/td&gt;
  &lt;td&gt;&lt;span class="chip chip-green"&gt;✔ Jorie Resolved&lt;/span&gt;&lt;/td&gt;
  &lt;td class="c-code"&gt;Non-Covered Service&lt;/td&gt;
  &lt;td class="c-wrap"&gt;&lt;span class="deny-text"&gt;This drug/service/supply is not included in the fee schedule or contracted/legislated fee arrangement.&lt;/span&gt;&lt;/td&gt;
  &lt;td&gt;&lt;span class="code-pill carc"&gt;96&lt;/span&gt;&lt;/td&gt;
  &lt;td&gt;&lt;span class="code-pill rarc"&gt;N448&lt;/span&gt;&lt;/td&gt;
&lt;/tr&gt;</v>
      </c>
      <c r="J18" t="s">
        <v>6299</v>
      </c>
    </row>
    <row r="19" spans="1:10" x14ac:dyDescent="0.25">
      <c r="A19" s="71" t="s">
        <v>6300</v>
      </c>
      <c r="B19" s="71" t="s">
        <v>6196</v>
      </c>
      <c r="C19" s="71" t="s">
        <v>6171</v>
      </c>
      <c r="D19" s="71" t="s">
        <v>6124</v>
      </c>
      <c r="E19" s="71" t="s">
        <v>6301</v>
      </c>
      <c r="F19" s="71" t="s">
        <v>4974</v>
      </c>
      <c r="G19" s="71">
        <v>16</v>
      </c>
      <c r="H19" s="71" t="s">
        <v>5254</v>
      </c>
      <c r="I19"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data-status="NPI Missing in Claim Form" data-action="Corrected Claim Resubmitted" data-source="Analyse|Web|Call" data-category="Jorie Resolved" data-sub="Attending Provider NPI Missing" data-reason="Claim/service lacks information or has submission/billing error(s) which is needed for adjudication" data-carc="16" data-rarc="M68"&gt;
  &lt;td class="c-code"&gt;NPI Missing in Claim Form&lt;/td&gt;
  &lt;td class="c-code"&gt;Corrected Claim Resubmitted&lt;/td&gt;
  &lt;td class="c-code"&gt;Analyse|Web|Call&lt;/td&gt;
  &lt;td&gt;&lt;span class="chip chip-green"&gt;✔ Jorie Resolved&lt;/span&gt;&lt;/td&gt;
  &lt;td class="c-code"&gt;Attending Provider NPI Missing&lt;/td&gt;
  &lt;td class="c-wrap"&gt;&lt;span class="deny-text"&gt;Claim/service lacks information or has submission/billing error(s) which is needed for adjudication&lt;/span&gt;&lt;/td&gt;
  &lt;td&gt;&lt;span class="code-pill carc"&gt;16&lt;/span&gt;&lt;/td&gt;
  &lt;td&gt;&lt;span class="code-pill rarc"&gt;M68&lt;/span&gt;&lt;/td&gt;
&lt;/tr&gt;</v>
      </c>
      <c r="J19" t="s">
        <v>6302</v>
      </c>
    </row>
    <row r="20" spans="1:10" x14ac:dyDescent="0.25">
      <c r="A20" s="71" t="s">
        <v>6212</v>
      </c>
      <c r="B20" s="71" t="s">
        <v>6196</v>
      </c>
      <c r="C20" s="71" t="s">
        <v>6171</v>
      </c>
      <c r="D20" s="71" t="s">
        <v>6124</v>
      </c>
      <c r="E20" s="71" t="s">
        <v>6212</v>
      </c>
      <c r="F20" s="71" t="s">
        <v>4974</v>
      </c>
      <c r="G20" s="71">
        <v>16</v>
      </c>
      <c r="H20" s="71" t="s">
        <v>557</v>
      </c>
      <c r="I20"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data-status="Occurrence Code/Date Related" data-action="Corrected Claim Resubmitted" data-source="Analyse|Web|Call" data-category="Jorie Resolved" data-sub="Occurrence Code/Date Related" data-reason="Claim/service lacks information or has submission/billing error(s) which is needed for adjudication" data-carc="16" data-rarc="MA100"&gt;
  &lt;td class="c-code"&gt;Occurrence Code/Date Related&lt;/td&gt;
  &lt;td class="c-code"&gt;Corrected Claim Resubmitted&lt;/td&gt;
  &lt;td class="c-code"&gt;Analyse|Web|Call&lt;/td&gt;
  &lt;td&gt;&lt;span class="chip chip-green"&gt;✔ Jorie Resolved&lt;/span&gt;&lt;/td&gt;
  &lt;td class="c-code"&gt;Occurrence Code/Date Related&lt;/td&gt;
  &lt;td class="c-wrap"&gt;&lt;span class="deny-text"&gt;Claim/service lacks information or has submission/billing error(s) which is needed for adjudication&lt;/span&gt;&lt;/td&gt;
  &lt;td&gt;&lt;span class="code-pill carc"&gt;16&lt;/span&gt;&lt;/td&gt;
  &lt;td&gt;&lt;span class="code-pill rarc"&gt;MA100&lt;/span&gt;&lt;/td&gt;
&lt;/tr&gt;</v>
      </c>
      <c r="J20" t="s">
        <v>6303</v>
      </c>
    </row>
    <row r="21" spans="1:10" x14ac:dyDescent="0.25">
      <c r="A21" s="71" t="s">
        <v>6304</v>
      </c>
      <c r="B21" s="71" t="s">
        <v>6291</v>
      </c>
      <c r="C21" s="71" t="s">
        <v>6171</v>
      </c>
      <c r="D21" s="71" t="s">
        <v>6124</v>
      </c>
      <c r="E21" s="71" t="s">
        <v>6156</v>
      </c>
      <c r="F21" s="71" t="s">
        <v>4994</v>
      </c>
      <c r="G21" s="71" t="s">
        <v>2517</v>
      </c>
      <c r="H21" s="71" t="s">
        <v>1289</v>
      </c>
      <c r="I21"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data-status="Paid &amp; Deductible Applied" data-action="Allow Time Payment Posting" data-source="Analyse|Web|Call" data-category="Jorie Resolved" data-sub="Paid" data-reason="Exact duplicate claim/service" data-carc="CO 18" data-rarc="N389"&gt;
  &lt;td class="c-code"&gt;Paid &amp; Deductible Applied&lt;/td&gt;
  &lt;td class="c-code"&gt;Allow Time Payment Posting&lt;/td&gt;
  &lt;td class="c-code"&gt;Analyse|Web|Call&lt;/td&gt;
  &lt;td&gt;&lt;span class="chip chip-green"&gt;✔ Jorie Resolved&lt;/span&gt;&lt;/td&gt;
  &lt;td class="c-code"&gt;Paid&lt;/td&gt;
  &lt;td class="c-wrap"&gt;&lt;span class="deny-text"&gt;Exact duplicate claim/service&lt;/span&gt;&lt;/td&gt;
  &lt;td&gt;&lt;span class="code-pill carc"&gt;CO 18&lt;/span&gt;&lt;/td&gt;
  &lt;td&gt;&lt;span class="code-pill rarc"&gt;N389&lt;/span&gt;&lt;/td&gt;
&lt;/tr&gt;</v>
      </c>
      <c r="J21" t="s">
        <v>6305</v>
      </c>
    </row>
    <row r="22" spans="1:10" x14ac:dyDescent="0.25">
      <c r="A22" s="71" t="s">
        <v>6142</v>
      </c>
      <c r="B22" s="71" t="s">
        <v>6127</v>
      </c>
      <c r="C22" s="71" t="s">
        <v>6171</v>
      </c>
      <c r="D22" s="71" t="s">
        <v>6124</v>
      </c>
      <c r="E22" s="71" t="s">
        <v>6120</v>
      </c>
      <c r="F22" s="71" t="s">
        <v>5105</v>
      </c>
      <c r="G22" s="71">
        <v>31</v>
      </c>
      <c r="H22" s="71" t="s">
        <v>500</v>
      </c>
      <c r="I22"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data-status="Patient Cannot be Identified as Our Insured" data-action="Verified | Submitted to Correct Insurance" data-source="Analyse|Web|Call" data-category="Jorie Resolved" data-sub="Eligibility / Coverage" data-reason="Patient cannot be identified as our insured" data-carc="31" data-rarc="MA61"&gt;
  &lt;td class="c-code"&gt;Patient Cannot be Identified as Our Insured&lt;/td&gt;
  &lt;td class="c-code"&gt;Verified | Submitted to Correct Insurance&lt;/td&gt;
  &lt;td class="c-code"&gt;Analyse|Web|Call&lt;/td&gt;
  &lt;td&gt;&lt;span class="chip chip-green"&gt;✔ Jorie Resolved&lt;/span&gt;&lt;/td&gt;
  &lt;td class="c-code"&gt;Eligibility / Coverage&lt;/td&gt;
  &lt;td class="c-wrap"&gt;&lt;span class="deny-text"&gt;Patient cannot be identified as our insured&lt;/span&gt;&lt;/td&gt;
  &lt;td&gt;&lt;span class="code-pill carc"&gt;31&lt;/span&gt;&lt;/td&gt;
  &lt;td&gt;&lt;span class="code-pill rarc"&gt;MA61&lt;/span&gt;&lt;/td&gt;
&lt;/tr&gt;</v>
      </c>
      <c r="J22" t="s">
        <v>6306</v>
      </c>
    </row>
    <row r="23" spans="1:10" x14ac:dyDescent="0.25">
      <c r="A23" s="71" t="s">
        <v>6152</v>
      </c>
      <c r="B23" s="71" t="s">
        <v>6273</v>
      </c>
      <c r="C23" s="71" t="s">
        <v>6171</v>
      </c>
      <c r="D23" s="71" t="s">
        <v>6124</v>
      </c>
      <c r="E23" s="71" t="s">
        <v>6149</v>
      </c>
      <c r="F23" s="71" t="s">
        <v>4994</v>
      </c>
      <c r="G23" s="71">
        <v>18</v>
      </c>
      <c r="H23" s="71" t="s">
        <v>1289</v>
      </c>
      <c r="I23"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data-status="Payment Reversal" data-action="Claim Already Paid | Ignored" data-source="Analyse|Web|Call" data-category="Jorie Resolved" data-sub="Duplicate Billing" data-reason="Exact duplicate claim/service" data-carc="18" data-rarc="N389"&gt;
  &lt;td class="c-code"&gt;Payment Reversal&lt;/td&gt;
  &lt;td class="c-code"&gt;Claim Already Paid | Ignored&lt;/td&gt;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v>
      </c>
      <c r="J23" t="s">
        <v>6307</v>
      </c>
    </row>
    <row r="24" spans="1:10" x14ac:dyDescent="0.25">
      <c r="A24" s="71" t="s">
        <v>6220</v>
      </c>
      <c r="B24" s="71" t="s">
        <v>6308</v>
      </c>
      <c r="C24" s="71" t="s">
        <v>6171</v>
      </c>
      <c r="D24" s="71" t="s">
        <v>6124</v>
      </c>
      <c r="E24" s="71" t="s">
        <v>6193</v>
      </c>
      <c r="F24" s="71" t="s">
        <v>5120</v>
      </c>
      <c r="G24" s="71" t="s">
        <v>6221</v>
      </c>
      <c r="H24" s="71" t="s">
        <v>337</v>
      </c>
      <c r="I24"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data-status="POS &amp; Procedure Not Matched" data-action="Claim Ignored_Already Paid" data-source="Analyse|Web|Call" data-category="Jorie Resolved" data-sub="Incorrect/Invalid/Missing POS|TOB" data-reason="The procedure code/bill type is inconsistent with the place of service" data-carc="CO 5" data-rarc="M97"&gt;
  &lt;td class="c-code"&gt;POS &amp; Procedure Not Matched&lt;/td&gt;
  &lt;td class="c-code"&gt;Claim Ignored_Already Paid&lt;/td&gt;
  &lt;td class="c-code"&gt;Analyse|Web|Call&lt;/td&gt;
  &lt;td&gt;&lt;span class="chip chip-green"&gt;✔ Jorie Resolved&lt;/span&gt;&lt;/td&gt;
  &lt;td class="c-code"&gt;Incorrect/Invalid/Missing POS|TOB&lt;/td&gt;
  &lt;td class="c-wrap"&gt;&lt;span class="deny-text"&gt;The procedure code/bill type is inconsistent with the place of service&lt;/span&gt;&lt;/td&gt;
  &lt;td&gt;&lt;span class="code-pill carc"&gt;CO 5&lt;/span&gt;&lt;/td&gt;
  &lt;td&gt;&lt;span class="code-pill rarc"&gt;M97&lt;/span&gt;&lt;/td&gt;
&lt;/tr&gt;</v>
      </c>
      <c r="J24" t="s">
        <v>6309</v>
      </c>
    </row>
    <row r="25" spans="1:10" x14ac:dyDescent="0.25">
      <c r="A25" s="71" t="s">
        <v>6220</v>
      </c>
      <c r="B25" s="71" t="s">
        <v>6196</v>
      </c>
      <c r="C25" s="71" t="s">
        <v>6171</v>
      </c>
      <c r="D25" s="71" t="s">
        <v>6124</v>
      </c>
      <c r="E25" s="71" t="s">
        <v>6193</v>
      </c>
      <c r="F25" s="71" t="s">
        <v>5120</v>
      </c>
      <c r="G25" s="71" t="s">
        <v>6221</v>
      </c>
      <c r="H25" s="71" t="s">
        <v>337</v>
      </c>
      <c r="I25"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data-status="POS &amp; Procedure Not Matched" data-action="Corrected Claim Resubmitted" data-source="Analyse|Web|Call" data-category="Jorie Resolved" data-sub="Incorrect/Invalid/Missing POS|TOB" data-reason="The procedure code/bill type is inconsistent with the place of service" data-carc="CO 5" data-rarc="M97"&gt;
  &lt;td class="c-code"&gt;POS &amp; Procedure Not Matched&lt;/td&gt;
  &lt;td class="c-code"&gt;Corrected Claim Resubmitted&lt;/td&gt;
  &lt;td class="c-code"&gt;Analyse|Web|Call&lt;/td&gt;
  &lt;td&gt;&lt;span class="chip chip-green"&gt;✔ Jorie Resolved&lt;/span&gt;&lt;/td&gt;
  &lt;td class="c-code"&gt;Incorrect/Invalid/Missing POS|TOB&lt;/td&gt;
  &lt;td class="c-wrap"&gt;&lt;span class="deny-text"&gt;The procedure code/bill type is inconsistent with the place of service&lt;/span&gt;&lt;/td&gt;
  &lt;td&gt;&lt;span class="code-pill carc"&gt;CO 5&lt;/span&gt;&lt;/td&gt;
  &lt;td&gt;&lt;span class="code-pill rarc"&gt;M97&lt;/span&gt;&lt;/td&gt;
&lt;/tr&gt;</v>
      </c>
      <c r="J25" t="s">
        <v>6310</v>
      </c>
    </row>
    <row r="26" spans="1:10" x14ac:dyDescent="0.25">
      <c r="A26" s="71" t="s">
        <v>6126</v>
      </c>
      <c r="B26" s="71" t="s">
        <v>6311</v>
      </c>
      <c r="C26" s="71" t="s">
        <v>6171</v>
      </c>
      <c r="D26" s="71" t="s">
        <v>6124</v>
      </c>
      <c r="E26" s="71" t="s">
        <v>6120</v>
      </c>
      <c r="F26" s="71" t="s">
        <v>5061</v>
      </c>
      <c r="G26" s="71">
        <v>252</v>
      </c>
      <c r="H26" s="71" t="s">
        <v>615</v>
      </c>
      <c r="I26"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data-status="Primary Carrier EOB Missing" data-action="Primary EOB Submitted" data-source="Analyse|Web|Call" data-category="Jorie Resolved" data-sub="Eligibility / Coverage" data-reason="An attachment/other documentation is required to adjudicate this claim/service. At least one Remark Code must be provided" data-carc="252" data-rarc="N4"&gt;
  &lt;td class="c-code"&gt;Primary Carrier EOB Missing&lt;/td&gt;
  &lt;td class="c-code"&gt;Primary EOB Submitted&lt;/td&gt;
  &lt;td class="c-code"&gt;Analyse|Web|Call&lt;/td&gt;
  &lt;td&gt;&lt;span class="chip chip-green"&gt;✔ Jorie Resolved&lt;/span&gt;&lt;/td&gt;
  &lt;td class="c-code"&gt;Eligibility / Coverage&lt;/td&gt;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v>
      </c>
      <c r="J26" t="s">
        <v>6312</v>
      </c>
    </row>
    <row r="27" spans="1:10" x14ac:dyDescent="0.25">
      <c r="A27" s="71" t="s">
        <v>6126</v>
      </c>
      <c r="B27" s="71" t="s">
        <v>6311</v>
      </c>
      <c r="C27" s="71" t="s">
        <v>6171</v>
      </c>
      <c r="D27" s="71" t="s">
        <v>6124</v>
      </c>
      <c r="E27" s="71" t="s">
        <v>6120</v>
      </c>
      <c r="F27" s="71" t="s">
        <v>4974</v>
      </c>
      <c r="G27" s="71">
        <v>16</v>
      </c>
      <c r="H27" s="71" t="s">
        <v>417</v>
      </c>
      <c r="I27"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data-status="Primary Carrier EOB Missing" data-action="Primary EOB Submitted" data-source="Analyse|Web|Call" data-category="Jorie Resolved" data-sub="Eligibility / Coverage" data-reason="Claim/service lacks information or has submission/billing error(s) which is needed for adjudication" data-carc="16" data-rarc="MA04"&gt;
  &lt;td class="c-code"&gt;Primary Carrier EOB Missing&lt;/td&gt;
  &lt;td class="c-code"&gt;Primary EOB Submitted&lt;/td&gt;
  &lt;td class="c-code"&gt;Analyse|Web|Call&lt;/td&gt;
  &lt;td&gt;&lt;span class="chip chip-green"&gt;✔ Jorie Resolved&lt;/span&gt;&lt;/td&gt;
  &lt;td class="c-code"&gt;Eligibility / Coverage&lt;/td&gt;
  &lt;td class="c-wrap"&gt;&lt;span class="deny-text"&gt;Claim/service lacks information or has submission/billing error(s) which is needed for adjudication&lt;/span&gt;&lt;/td&gt;
  &lt;td&gt;&lt;span class="code-pill carc"&gt;16&lt;/span&gt;&lt;/td&gt;
  &lt;td&gt;&lt;span class="code-pill rarc"&gt;MA04&lt;/span&gt;&lt;/td&gt;
&lt;/tr&gt;</v>
      </c>
      <c r="J27" t="s">
        <v>6313</v>
      </c>
    </row>
    <row r="28" spans="1:10" x14ac:dyDescent="0.25">
      <c r="A28" s="71" t="s">
        <v>6126</v>
      </c>
      <c r="B28" s="71" t="s">
        <v>6127</v>
      </c>
      <c r="C28" s="71" t="s">
        <v>6171</v>
      </c>
      <c r="D28" s="71" t="s">
        <v>6124</v>
      </c>
      <c r="E28" s="71" t="s">
        <v>6120</v>
      </c>
      <c r="F28" s="71" t="s">
        <v>4974</v>
      </c>
      <c r="G28" s="71">
        <v>16</v>
      </c>
      <c r="H28" s="71" t="s">
        <v>417</v>
      </c>
      <c r="I28"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data-status="Primary Carrier EOB Missing" data-action="Verified | Submitted to Correct Insurance" data-source="Analyse|Web|Call" data-category="Jorie Resolved" data-sub="Eligibility / Coverage" data-reason="Claim/service lacks information or has submission/billing error(s) which is needed for adjudication" data-carc="16" data-rarc="MA04"&gt;
  &lt;td class="c-code"&gt;Primary Carrier EOB Missing&lt;/td&gt;
  &lt;td class="c-code"&gt;Verified | Submitted to Correct Insurance&lt;/td&gt;
  &lt;td class="c-code"&gt;Analyse|Web|Call&lt;/td&gt;
  &lt;td&gt;&lt;span class="chip chip-green"&gt;✔ Jorie Resolved&lt;/span&gt;&lt;/td&gt;
  &lt;td class="c-code"&gt;Eligibility / Coverage&lt;/td&gt;
  &lt;td class="c-wrap"&gt;&lt;span class="deny-text"&gt;Claim/service lacks information or has submission/billing error(s) which is needed for adjudication&lt;/span&gt;&lt;/td&gt;
  &lt;td&gt;&lt;span class="code-pill carc"&gt;16&lt;/span&gt;&lt;/td&gt;
  &lt;td&gt;&lt;span class="code-pill rarc"&gt;MA04&lt;/span&gt;&lt;/td&gt;
&lt;/tr&gt;</v>
      </c>
      <c r="J28" t="s">
        <v>6314</v>
      </c>
    </row>
    <row r="29" spans="1:10" x14ac:dyDescent="0.25">
      <c r="A29" s="71" t="s">
        <v>6126</v>
      </c>
      <c r="B29" s="71" t="s">
        <v>6127</v>
      </c>
      <c r="C29" s="71" t="s">
        <v>6171</v>
      </c>
      <c r="D29" s="71" t="s">
        <v>6124</v>
      </c>
      <c r="E29" s="71" t="s">
        <v>6120</v>
      </c>
      <c r="F29" s="71" t="s">
        <v>5061</v>
      </c>
      <c r="G29" s="71">
        <v>252</v>
      </c>
      <c r="H29" s="71" t="s">
        <v>615</v>
      </c>
      <c r="I29"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data-status="Primary Carrier EOB Missing" data-action="Verified | Submitted to Correct Insurance" data-source="Analyse|Web|Call" data-category="Jorie Resolved" data-sub="Eligibility / Coverage" data-reason="An attachment/other documentation is required to adjudicate this claim/service. At least one Remark Code must be provided" data-carc="252" data-rarc="N4"&gt;
  &lt;td class="c-code"&gt;Primary Carrier EOB Missing&lt;/td&gt;
  &lt;td class="c-code"&gt;Verified | Submitted to Correct Insurance&lt;/td&gt;
  &lt;td class="c-code"&gt;Analyse|Web|Call&lt;/td&gt;
  &lt;td&gt;&lt;span class="chip chip-green"&gt;✔ Jorie Resolved&lt;/span&gt;&lt;/td&gt;
  &lt;td class="c-code"&gt;Eligibility / Coverage&lt;/td&gt;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v>
      </c>
      <c r="J29" t="s">
        <v>6315</v>
      </c>
    </row>
    <row r="30" spans="1:10" x14ac:dyDescent="0.25">
      <c r="A30" s="71" t="s">
        <v>6316</v>
      </c>
      <c r="B30" s="71" t="s">
        <v>6317</v>
      </c>
      <c r="C30" s="71" t="s">
        <v>6171</v>
      </c>
      <c r="D30" s="71" t="s">
        <v>6124</v>
      </c>
      <c r="E30" s="71" t="s">
        <v>6318</v>
      </c>
      <c r="F30" s="71" t="s">
        <v>151</v>
      </c>
      <c r="G30" s="71" t="s">
        <v>6319</v>
      </c>
      <c r="H30" s="71" t="s">
        <v>1764</v>
      </c>
      <c r="I30"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data-status="Procedure Postponed, Canceled, or Delayed" data-action="Denial Ignored" data-source="Analyse|Web|Call" data-category="Jorie Resolved" data-sub="Claim Voided" data-reason="Procedure postponed, canceled, or delayed." data-carc="CO 115" data-rarc="N650"&gt;
  &lt;td class="c-code"&gt;Procedure Postponed, Canceled, or Delayed&lt;/td&gt;
  &lt;td class="c-code"&gt;Denial Ignored&lt;/td&gt;
  &lt;td class="c-code"&gt;Analyse|Web|Call&lt;/td&gt;
  &lt;td&gt;&lt;span class="chip chip-green"&gt;✔ Jorie Resolved&lt;/span&gt;&lt;/td&gt;
  &lt;td class="c-code"&gt;Claim Voided&lt;/td&gt;
  &lt;td class="c-wrap"&gt;&lt;span class="deny-text"&gt;Procedure postponed, canceled, or delayed.&lt;/span&gt;&lt;/td&gt;
  &lt;td&gt;&lt;span class="code-pill carc"&gt;CO 115&lt;/span&gt;&lt;/td&gt;
  &lt;td&gt;&lt;span class="code-pill rarc"&gt;N650&lt;/span&gt;&lt;/td&gt;
&lt;/tr&gt;</v>
      </c>
      <c r="J30" t="s">
        <v>6320</v>
      </c>
    </row>
    <row r="31" spans="1:10" x14ac:dyDescent="0.25">
      <c r="A31" s="71" t="s">
        <v>166</v>
      </c>
      <c r="B31" s="71" t="s">
        <v>6196</v>
      </c>
      <c r="C31" s="71" t="s">
        <v>6171</v>
      </c>
      <c r="D31" s="71" t="s">
        <v>6124</v>
      </c>
      <c r="E31" s="71" t="s">
        <v>6187</v>
      </c>
      <c r="F31" s="71" t="s">
        <v>166</v>
      </c>
      <c r="G31" s="71" t="s">
        <v>6229</v>
      </c>
      <c r="H31" s="71" t="s">
        <v>1726</v>
      </c>
      <c r="I31"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data-status="Referral absent" data-action="Corrected Claim Resubmitted" data-source="Analyse|Web|Call" data-category="Jorie Resolved" data-sub="Authorization/Referral" data-reason="Referral absent" data-carc="CO 288" data-rarc="N630"&gt;
  &lt;td class="c-code"&gt;Referral absent&lt;/td&gt;
  &lt;td class="c-code"&gt;Corrected Claim Resubmitted&lt;/td&gt;
  &lt;td class="c-code"&gt;Analyse|Web|Call&lt;/td&gt;
  &lt;td&gt;&lt;span class="chip chip-green"&gt;✔ Jorie Resolved&lt;/span&gt;&lt;/td&gt;
  &lt;td class="c-code"&gt;Authorization/Referral&lt;/td&gt;
  &lt;td class="c-wrap"&gt;&lt;span class="deny-text"&gt;Referral absent&lt;/span&gt;&lt;/td&gt;
  &lt;td&gt;&lt;span class="code-pill carc"&gt;CO 288&lt;/span&gt;&lt;/td&gt;
  &lt;td&gt;&lt;span class="code-pill rarc"&gt;N630&lt;/span&gt;&lt;/td&gt;
&lt;/tr&gt;</v>
      </c>
      <c r="J31" t="s">
        <v>6321</v>
      </c>
    </row>
    <row r="32" spans="1:10" x14ac:dyDescent="0.25">
      <c r="A32" s="71" t="s">
        <v>6241</v>
      </c>
      <c r="B32" s="71" t="s">
        <v>6322</v>
      </c>
      <c r="C32" s="71" t="s">
        <v>6171</v>
      </c>
      <c r="D32" s="71" t="s">
        <v>6124</v>
      </c>
      <c r="E32" s="71" t="s">
        <v>6242</v>
      </c>
      <c r="F32" s="71" t="s">
        <v>5060</v>
      </c>
      <c r="G32" s="71" t="s">
        <v>6243</v>
      </c>
      <c r="H32" s="71" t="s">
        <v>6244</v>
      </c>
      <c r="I32"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data-status="Requested MR/Itemized Bill" data-action="Documents Submitted" data-source="Analyse|Web|Call" data-category="Jorie Resolved" data-sub="Document Requested Itemized Bill | MR" data-reason="The attachment/other documentation is not required for adjudication of this claim/service" data-carc="CO 251" data-rarc="N29"&gt;
  &lt;td class="c-code"&gt;Requested MR/Itemized Bill&lt;/td&gt;
  &lt;td class="c-code"&gt;Documents Submitted&lt;/td&gt;
  &lt;td class="c-code"&gt;Analyse|Web|Call&lt;/td&gt;
  &lt;td&gt;&lt;span class="chip chip-green"&gt;✔ Jorie Resolved&lt;/span&gt;&lt;/td&gt;
  &lt;td class="c-code"&gt;Document Requested Itemized Bill | MR&lt;/td&gt;
  &lt;td class="c-wrap"&gt;&lt;span class="deny-text"&gt;The attachment/other documentation is not required for adjudication of this claim/service&lt;/span&gt;&lt;/td&gt;
  &lt;td&gt;&lt;span class="code-pill carc"&gt;CO 251&lt;/span&gt;&lt;/td&gt;
  &lt;td&gt;&lt;span class="code-pill rarc"&gt;N29&lt;/span&gt;&lt;/td&gt;
&lt;/tr&gt;</v>
      </c>
      <c r="J32" t="s">
        <v>6323</v>
      </c>
    </row>
    <row r="33" spans="1:10" x14ac:dyDescent="0.25">
      <c r="A33" s="71" t="s">
        <v>6324</v>
      </c>
      <c r="B33" s="71" t="s">
        <v>6164</v>
      </c>
      <c r="C33" s="71" t="s">
        <v>6171</v>
      </c>
      <c r="D33" s="71" t="s">
        <v>6124</v>
      </c>
      <c r="E33" s="71" t="s">
        <v>6099</v>
      </c>
      <c r="F33" s="71" t="s">
        <v>4993</v>
      </c>
      <c r="G33" s="71">
        <v>242</v>
      </c>
      <c r="H33" s="71" t="s">
        <v>206</v>
      </c>
      <c r="I33"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data-status="Services not Provided By Network" data-action="Procedure Already Paid | Waiting Payment Posting" data-source="Analyse|Web|Call" data-category="Jorie Resolved" data-sub="Bundled" data-reason="Services not provided by network/primary care providers" data-carc="242" data-rarc="M15"&gt;
  &lt;td class="c-code"&gt;Services not Provided By Network&lt;/td&gt;
  &lt;td class="c-code"&gt;Procedure Already Paid | Waiting Payment Posting&lt;/td&gt;
  &lt;td class="c-code"&gt;Analyse|Web|Call&lt;/td&gt;
  &lt;td&gt;&lt;span class="chip chip-green"&gt;✔ Jorie Resolved&lt;/span&gt;&lt;/td&gt;
  &lt;td class="c-code"&gt;Bundled&lt;/td&gt;
  &lt;td class="c-wrap"&gt;&lt;span class="deny-text"&gt;Services not provided by network/primary care providers&lt;/span&gt;&lt;/td&gt;
  &lt;td&gt;&lt;span class="code-pill carc"&gt;242&lt;/span&gt;&lt;/td&gt;
  &lt;td&gt;&lt;span class="code-pill rarc"&gt;M15&lt;/span&gt;&lt;/td&gt;
&lt;/tr&gt;</v>
      </c>
      <c r="J33" t="s">
        <v>6325</v>
      </c>
    </row>
    <row r="34" spans="1:10" x14ac:dyDescent="0.25">
      <c r="A34" s="71" t="s">
        <v>6326</v>
      </c>
      <c r="B34" s="71" t="s">
        <v>6327</v>
      </c>
      <c r="C34" s="71" t="s">
        <v>6171</v>
      </c>
      <c r="D34" s="71" t="s">
        <v>6124</v>
      </c>
      <c r="E34" s="71" t="s">
        <v>6328</v>
      </c>
      <c r="F34" s="71" t="s">
        <v>5061</v>
      </c>
      <c r="G34" s="71">
        <v>252</v>
      </c>
      <c r="H34" s="71" t="s">
        <v>615</v>
      </c>
      <c r="I34"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data-status="Unable to Connect Call/Email/Web" data-action="Left Voice Message" data-source="Analyse|Web|Call" data-category="Jorie Resolved" data-sub="Left Voice Mail" data-reason="An attachment/other documentation is required to adjudicate this claim/service. At least one Remark Code must be provided" data-carc="252" data-rarc="N4"&gt;
  &lt;td class="c-code"&gt;Unable to Connect Call/Email/Web&lt;/td&gt;
  &lt;td class="c-code"&gt;Left Voice Message&lt;/td&gt;
  &lt;td class="c-code"&gt;Analyse|Web|Call&lt;/td&gt;
  &lt;td&gt;&lt;span class="chip chip-green"&gt;✔ Jorie Resolved&lt;/span&gt;&lt;/td&gt;
  &lt;td class="c-code"&gt;Left Voice Mail&lt;/td&gt;
  &lt;td class="c-wrap"&gt;&lt;span class="deny-text"&gt;An attachment/other documentation is required to adjudicate this claim/service. At least one Remark Code must be provided&lt;/span&gt;&lt;/td&gt;
  &lt;td&gt;&lt;span class="code-pill carc"&gt;252&lt;/span&gt;&lt;/td&gt;
  &lt;td&gt;&lt;span class="code-pill rarc"&gt;N4&lt;/span&gt;&lt;/td&gt;
&lt;/tr&gt;</v>
      </c>
      <c r="J34" t="s">
        <v>6329</v>
      </c>
    </row>
    <row r="35" spans="1:10" x14ac:dyDescent="0.25">
      <c r="A35" s="71" t="s">
        <v>6326</v>
      </c>
      <c r="B35" s="71" t="s">
        <v>6327</v>
      </c>
      <c r="C35" s="71" t="s">
        <v>6171</v>
      </c>
      <c r="D35" s="71" t="s">
        <v>6124</v>
      </c>
      <c r="E35" s="71" t="s">
        <v>6328</v>
      </c>
      <c r="F35" s="71" t="s">
        <v>4928</v>
      </c>
      <c r="G35" s="71">
        <v>109</v>
      </c>
      <c r="H35" s="71" t="s">
        <v>777</v>
      </c>
      <c r="I35"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data-status="Unable to Connect Call/Email/Web" data-action="Left Voice Message" data-source="Analyse|Web|Call" data-category="Jorie Resolved" data-sub="Left Voice Mail" data-reason="Claim/service not covered by this payer/contractor. You must send the claim/service to the correct payer/contractor" data-carc="109" data-rarc="N103"&gt;
  &lt;td class="c-code"&gt;Unable to Connect Call/Email/Web&lt;/td&gt;
  &lt;td class="c-code"&gt;Left Voice Message&lt;/td&gt;
  &lt;td class="c-code"&gt;Analyse|Web|Call&lt;/td&gt;
  &lt;td&gt;&lt;span class="chip chip-green"&gt;✔ Jorie Resolved&lt;/span&gt;&lt;/td&gt;
  &lt;td class="c-code"&gt;Left Voice Mail&lt;/td&gt;
  &lt;td class="c-wrap"&gt;&lt;span class="deny-text"&gt;Claim/service not covered by this payer/contractor. You must send the claim/service to the correct payer/contractor&lt;/span&gt;&lt;/td&gt;
  &lt;td&gt;&lt;span class="code-pill carc"&gt;109&lt;/span&gt;&lt;/td&gt;
  &lt;td&gt;&lt;span class="code-pill rarc"&gt;N103&lt;/span&gt;&lt;/td&gt;
&lt;/tr&gt;</v>
      </c>
      <c r="J35" t="s">
        <v>6330</v>
      </c>
    </row>
    <row r="36" spans="1:10" x14ac:dyDescent="0.25">
      <c r="A36" s="71" t="s">
        <v>6141</v>
      </c>
      <c r="B36" s="71" t="s">
        <v>6127</v>
      </c>
      <c r="C36" s="71" t="s">
        <v>6171</v>
      </c>
      <c r="D36" s="71" t="s">
        <v>6124</v>
      </c>
      <c r="E36" s="71" t="s">
        <v>6120</v>
      </c>
      <c r="F36" s="71" t="s">
        <v>5004</v>
      </c>
      <c r="G36" s="71">
        <v>19</v>
      </c>
      <c r="H36" s="71" t="s">
        <v>1903</v>
      </c>
      <c r="I36"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data-status="Work-Related Injury Indicated" data-action="Verified | Submitted to Correct Insurance" data-source="Analyse|Web|Call" data-category="Jorie Resolved" data-sub="Eligibility / Coverage" data-reason="This is a work-related injury/illness and thus the liability of the Worker's Compensation Carrier" data-carc="19" data-rarc="N728"&gt;
  &lt;td class="c-code"&gt;Work-Related Injury Indicated&lt;/td&gt;
  &lt;td class="c-code"&gt;Verified | Submitted to Correct Insurance&lt;/td&gt;
  &lt;td class="c-code"&gt;Analyse|Web|Call&lt;/td&gt;
  &lt;td&gt;&lt;span class="chip chip-green"&gt;✔ Jorie Resolved&lt;/span&gt;&lt;/td&gt;
  &lt;td class="c-code"&gt;Eligibility / Coverage&lt;/td&gt;
  &lt;td class="c-wrap"&gt;&lt;span class="deny-text"&gt;This is a work-related injury/illness and thus the liability of the Worker's Compensation Carrier&lt;/span&gt;&lt;/td&gt;
  &lt;td&gt;&lt;span class="code-pill carc"&gt;19&lt;/span&gt;&lt;/td&gt;
  &lt;td&gt;&lt;span class="code-pill rarc"&gt;N728&lt;/span&gt;&lt;/td&gt;
&lt;/tr&gt;</v>
      </c>
      <c r="J36" t="s">
        <v>6331</v>
      </c>
    </row>
    <row r="37" spans="1:10" x14ac:dyDescent="0.25">
      <c r="A37" s="71" t="s">
        <v>6122</v>
      </c>
      <c r="B37" s="71" t="s">
        <v>6125</v>
      </c>
      <c r="C37" s="71" t="s">
        <v>6171</v>
      </c>
      <c r="D37" s="71" t="s">
        <v>6124</v>
      </c>
      <c r="E37" s="71" t="s">
        <v>6120</v>
      </c>
      <c r="F37" s="71" t="s">
        <v>4928</v>
      </c>
      <c r="G37" s="71">
        <v>109</v>
      </c>
      <c r="H37" s="71" t="s">
        <v>777</v>
      </c>
      <c r="I37"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data-status="Wrong Payer Billed" data-action="Already Paid by Correct Insurance | Ignored" data-source="Analyse|Web|Call" data-category="Jorie Resolved" data-sub="Eligibility / Coverage" data-reason="Claim/service not covered by this payer/contractor. You must send the claim/service to the correct payer/contractor" data-carc="109" data-rarc="N103"&gt;
  &lt;td class="c-code"&gt;Wrong Payer Billed&lt;/td&gt;
  &lt;td class="c-code"&gt;Already Paid by Correct Insurance | Ignored&lt;/td&gt;
  &lt;td class="c-code"&gt;Analyse|Web|Call&lt;/td&gt;
  &lt;td&gt;&lt;span class="chip chip-green"&gt;✔ Jorie Resolved&lt;/span&gt;&lt;/td&gt;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rarc"&gt;N103&lt;/span&gt;&lt;/td&gt;
&lt;/tr&gt;</v>
      </c>
      <c r="J37" t="s">
        <v>6332</v>
      </c>
    </row>
    <row r="38" spans="1:10" x14ac:dyDescent="0.25">
      <c r="A38" s="71" t="s">
        <v>6122</v>
      </c>
      <c r="B38" s="71" t="s">
        <v>6127</v>
      </c>
      <c r="C38" s="71" t="s">
        <v>6171</v>
      </c>
      <c r="D38" s="71" t="s">
        <v>6124</v>
      </c>
      <c r="E38" s="71" t="s">
        <v>6120</v>
      </c>
      <c r="F38" s="71" t="s">
        <v>4928</v>
      </c>
      <c r="G38" s="71">
        <v>109</v>
      </c>
      <c r="H38" s="71" t="s">
        <v>924</v>
      </c>
      <c r="I38"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data-status="Wrong Payer Billed" data-action="Verified | Submitted to Correct Insurance" data-source="Analyse|Web|Call" data-category="Jorie Resolved" data-sub="Eligibility / Coverage" data-reason="Claim/service not covered by this payer/contractor. You must send the claim/service to the correct payer/contractor" data-carc="109" data-rarc="N193"&gt;
  &lt;td class="c-code"&gt;Wrong Payer Billed&lt;/td&gt;
  &lt;td class="c-code"&gt;Verified | Submitted to Correct Insurance&lt;/td&gt;
  &lt;td class="c-code"&gt;Analyse|Web|Call&lt;/td&gt;
  &lt;td&gt;&lt;span class="chip chip-green"&gt;✔ Jorie Resolved&lt;/span&gt;&lt;/td&gt;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rarc"&gt;N193&lt;/span&gt;&lt;/td&gt;
&lt;/tr&gt;</v>
      </c>
      <c r="J38" t="s">
        <v>6333</v>
      </c>
    </row>
    <row r="39" spans="1:10" x14ac:dyDescent="0.25">
      <c r="A39" s="71" t="s">
        <v>6122</v>
      </c>
      <c r="B39" s="71" t="s">
        <v>6127</v>
      </c>
      <c r="C39" s="71" t="s">
        <v>6171</v>
      </c>
      <c r="D39" s="71" t="s">
        <v>6124</v>
      </c>
      <c r="E39" s="71" t="s">
        <v>6120</v>
      </c>
      <c r="F39" s="71" t="s">
        <v>150</v>
      </c>
      <c r="G39" s="71">
        <v>109</v>
      </c>
      <c r="H39" s="71" t="s">
        <v>1346</v>
      </c>
      <c r="I39"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data-status="Wrong Payer Billed" data-action="Verified | Submitted to Correct Insurance" data-source="Analyse|Web|Call" data-category="Jorie Resolved" data-sub="Eligibility / Coverage" data-reason="Claim/service not covered by this payer/contractor. You must send the claim/service to the correct payer/contractor." data-carc="109" data-rarc="N418"&gt;
  &lt;td class="c-code"&gt;Wrong Payer Billed&lt;/td&gt;
  &lt;td class="c-code"&gt;Verified | Submitted to Correct Insurance&lt;/td&gt;
  &lt;td class="c-code"&gt;Analyse|Web|Call&lt;/td&gt;
  &lt;td&gt;&lt;span class="chip chip-green"&gt;✔ Jorie Resolved&lt;/span&gt;&lt;/td&gt;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rarc"&gt;N418&lt;/span&gt;&lt;/td&gt;
&lt;/tr&gt;</v>
      </c>
      <c r="J39" t="s">
        <v>6334</v>
      </c>
    </row>
    <row r="40" spans="1:10" x14ac:dyDescent="0.25">
      <c r="A40" s="71" t="s">
        <v>6122</v>
      </c>
      <c r="B40" s="71" t="s">
        <v>6127</v>
      </c>
      <c r="C40" s="71" t="s">
        <v>6171</v>
      </c>
      <c r="D40" s="71" t="s">
        <v>6124</v>
      </c>
      <c r="E40" s="71" t="s">
        <v>6120</v>
      </c>
      <c r="F40" s="71" t="s">
        <v>4928</v>
      </c>
      <c r="G40" s="71">
        <v>109</v>
      </c>
      <c r="H40" s="71" t="s">
        <v>1346</v>
      </c>
      <c r="I40"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data-status="Wrong Payer Billed" data-action="Verified | Submitted to Correct Insurance" data-source="Analyse|Web|Call" data-category="Jorie Resolved" data-sub="Eligibility / Coverage" data-reason="Claim/service not covered by this payer/contractor. You must send the claim/service to the correct payer/contractor" data-carc="109" data-rarc="N418"&gt;
  &lt;td class="c-code"&gt;Wrong Payer Billed&lt;/td&gt;
  &lt;td class="c-code"&gt;Verified | Submitted to Correct Insurance&lt;/td&gt;
  &lt;td class="c-code"&gt;Analyse|Web|Call&lt;/td&gt;
  &lt;td&gt;&lt;span class="chip chip-green"&gt;✔ Jorie Resolved&lt;/span&gt;&lt;/td&gt;
  &lt;td class="c-code"&gt;Eligibility / Coverage&lt;/td&gt;
  &lt;td class="c-wrap"&gt;&lt;span class="deny-text"&gt;Claim/service not covered by this payer/contractor. You must send the claim/service to the correct payer/contractor&lt;/span&gt;&lt;/td&gt;
  &lt;td&gt;&lt;span class="code-pill carc"&gt;109&lt;/span&gt;&lt;/td&gt;
  &lt;td&gt;&lt;span class="code-pill rarc"&gt;N418&lt;/span&gt;&lt;/td&gt;
&lt;/tr&gt;</v>
      </c>
      <c r="J40" t="s">
        <v>6335</v>
      </c>
    </row>
    <row r="41" spans="1:10" x14ac:dyDescent="0.25">
      <c r="A41" s="75" t="s">
        <v>6336</v>
      </c>
      <c r="B41" s="75" t="s">
        <v>6336</v>
      </c>
      <c r="C41" s="75" t="s">
        <v>6336</v>
      </c>
      <c r="D41" s="75" t="s">
        <v>6336</v>
      </c>
      <c r="E41" s="75" t="s">
        <v>6336</v>
      </c>
      <c r="F41" s="75" t="s">
        <v>6218</v>
      </c>
      <c r="G41" s="75" t="s">
        <v>6218</v>
      </c>
      <c r="H41" s="75" t="s">
        <v>6218</v>
      </c>
      <c r="I41"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data-status="Pending" data-action="Pending" data-source="Pending" data-category="Pending" data-sub="Pending" data-reason="-" data-carc="-" data-rarc="-"&gt;
  &lt;td class="c-code"&gt;Pending&lt;/td&gt;
  &lt;td class="c-code"&gt;Pending&lt;/td&gt;
  &lt;td class="c-code"&gt;Pending&lt;/td&gt;
  &lt;td&gt;&lt;span class="chip chip-green"&gt;✔ Pending&lt;/span&gt;&lt;/td&gt;
  &lt;td class="c-code"&gt;Pending&lt;/td&gt;
  &lt;td class="c-wrap"&gt;&lt;span class="deny-text"&gt;-&lt;/span&gt;&lt;/td&gt;
  &lt;td&gt;&lt;span class="code-pill carc"&gt;-&lt;/span&gt;&lt;/td&gt;
  &lt;td&gt;&lt;span class="code-pill rarc"&gt;-&lt;/span&gt;&lt;/td&gt;
&lt;/tr&gt;</v>
      </c>
      <c r="J41" t="s">
        <v>6337</v>
      </c>
    </row>
    <row r="42" spans="1:10" x14ac:dyDescent="0.25">
      <c r="A42" s="75" t="s">
        <v>6338</v>
      </c>
      <c r="B42" s="75" t="s">
        <v>6338</v>
      </c>
      <c r="C42" s="75" t="s">
        <v>6338</v>
      </c>
      <c r="D42" s="75" t="s">
        <v>6338</v>
      </c>
      <c r="E42" s="75" t="s">
        <v>6338</v>
      </c>
      <c r="F42" s="75" t="s">
        <v>6218</v>
      </c>
      <c r="G42" s="75" t="s">
        <v>6218</v>
      </c>
      <c r="H42" s="75" t="s">
        <v>6218</v>
      </c>
      <c r="I42"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data-status="Queue Not Found" data-action="Queue Not Found" data-source="Queue Not Found" data-category="Queue Not Found" data-sub="Queue Not Found" data-reason="-" data-carc="-" data-rarc="-"&gt;
  &lt;td class="c-code"&gt;Queue Not Found&lt;/td&gt;
  &lt;td class="c-code"&gt;Queue Not Found&lt;/td&gt;
  &lt;td class="c-code"&gt;Queue Not Found&lt;/td&gt;
  &lt;td&gt;&lt;span class="chip chip-green"&gt;✔ Queue Not Found&lt;/span&gt;&lt;/td&gt;
  &lt;td class="c-code"&gt;Queue Not Found&lt;/td&gt;
  &lt;td class="c-wrap"&gt;&lt;span class="deny-text"&gt;-&lt;/span&gt;&lt;/td&gt;
  &lt;td&gt;&lt;span class="code-pill carc"&gt;-&lt;/span&gt;&lt;/td&gt;
  &lt;td&gt;&lt;span class="code-pill rarc"&gt;-&lt;/span&gt;&lt;/td&gt;
&lt;/tr&gt;</v>
      </c>
      <c r="J42" t="s">
        <v>6339</v>
      </c>
    </row>
    <row r="43" spans="1:10" x14ac:dyDescent="0.25">
      <c r="A43" s="75" t="s">
        <v>6340</v>
      </c>
      <c r="B43" s="75" t="s">
        <v>6291</v>
      </c>
      <c r="C43" s="75" t="s">
        <v>6132</v>
      </c>
      <c r="D43" s="75" t="s">
        <v>6124</v>
      </c>
      <c r="E43" s="75" t="s">
        <v>6156</v>
      </c>
      <c r="F43" s="75" t="s">
        <v>168</v>
      </c>
      <c r="G43" s="75" t="s">
        <v>167</v>
      </c>
      <c r="H43" s="75" t="s">
        <v>6218</v>
      </c>
      <c r="I43"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data-status="Claim Forwarded to Correct Payer" data-action="Allow Time Payment Posting" data-source="Call" data-category="Jorie Resolved" data-sub="Paid" data-reason="The claim/service has been transferred to the proper payer/processor for processing. Claim/service not covered by this payer/processor." data-carc="B11" data-rarc="-"&gt;
  &lt;td class="c-code"&gt;Claim Forwarded to Correct Payer&lt;/td&gt;
  &lt;td class="c-code"&gt;Allow Time Payment Posting&lt;/td&gt;
  &lt;td class="c-code"&gt;Call&lt;/td&gt;
  &lt;td&gt;&lt;span class="chip chip-green"&gt;✔ Jorie Resolved&lt;/span&gt;&lt;/td&gt;
  &lt;td class="c-code"&gt;Paid&lt;/td&gt;
  &lt;td class="c-wrap"&gt;&lt;span class="deny-text"&gt;The claim/service has been transferred to the proper payer/processor for processing. Claim/service not covered by this payer/processor.&lt;/span&gt;&lt;/td&gt;
  &lt;td&gt;&lt;span class="code-pill carc"&gt;B11&lt;/span&gt;&lt;/td&gt;
  &lt;td&gt;&lt;span class="code-pill rarc"&gt;-&lt;/span&gt;&lt;/td&gt;
&lt;/tr&gt;</v>
      </c>
      <c r="J43" t="s">
        <v>6341</v>
      </c>
    </row>
    <row r="44" spans="1:10" x14ac:dyDescent="0.25">
      <c r="A44" s="75" t="s">
        <v>6147</v>
      </c>
      <c r="B44" s="71" t="s">
        <v>6969</v>
      </c>
      <c r="C44" s="71" t="s">
        <v>6171</v>
      </c>
      <c r="D44" s="71" t="s">
        <v>6124</v>
      </c>
      <c r="E44" s="71" t="s">
        <v>6149</v>
      </c>
      <c r="F44" s="71" t="s">
        <v>4994</v>
      </c>
      <c r="G44" s="71">
        <v>18</v>
      </c>
      <c r="H44" s="71" t="s">
        <v>1289</v>
      </c>
      <c r="I44" t="str">
        <f>"&lt;tr data-status=""" &amp; Table35[[#This Row],[Status Code]] &amp; """ " &amp;
"data-action=""" &amp; Table35[[#This Row],[Action Code]] &amp; """ " &amp;
"data-source=""" &amp; Table35[[#This Row],[Source]] &amp; """ " &amp;
"data-category=""" &amp; Table35[[#This Row],[Category]] &amp; """ " &amp;
"data-sub=""" &amp; Table35[[#This Row],[Sub-Category]] &amp; """ " &amp;
"data-reason=""" &amp; Table35[[#This Row],[Denial Reason]] &amp; """ " &amp;
"data-carc=""" &amp; Table35[[#This Row],[CARC Code]] &amp; """ " &amp;
"data-rarc=""" &amp; Table35[[#This Row],[RARC Code]] &amp; """&gt;" &amp; CHAR(10) &amp;
"  &lt;td class=""c-code""&gt;" &amp; Table35[[#This Row],[Status Code]] &amp; "&lt;/td&gt;" &amp; CHAR(10) &amp;
"  &lt;td class=""c-code""&gt;" &amp; Table35[[#This Row],[Action Code]] &amp; "&lt;/td&gt;" &amp; CHAR(10) &amp;
"  &lt;td class=""c-code""&gt;" &amp; Table35[[#This Row],[Source]] &amp; "&lt;/td&gt;" &amp; CHAR(10) &amp;
"  &lt;td&gt;&lt;span class=""chip chip-green""&gt;✔ " &amp; Table35[[#This Row],[Category]] &amp; "&lt;/span&gt;&lt;/td&gt;" &amp; CHAR(10) &amp;
"  &lt;td class=""c-code""&gt;" &amp; Table35[[#This Row],[Sub-Category]] &amp; "&lt;/td&gt;" &amp; CHAR(10) &amp;
"  &lt;td class=""c-wrap""&gt;&lt;span class=""deny-text""&gt;" &amp;
Table35[[#This Row],[Denial Reason]] &amp; "&lt;/span&gt;&lt;/td&gt;" &amp; CHAR(10) &amp;
"  &lt;td&gt;&lt;span class=""code-pill carc""&gt;" &amp; Table35[[#This Row],[CARC Code]] &amp; "&lt;/span&gt;&lt;/td&gt;" &amp; CHAR(10) &amp;
"  &lt;td&gt;&lt;span class=""code-pill rarc""&gt;" &amp; Table35[[#This Row],[RARC Code]] &amp; "&lt;/span&gt;&lt;/td&gt;" &amp; CHAR(10) &amp;
"&lt;/tr&gt;"</f>
        <v>&lt;tr data-status="Duplicate Claim" data-action="Claim Already Paid | Waiting Payment" data-source="Analyse|Web|Call" data-category="Jorie Resolved" data-sub="Duplicate Billing" data-reason="Exact duplicate claim/service" data-carc="18" data-rarc="N389"&gt;
  &lt;td class="c-code"&gt;Duplicate Claim&lt;/td&gt;
  &lt;td class="c-code"&gt;Claim Already Paid | Waiting Payment&lt;/td&gt;
  &lt;td class="c-code"&gt;Analyse|Web|Call&lt;/td&gt;
  &lt;td&gt;&lt;span class="chip chip-green"&gt;✔ Jorie Resolved&lt;/span&gt;&lt;/td&gt;
  &lt;td class="c-code"&gt;Duplicate Billing&lt;/td&gt;
  &lt;td class="c-wrap"&gt;&lt;span class="deny-text"&gt;Exact duplicate claim/service&lt;/span&gt;&lt;/td&gt;
  &lt;td&gt;&lt;span class="code-pill carc"&gt;18&lt;/span&gt;&lt;/td&gt;
  &lt;td&gt;&lt;span class="code-pill rarc"&gt;N389&lt;/span&gt;&lt;/td&gt;
&lt;/tr&gt;</v>
      </c>
      <c r="J44" t="s">
        <v>6970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Sheet2</vt:lpstr>
      <vt:lpstr>Calculate</vt:lpstr>
      <vt:lpstr>Correct RARC</vt:lpstr>
      <vt:lpstr>Slide Bar Link</vt:lpstr>
      <vt:lpstr>Image Link</vt:lpstr>
      <vt:lpstr>Raw</vt:lpstr>
      <vt:lpstr>Correct CARC</vt:lpstr>
      <vt:lpstr>CARC</vt:lpstr>
      <vt:lpstr>Sheet7</vt:lpstr>
      <vt:lpstr>NSHACarc Code</vt:lpstr>
      <vt:lpstr>New Rarc Code</vt:lpstr>
      <vt:lpstr>Sheet4</vt:lpstr>
      <vt:lpstr>Rarc</vt:lpstr>
      <vt:lpstr>Assistance</vt:lpstr>
      <vt:lpstr>Exception</vt:lpstr>
      <vt:lpstr>Jorie Resolved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Vaish</dc:creator>
  <cp:lastModifiedBy>Kunal  Vaish</cp:lastModifiedBy>
  <dcterms:created xsi:type="dcterms:W3CDTF">2026-02-20T13:08:01Z</dcterms:created>
  <dcterms:modified xsi:type="dcterms:W3CDTF">2026-04-01T22:07:11Z</dcterms:modified>
</cp:coreProperties>
</file>